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ublications" sheetId="1" r:id="rId5"/>
    <sheet state="visible" name="Under review" sheetId="2" r:id="rId6"/>
    <sheet state="visible" name="Intro" sheetId="3" r:id="rId7"/>
    <sheet state="visible" name="Research_interests" sheetId="4" r:id="rId8"/>
    <sheet state="visible" name="Education" sheetId="5" r:id="rId9"/>
    <sheet state="visible" name="Other_merits" sheetId="6" r:id="rId10"/>
    <sheet state="visible" name="Supervision" sheetId="7" r:id="rId11"/>
    <sheet state="visible" name="Experience" sheetId="8" r:id="rId12"/>
    <sheet state="visible" name="Teaching" sheetId="9" r:id="rId13"/>
    <sheet state="visible" name="Projects" sheetId="10" r:id="rId14"/>
    <sheet state="visible" name="Awards" sheetId="11" r:id="rId15"/>
    <sheet state="visible" name="Research_visits" sheetId="12" r:id="rId16"/>
    <sheet state="visible" name="Editorial_work" sheetId="13" r:id="rId17"/>
    <sheet state="visible" name="Teaching_development" sheetId="14" r:id="rId18"/>
    <sheet state="visible" name="Software" sheetId="15" r:id="rId19"/>
    <sheet state="visible" name="DEI" sheetId="16" r:id="rId20"/>
    <sheet state="visible" name="Hoja 21" sheetId="17" r:id="rId21"/>
  </sheets>
  <definedNames>
    <definedName hidden="1" localSheetId="0" name="_xlnm._FilterDatabase">Publications!$A$1:$W$1061</definedName>
  </definedNames>
  <calcPr/>
</workbook>
</file>

<file path=xl/sharedStrings.xml><?xml version="1.0" encoding="utf-8"?>
<sst xmlns="http://schemas.openxmlformats.org/spreadsheetml/2006/main" count="3833" uniqueCount="2050">
  <si>
    <t>Interests</t>
  </si>
  <si>
    <t>Authors</t>
  </si>
  <si>
    <t>Learning Analytics</t>
  </si>
  <si>
    <t>Title</t>
  </si>
  <si>
    <t>Educational Data Mining</t>
  </si>
  <si>
    <t>Educational Escape Rooms</t>
  </si>
  <si>
    <t>Year</t>
  </si>
  <si>
    <t>Welcome</t>
  </si>
  <si>
    <t>Source</t>
  </si>
  <si>
    <t>Computing Education</t>
  </si>
  <si>
    <t>Short_summary</t>
  </si>
  <si>
    <t>Volume</t>
  </si>
  <si>
    <t>Complex Systems</t>
  </si>
  <si>
    <t>Issue</t>
  </si>
  <si>
    <t>Artificial Intelligence</t>
  </si>
  <si>
    <t>ArtNo</t>
  </si>
  <si>
    <t>Page start</t>
  </si>
  <si>
    <t>Human-AI interactions</t>
  </si>
  <si>
    <t>Page end</t>
  </si>
  <si>
    <t>Bibliometrics</t>
  </si>
  <si>
    <t>Data Visualization</t>
  </si>
  <si>
    <t>DOI</t>
  </si>
  <si>
    <t>Data Engineering</t>
  </si>
  <si>
    <t>Game-based Learning</t>
  </si>
  <si>
    <t>Sequence Analysis</t>
  </si>
  <si>
    <t>URL</t>
  </si>
  <si>
    <t>Idiographic Analysis</t>
  </si>
  <si>
    <t>Document Type</t>
  </si>
  <si>
    <t>Abstract</t>
  </si>
  <si>
    <t>Educational Technology</t>
  </si>
  <si>
    <t>Keywords</t>
  </si>
  <si>
    <t>Q1</t>
  </si>
  <si>
    <t>LA</t>
  </si>
  <si>
    <t>GBL</t>
  </si>
  <si>
    <t>BIBLIOMETRICS</t>
  </si>
  <si>
    <t>DataEng</t>
  </si>
  <si>
    <t>AI</t>
  </si>
  <si>
    <t>Selected</t>
  </si>
  <si>
    <t>Note</t>
  </si>
  <si>
    <t>JCR</t>
  </si>
  <si>
    <r>
      <rPr>
        <rFont val="Arial, sans-serif"/>
        <color rgb="FF000000"/>
        <sz val="13.0"/>
      </rPr>
      <t>I am an Associate Professor at University of Eastern Finland, where I have worked since 2022 as a member of the &lt;a href="https://sites.uef.fi/learning-analytics/"&gt;Learning Analytics unit&lt;/a&gt;. I obtained my PhD in Engineering at Universidad Politécnica de Madrid (Spain). My research interests are learning analytics, human-AI interactions, and game-based learning in engineering and computer science education, among others. I am skilled in quantitative methods that include process and sequence mining, network analysis, and data visualization, which are proven by over 200 &lt;a href="publications.html"&gt; publications&lt;/a&gt; in the field of learning analytics and education technology as well as &lt;a href="about.html"&gt;workplace achievements&lt;/a&gt;. I have been awarded the SoLAR Emerging Scholar Award for the Europe region in 2025, the IEEE TCLT Early Career Researcher Award in Learning Technologies (2024) and the IASLE Emerging Scholar Award (2026).&lt;br/&gt;&lt;br/&gt; I am an editor and author of the first methodological book on learning analytics &lt;a href="https://lamethods.github.io"&gt;"Learning Analytics Methods and Tutorials: A practical guide using R"&lt;/a&gt;, which has been made available as open access to facilitate newcomers to the field get acquainted with state-of-the-art quantitative methods. I have developed novel methods in the field of learning analytics such as &lt;a href="https://lamethods.github.io/chapters/ch11-vasstra/ch11-vasstra.html"&gt;VaSSTra&lt;/a&gt;, for the analysis of intensive longitudinal data from a person-centered perspective, and &lt;a href="</t>
    </r>
    <r>
      <rPr>
        <rFont val="Arial, sans-serif"/>
        <color rgb="FF1155CC"/>
        <sz val="13.0"/>
        <u/>
      </rPr>
      <t>https://sites.uef.fi/learning-analytics/tna/</t>
    </r>
    <r>
      <rPr>
        <rFont val="Arial, sans-serif"/>
        <color rgb="FF000000"/>
        <sz val="13.0"/>
      </rPr>
      <t>"&gt;Transition Network Analysis&lt;/a&gt;, a method that combines stochastic process mining with network analysis. I am the PI of the &lt;a href="https://uefconnect.uef.fi/en/group/cretic-optimizing-clinical-reasoning-in-time-critical-scenarios-a-data-driven-multimodal-approach/#information"&gt;CRETIC&lt;/a&gt; project funded by the Research Council of Finland, aimed at optimizing clinical reasoning in time-critical scenarios using multimodal learning analytics and gamified virtual patients. I have developed the first platform for the creation of educational escape rooms (&lt;a href="https://ieeexplore.ieee.org/document/9369393"&gt;Escapp&lt;/a&gt;), available as open source software, which is used by several international educational institutions for students to acquire hard and soft skills. I have published several other open source &lt;a href="softwares.html"&gt;software projects&lt;/a&gt; for teaching, research, and professional use. For example, checkout the new R package &lt;a href="https://sonsoles.me/tna"&gt;tna&lt;/a&gt; (for Transition Network Analysis). &lt;br/&gt;&lt;br/&gt; I am open to collaboration in research, industry projects, and PhD supervision. E-mail me at &lt;a href="mailto:sonsoles.lopez@uef.fi"&gt;sonsoles.lopez&lt;i class="bi bi-at"&gt;&lt;/i&gt;uef.fi&lt;/a&gt;.</t>
    </r>
  </si>
  <si>
    <t>Finnish</t>
  </si>
  <si>
    <t>2025</t>
  </si>
  <si>
    <t>López-Pernas S., Barra E., Gordillo A., Alonso Á., Quemada J.</t>
  </si>
  <si>
    <t>Scaling student feedback in software engineering MOOCs</t>
  </si>
  <si>
    <t>2023</t>
  </si>
  <si>
    <t>IEEE Software</t>
  </si>
  <si>
    <t>40</t>
  </si>
  <si>
    <t>5</t>
  </si>
  <si>
    <t>50</t>
  </si>
  <si>
    <t>57</t>
  </si>
  <si>
    <t>10.1109/MS.2023.3275035</t>
  </si>
  <si>
    <t>Journal Article</t>
  </si>
  <si>
    <t>Training software professionals is essential to meet the high demands of today's job market. MOOCs constitute a promising way to scale up such training, as they enable the participation of a massive number of learners. However, a major challenge that software engineering MOOCs face is the provision of formative assessment through continuous feedback to learners. This article presents a bot aimed at helping MOOC participants complete programming assignments by providing them with timely formative feedback. The bot has been used and evaluated in a software engineering specialization comprised of four MOOCs. Students' perceptions towards the bot were very positive, and the usage statistics indicate that many students rely on it to complete their assignments. Overall, the results suggest that the bot constitutes a suitable solution for providing participants of software engineering MOOCs with formative feedback related to programming assignments, contributing to overcoming a well-known limitation of this type of training.</t>
  </si>
  <si>
    <t>automated assessment; software engineering; MOOCs; learning analytics; growth mixture models</t>
  </si>
  <si>
    <t>López-Pernas S., Misiejuk K., Saqr M.</t>
  </si>
  <si>
    <t>Q2</t>
  </si>
  <si>
    <t>A Systematic Literature Review of Sequence Analysis in Learning Analytics</t>
  </si>
  <si>
    <t>X</t>
  </si>
  <si>
    <t>2026</t>
  </si>
  <si>
    <t>Educational Research Review</t>
  </si>
  <si>
    <t>in-press</t>
  </si>
  <si>
    <t>11</t>
  </si>
  <si>
    <t>A1</t>
  </si>
  <si>
    <t>Sonsoles is an Associate Professor at University of Eastern Finland since 2022. Her research areas are game-based learning in engineering and computer science education, learning analytics, and data engineering, among others. She obtained her PhD in Telematics Engineering at Universidad Politécnica de Madrid (Spain). She has developed several open-source software projects related to educational technology and big data analysis. She is skilled in quantitative methods that include machine learning, process and sequence mining, network analysis, complex event processing, and data visualization, which are proven by empirical publications in the field of learning analytics and big data as well as workplace achievements.</t>
  </si>
  <si>
    <t>Saqr M., López-Pernas S.</t>
  </si>
  <si>
    <t>The idiographic paradigm shift needed: Bringing the person back into research and practice</t>
  </si>
  <si>
    <t>Proceedings of the 1st Finnish Learning Analytics and Artificial Intelligence in Education Conference (FLAIEC 2022) (CEUR Workshop Proceedings)</t>
  </si>
  <si>
    <t>3383</t>
  </si>
  <si>
    <t>116</t>
  </si>
  <si>
    <t>https://ceur-ws.org/Vol-3383/FLAIEC22_paper_6676.pdf</t>
  </si>
  <si>
    <t>Misiejuk K., López Pernas S., Oliveira E., Delannoy J., Dujardin C., Ahmed H., Saqr M.</t>
  </si>
  <si>
    <t>Facets of AI Personalization: A Systematic Review of Fine-tuned Large Language Models for Teaching and Learning</t>
  </si>
  <si>
    <t>eLearning IGLUE</t>
  </si>
  <si>
    <t>eLearning ENDGAME</t>
  </si>
  <si>
    <t>Collaborative Problem-Solving Dynamics Leading to Success: A Frequency Transition Network Approach</t>
  </si>
  <si>
    <t>López-Pernas S.</t>
  </si>
  <si>
    <t>Alignment</t>
  </si>
  <si>
    <t>CHB Reject, ESWA reject, Ethics &amp; IT speial issue reject; IHE REJECT; ILE reject, Educational Research reject, International Journal of Inclusive Education</t>
  </si>
  <si>
    <t>Conference Paper</t>
  </si>
  <si>
    <t>Idiographic clustering</t>
  </si>
  <si>
    <t>EAIT</t>
  </si>
  <si>
    <t>Self-efficacy, self-directedness, self-regulation, autonomy, and self-control –inter alia– have all been around for decades. While such concepts may differ, they share a quintessential element which is the “self” component. As we currently stand, we are not short of theories around the importance of the “self” or the student who has become the center of all initiatives for improving education over the last decades. Furthermore, we have a vast count of empirical studies, systematic reviews, and meta-analyses of intervention that promise meaningful intervention. Yet, the quest to bring real changes on the ground has so far fell short of promise. The reasons pertain to the discord between how research is conducted, assessed, or applied. While we –theoretically– embrace and emphasize the value of the “self” or “student” as a central point of departure from existing methods or theories, research is conducted by using data from a “group” of many others. That is, data are collected from a sample of students to explore their inter-individual differences and their average behavior to derive generalizable laws or norms. Such norms are expected to apply to everyone, and the lessons learnt from studying others are expected to be generalizable. Nonetheless, such group data, are barely –if at all– represent any single person, ergo a paradigm shift is needed to bring the very person into our approach to research and practice. We show how data can be collected to model the within-person behavior and learning process. Such analysis is more representative of the “self”, offer more valid inferences about the personal processes and a better potential for personalizing and adapting education.</t>
  </si>
  <si>
    <t>learning analytics; idiographic; within-person</t>
  </si>
  <si>
    <t>math jingo?</t>
  </si>
  <si>
    <t>multimodal paper dragan</t>
  </si>
  <si>
    <t>three tna papers: 1 the OG, 2 ijcscl revision tna -&gt; SLE? , 3. EMPIRICAL</t>
  </si>
  <si>
    <t>López-Pernas S., Gordillo A., Barra E., Saqr M.</t>
  </si>
  <si>
    <t>Game learning analytics: The case of online educational escape rooms</t>
  </si>
  <si>
    <t>AI pitch</t>
  </si>
  <si>
    <t>121</t>
  </si>
  <si>
    <t>122</t>
  </si>
  <si>
    <t>LEVEBEE AIED</t>
  </si>
  <si>
    <t>https://ceur-ws.org/Vol-3383/FLAIEC22_paper_7043.pdf</t>
  </si>
  <si>
    <t>International Journal of Educational Research</t>
  </si>
  <si>
    <t>RECIPE4U - in revision</t>
  </si>
  <si>
    <t>SYSTEM;2ndlang writing reject; Reading &amp; Writing springer REJECT,CALL REJECT, IJHCI</t>
  </si>
  <si>
    <t>Program</t>
  </si>
  <si>
    <t>Institution</t>
  </si>
  <si>
    <t>Extra</t>
  </si>
  <si>
    <t>Attention TNA</t>
  </si>
  <si>
    <t>JCAL</t>
  </si>
  <si>
    <t>write to daryn</t>
  </si>
  <si>
    <t>2018-2021</t>
  </si>
  <si>
    <t>PhD in Telematics Systems Engineering</t>
  </si>
  <si>
    <t>Universidad Politécnica de Madrid</t>
  </si>
  <si>
    <t>(Cum Laude, Extraordinary mention, International mention)</t>
  </si>
  <si>
    <t>2016-2018</t>
  </si>
  <si>
    <t>Master's Degree in Telecommunications Engineering</t>
  </si>
  <si>
    <t>Transition Network Analysis Workshop: A Hands-on Tutorial with a Focus on Modeling Human-AI Interaction</t>
  </si>
  <si>
    <t>2012-2016</t>
  </si>
  <si>
    <t>Bachelor's Degree in Telecommunications Technologies and Services Engineering</t>
  </si>
  <si>
    <t>Modeling the Momentary Dynamics of Academic Emotions: A Between-Within-Person Complex Systems Approach</t>
  </si>
  <si>
    <t>Educational escape rooms are team-based learning activities in which students solve puzzles related to a certain subject to accomplish a final goal (usually escaping from a room) [1]. These activities have proven capable of increasing students’ knowledge in a variety of subjects and contexts while improving motivation and engagement. A key characteristic of educational escape rooms is that they are time-constrained. Therefore, if students do not complete all the puzzles in time they will not gain exposure to part of the learning materials in the activity. As such, it is crucial to provide timely support to students to prevent them from getting stuck and frustrated, and ensuring they progress through the activity. However, providing such support can be challenging for instructors since they often have to monitor several students at the same time, which becomes even harder in online teaching environments [2]. The Escapp platform [3] provides a solution for this challenge. Escapp is a web platform that allows to conduct online educational escape rooms. Besides providing all the features needed for instructors to set up their escape rooms both online or face-to-face, Escapp provides a learning analytics dashboard that allows to closely monitor students while they play, enabling the detection of lagging players and the provision of hints to help them advance through the escape room. The Escapp platform has been used to conduct several escape rooms at Universidad Politécnica de Madrid [4]–[8] where the learning analytics dashboard has been used to detect lagging students and to optimize the game design. In this presentation, we will show an example of one of these educational escape rooms and how the learning analytics dashboard has played a crucial role in the correct development of the activity. We will discuss current and potential uses of the dashboard and of the data collected from the students. Our goal is to offer an innovative perspective on learning analytics and how they can be adapted to the specific learning scenario of educational escape rooms.</t>
  </si>
  <si>
    <t>learning analytics; game learning analytics; educational escape rooms; dashboard; game-based learning</t>
  </si>
  <si>
    <t>ryan</t>
  </si>
  <si>
    <t>chengxin</t>
  </si>
  <si>
    <t>Vartiainen H., López-Pernas S., Saqr M., Kahila J., Parkki T., Tedre M., Valtonen T.</t>
  </si>
  <si>
    <t>Mapping students’ temporal pathways in a computational thinking escape room</t>
  </si>
  <si>
    <t>islam</t>
  </si>
  <si>
    <t>77</t>
  </si>
  <si>
    <t>88</t>
  </si>
  <si>
    <t>https://ceur-ws.org/Vol-3383/FLAIEC22_paper_9625.pdf</t>
  </si>
  <si>
    <t>Kizilates S., Vogelsmeier L., Bozkurt A., López-Pernas S., Saqr M.</t>
  </si>
  <si>
    <t>Development and Validation of a Multidimensional AI Addiction Scale: A Psychometric Approach Grounded in Behavioral Addiction Frameworks</t>
  </si>
  <si>
    <t>GRANTS</t>
  </si>
  <si>
    <t>Using process-oriented learning analytics with generative and explainable artificial intelligence (LAIx)</t>
  </si>
  <si>
    <t xml:space="preserve">This case study explored the applicability of sequence mining and process mining methods on qualitative video data of a group-based problem-solving situation. For the case study, audio and video data were collected from a pilot experience of an educational escape room, which was designed to practice the application of computational thinking (CT) skills. The escape room combined digital and physical affordances into CT puzzles and challenges. To examine processes and patterns of collaborative learning and problem-solving in the context of the CT escape room, video data from pre-service teachers’ game activities were collected. A unique contribution of this case study is that it demonstrates how sequence and process mining methods can be applied to a type of qualitative content analysis often found in research on collaborative learning.  </t>
  </si>
  <si>
    <t>computer science education; educational escape rooms; teacher education; collaborative learning</t>
  </si>
  <si>
    <t>Reusable Analytics-Informed Design Patterns for AI Micro-Credentials (RAID-MC)</t>
  </si>
  <si>
    <t>A4</t>
  </si>
  <si>
    <t>Hirsto L., Saqr M., López-Pernas S., Valtonen T.</t>
  </si>
  <si>
    <t>Meshworking AI in the Next-Generation Educational Reform for Evaluation (MINERVA)</t>
  </si>
  <si>
    <t>A systematic narrative review of learning analytics research in K-12 and schools</t>
  </si>
  <si>
    <t>60</t>
  </si>
  <si>
    <t>67</t>
  </si>
  <si>
    <t>Proposal title Performance, Resilience, Interoperability, and Security for Multi-Agent Systems (PRISMA)</t>
  </si>
  <si>
    <t>https://ceur-ws.org/Vol-3383/FLAIEC22_paper_9536.pdf</t>
  </si>
  <si>
    <t>The Beauty Icons Project: Enhancing Critical Thinking and Digital Awareness in the Era of Cosmetic Influencers (REBEAUTY)</t>
  </si>
  <si>
    <t>COMPetence Alignment for Stackable and Shared Micro-Credentials (COMPASS-MC)</t>
  </si>
  <si>
    <t>Generative Artificial Intelligence for Quality and Equity in Higher Education Pathways in Latin America, the Caribbean and Europe: Algorithms for the Dropout (AI4ECAL)</t>
  </si>
  <si>
    <t>Fostering Soft Skills through Interactive Scenarios supported by a Teacher-Authoring Open Simulation Platform (OASIS)</t>
  </si>
  <si>
    <t xml:space="preserve">The field of learning analytics emerged in the last decade to take advantage of the increasing availability of data about learners that digital systems generate. Existing research in learning analytics has focused on higher education, as this context often relies heavily on digital platforms such as online learning management systems, making data collection easier. In this paper, we focus on LA research in the context of elementary level teaching. We provide a systematic narrative review in which we analyze the articles that had the most impact in the field. Our results show the existence of some recurring themes such as gamification and multimodal methods. We make a distinction between papers in which learning analytics is the target of the study (e.g., dashboards) and papers in which learning analytics methods were used as a means to study a given behavior/skill/phenomenon (e.g., problem-solving skills). Lastly, we found that most studies lack a strong theoretical foundation on education science and, thus, there is a need to develop more elaborated theoretical perspectives in future research on school-level learning analytics, as well as papers that deliver a real impact on learning and teaching. </t>
  </si>
  <si>
    <t>AI Literacy Initiative: Empowering Society through Citizen Science and Higher Education, Bridging the Generational Digital Divide (ALICE)</t>
  </si>
  <si>
    <t>learning analytics; K-12; elementary school; literature review; educational data mining</t>
  </si>
  <si>
    <t>Heikkinen S., López-Pernas S., Malmberg J., Tedre M., Saqr M.</t>
  </si>
  <si>
    <t>How do business students self-regulate their project management learning? A sequence mining study</t>
  </si>
  <si>
    <t>51</t>
  </si>
  <si>
    <t>59</t>
  </si>
  <si>
    <t>https://ceur-ws.org/Vol-3383/FLAIEC22_paper_2583.pdf</t>
  </si>
  <si>
    <t>The relation between learning strategies and academic achievement has been proven to be strong in multiple studies. Still, the connection between micro-level SRL processes and the academic achievement of business students in learning project management remains unstudied. The current study aims to find how sequence mining can identify students using different learning tactics and strategies in terms of micro-level SRL processes. Our findings show that there are differences in the use of tactics and strategies between low and high performing students. Understanding the differences in how low and high performing students apply different micro-level SRL processes can help practitioners identify students in need of support for SRL.</t>
  </si>
  <si>
    <t>sequence mining; micro-level SRL processes; learning tactics; academic achievement; learning analytics; project management</t>
  </si>
  <si>
    <t>López-Pernas S., Kleimola R., Väisänen S., Hirsto L.</t>
  </si>
  <si>
    <t>Early detection of dropout factors in vocational education: A large-scale case study from Finland</t>
  </si>
  <si>
    <t>44</t>
  </si>
  <si>
    <t>https://ceur-ws.org/Vol-3383/FLAIEC22_paper_8117.pdf</t>
  </si>
  <si>
    <t xml:space="preserve">The aim of this study is to analyze which factors from students’ admission data can predict dropout in initial vocational education and training (VET) in Finland. The sample included 15,523 students in different fields of VET that started an initial VET between 2014 and 2021 in a large-size vocational school in Finland. The results of fitting a logistic regression model to the admission data showed that students who started a VET program after basic education were more likely to drop out, as well as students who combined their studies with a job or job-seeking. Our findings pave the pathway for further research to implement support measures for decreasing dropout that are tailored to each specific “risk group”. </t>
  </si>
  <si>
    <t>ocational education and training (VET); dropout; learning analytics, prediction</t>
  </si>
  <si>
    <t>López-Pernas S., Saqr M.</t>
  </si>
  <si>
    <t>From Variables to States to Trajectories (VaSSTra): A Method for Modelling the Longitudinal Dynamics of Learning and Behaviour</t>
  </si>
  <si>
    <t>Proceedings TEEM 2022: Tenth International Conference on Technological Ecosystems for Enhancing Multiculturality. TEEM 2022. Lecture Notes in Educational Technology.</t>
  </si>
  <si>
    <t>1169</t>
  </si>
  <si>
    <t>1178</t>
  </si>
  <si>
    <t>10.1007/978-981-99-0942-1_123</t>
  </si>
  <si>
    <t>Research in learning analytics needs longitudinal studies that explore the learner’s behaviour, disposition, and learning practices across time, a gap this article aims to bridge. We present VaSSTra: an innovative method for the longitudinal analysis of educational data that can be applied at different time scales (e.g., days, weeks, or courses), and allows the study of different aspects of learning as well as the factors that explain how such aspects evolve over time. Our method combines life-events methods with sequence analysis and consists of three steps: (1) converting variables to states (where variables are grouped into homogenous states); (2) from states to sequences (where the states are used to construct sequences across time), and (3) from sequences to trajectories (where similar sequences are grouped in trajectories). VaSSTra enables us to map the longitudinal unfolding of events while taking advantage of the wealth of life-events methods to visualize, model and describe the temporal dynamics of longitudinal activities. We demonstrate the method with a practical case study example.</t>
  </si>
  <si>
    <t>longitudinal methods; learning analytics; life-events methods; sequence analysis; clustering</t>
  </si>
  <si>
    <t>Conde M.Á., López-Pernas S., Peltekova E., Pancheva K., Raspopović Milić M., Saqr M.</t>
  </si>
  <si>
    <t>Multi-stakeholder Perspective on the Gap Between Existing Realities and New Requirements for Online and Blended Learning: An Exploratory Study</t>
  </si>
  <si>
    <t>1109</t>
  </si>
  <si>
    <t>1116</t>
  </si>
  <si>
    <t>10.1007/978-981-99-0942-1_117</t>
  </si>
  <si>
    <t>Online and blended learning are teaching modalities that have become very popular and widespread all over the world. Applying these modalities requires specific knowledge as well as an appropriate technological infrastructure. The COVID-19 pandemic caused an important online migration in most educational institutions. In this regard, existing literature covers issues such as the impact, the challenges, the tools, the problems, etc. What could also be interesting is to understand students’, teachers’ and administrative staff’s perspectives about how blended and online learning were developed and how it is going to be applied in the future. With this in mind, the ILEDA project team has carried out an exploratory study, which takes into account these three collectives in four different European universities. From the study, it is possible to see that the institutions and their lecturers and staff were probably not prepared for the online migration and the possibilities they had were quite different from students’ expectations.</t>
  </si>
  <si>
    <t>higher education; e-learning; blended learning; COVID-19 period; learning analytics</t>
  </si>
  <si>
    <t>Saqr M., Matcha W., Ahmad Uzir N-A., Jovanovic J., Gasevic. G, López-Pernas S.</t>
  </si>
  <si>
    <t>Transferring effective learning strategies across learning contexts matters: A study in problem-based learning</t>
  </si>
  <si>
    <t>Australasian Journal of Educational Technology</t>
  </si>
  <si>
    <t>Description</t>
  </si>
  <si>
    <t>39</t>
  </si>
  <si>
    <t>3</t>
  </si>
  <si>
    <t>2025-2027</t>
  </si>
  <si>
    <t>35</t>
  </si>
  <si>
    <t>Member of the DFG (Deutsche Forschugsgemeinschaft) network in "New Realities of Global Virtual Work: Interdisciplinary Perspectives and Integrative Approaches" funded by the German Research Foundation</t>
  </si>
  <si>
    <t>10.14742/ajet.8303</t>
  </si>
  <si>
    <t>Invited keynote speaker at the Future of Teaching - the Future of Learning conference (FTFL 2025) (Dennis Gabor University)</t>
  </si>
  <si>
    <t>2024</t>
  </si>
  <si>
    <t>Invited keynote speaker at the "Pakohuonepelien käyttö opetuksessa" seminar (Turku University)</t>
  </si>
  <si>
    <t>Invited keynote speaker at the eLearning conference (Belgrade Metropolitan University)</t>
  </si>
  <si>
    <t>2022</t>
  </si>
  <si>
    <t>Awarded Title of Docent in Educational Data Mining at University of Eastern Finland</t>
  </si>
  <si>
    <t>2021</t>
  </si>
  <si>
    <t>Invited keynote speaker at the OAHOT project seminar (University of Eastern Finland)</t>
  </si>
  <si>
    <t>Invited speaker at the Unlock project seminar (Universidad de Granada)</t>
  </si>
  <si>
    <t>2018-2022</t>
  </si>
  <si>
    <t>Participated in 12 Educational Innovation projects (funded by Universidad Politécnica de Madrid)</t>
  </si>
  <si>
    <t>Learning strategies are important catalysts of students’ learning. Research has shown that students with effective learning strategies are more likely to have better academic achievement and complete the program. Given the importance of learning strategies in problem-based learning —and in education in general— for student’s learning and achievement, this study aimed to investigate students’ adoption of learning strategies in different course implementations as well as the transfer of learning strategies between courses and relations to performance. We took advantage of recent advances in learning analytics methods, namely sequence and process mining, as well as statistical methods and visualizations to study how students regulate their online learning through using learning strategies. The study included 81,739 log traces of students’ learning related activities from two different problem-based learning medical courses. The results revealed a relation between the adopted learning strategies, course implementation and scaffolding. Students who applied deep learning strategies were more likely to score high grades, and students who applied surface learning strategies were more likely to score lower grades in either course. More importantly, students who were able to transfer deep learning strategies or continue to use effective strategies between courses proved to be the ones with the highest scores, and the least likely to adopt surface strategies in the subsequent course. These results highlight the need for supporting the development of effective learning strategies in PBL curricula so that students adopt and transfer effective strategies as they advance through the program.</t>
  </si>
  <si>
    <t>learning strategies; problem-based learning; learning analytics; sequence mining; process mining</t>
  </si>
  <si>
    <t>2019-Now</t>
  </si>
  <si>
    <t>FIWARE individual member</t>
  </si>
  <si>
    <t>2016-Now</t>
  </si>
  <si>
    <t>Additional training: +200 hours of online courses in data science, big data and programming, +500 hours of pedagogical training, and +60 hours of research training</t>
  </si>
  <si>
    <t>Saqr M., López-Pernas S., Helske S., Hrastinski S.</t>
  </si>
  <si>
    <t>The longitudinal association between engagement and achievement varies by time, students’ profiles, and achievement state: A full program study</t>
  </si>
  <si>
    <t>Computers and Education</t>
  </si>
  <si>
    <t>199</t>
  </si>
  <si>
    <t>104787</t>
  </si>
  <si>
    <t>2011</t>
  </si>
  <si>
    <t>10.1016/j.compedu.2023.104787</t>
  </si>
  <si>
    <t>Cambridge Certificate of Proficiency in English (CPE) - C2</t>
  </si>
  <si>
    <t>There is a paucity of longitudinal studies in online learning across courses or throughout programs. Our study intends to add to this emerging body of research by analyzing the longitudinal trajectories of interaction between student engagement and achievement over a full four-year program. We use learning analytics and life-course methods to study how achievement and engagement are intertwined and how such relationship evolves over a full program for 106 students. Our findings have indicated that the association between engagement and achievement varies between students and progresses differently between such groups over time. Our results showed that online engagement at any single time-point is not a consistent indicator for high achievement. It takes more than a single point of time to reliably forecast high achievement throughout the program. Longitudinal high grades, or longitudinal high levels of engagement (either separately or combined) were indicators of a stable academic trajectory in which students remained engaged —at least on average— and had a higher level of achievement. On the other hand, disengagement at any time point was consistently associated with lower achievement among low-engaged students. Improving to a higher level of engagement was associated with —at least— acceptable achievement levels and rare dropouts. Lack of improvement or “catching up” may be a more ominous sign that should be proactively addressed.</t>
  </si>
  <si>
    <t>Learning analytics; Multi-channel sequence analysis; Longitudinal engagement; Academic achievement; Mixture hidden Markov models; Student profiles; Person-centered methods</t>
  </si>
  <si>
    <t>9</t>
  </si>
  <si>
    <t>López-Pernas S., Saqr M., Apiola M.</t>
  </si>
  <si>
    <t>Scientometrics: A Concise Introduction and a Detailed Methodology for Mapping the Scientific Field of Computing Education Research</t>
  </si>
  <si>
    <t>Past, Present and Future of Computing Education Research: A Global Perspective. Springer</t>
  </si>
  <si>
    <t>79</t>
  </si>
  <si>
    <t>99</t>
  </si>
  <si>
    <t>10.1007/978-3-031-25336-2_5</t>
  </si>
  <si>
    <t>Book Chapter</t>
  </si>
  <si>
    <t>Scientometrics has emerged as a research field for the evaluation and mapping of scientific fields, exploring research themes, collaboration clusters and identifying gaps and future trends. While early implementations have focused on quantitative metrics, recent directions emphasize a more nuanced approach that combines qualitative methods with quantitative analysis that triangulates several aspects, e.g., temporal trends, network, and semantic analysis. This chapter reviews scientometrics as a research methodology and discusses the strengths and weaknesses and how such weaknesses can be amended. The chapter also discusses the main methodological approach, and its theoretical underpinnings, used in some of the book chapters that make use of scientometrics as a means to map the field of CER.</t>
  </si>
  <si>
    <t>scientometrics; computing education research; bibliometrics</t>
  </si>
  <si>
    <t>A3</t>
  </si>
  <si>
    <t>López-Pernas S., Apiola M., Saqr M., Pears A., Tedre M.</t>
  </si>
  <si>
    <t>A Scientometric Perspective on the Evolution of the SIGCSE Technical Symposium: 1970–2021</t>
  </si>
  <si>
    <t>Past, Present and Future of Computing Education Research: A Global Perspective, Springer</t>
  </si>
  <si>
    <t>193</t>
  </si>
  <si>
    <t>212</t>
  </si>
  <si>
    <t>10.1007/978-3-031-25336-2_10</t>
  </si>
  <si>
    <t>ACM’s Special Interest Group on Computer Science Education’s (SIGCSE) Technical Symposium is considered by many to be ACM’s flagship conference for computing educators. SIGCSE Technical Symposium has been held annually since 1970 as an in-person conference, with the exception of 2020, when it was cancelled (with some papers presented in 2021). The conference attracts many computing educators, numbering in the thousands in recent times and is by far the top publication outlet in computer science education with regards to number of published articles. This chapter explores the evolution of the first 51 years of SIGCSE from its inception in 1970 to the present day, using primarily scientometric data. We explore the evolution of the SIGCSE conference with regards to shifts in research themes, influential authors, author networks and clusters of keywords. We also explore the potential for internationalization of the conference. Participation in the SIGCSE symposium has strong US roots, and we examine the impact on participation as ACM SIGCSE membership expanded to Europe and Australasia, and new conferences such as ACE, ICER and Koli Calling established themselves.</t>
  </si>
  <si>
    <t>computing education research; scientometrics</t>
  </si>
  <si>
    <t xml:space="preserve">Apiola M., López-Pernas S., Saqr M., Malmi L., Daniels M. </t>
  </si>
  <si>
    <t>Exploring the Past, Present and Future of Computing Education Research: An Introduction</t>
  </si>
  <si>
    <t>1</t>
  </si>
  <si>
    <t>7</t>
  </si>
  <si>
    <t>10.1007/978-3-031-25336-2_1</t>
  </si>
  <si>
    <t>This chapter is an introduction to the book “Past, Present and Future of Computing Education Research: A Global Perspective.” This book uses a mixture of scientometrics, meta-research and case studies to offer a new view about the evolution and current state of computing education research (CER) as a field of science. In its 21 chapters, this book presents new insights of authors, author communities, publication venues, topics of research, and of regional initiatives and topical communities of CER. This chapter presents an overview of the contents of this book.</t>
  </si>
  <si>
    <t>Dagienė V., Gülbahar Y., Grgurina N., López-Pernas S., Saqr M., Apiola M., Stupurienė G.</t>
  </si>
  <si>
    <t>Computing Education Research in Schools</t>
  </si>
  <si>
    <t>481</t>
  </si>
  <si>
    <t>520</t>
  </si>
  <si>
    <t>10.1007/978-3-031-25336-2_20</t>
  </si>
  <si>
    <t>One of the most researched domains of computing education research (CER) that attracts attention is computing education in schools, starting from pre-primary level up to upper secondary level (K-12). A high number of initiatives and related research contributions have appeared over half a century of computing history in schools. This chapter presents an overview of CER in the K-12 domain, including globally influential movements such as that of Logo pedagogy, constructionism, inquiry based learning or computational thinking (CT). Development of CT in education, based on a number of previous reviews on CT and K-12, paints a diverse picture of the approaches, educational technologies, pedagogical innovations, and related challenges such as lack of teacher training or shortage of learning resources. This article presents also a scientometric overview of CER research in the K-12 domain. The analysis identifies the top topics of research, and foundational articles. While much of the research is centered around the US, key research from other parts of the globe is also highlighted. Emergence of new trends such as teaching artificial intelligence and machine learning in schools are also discussed.</t>
  </si>
  <si>
    <t>Malmi L., Hellas A., Ihantola P., Isomöttönen V., Jormanainen I., Kilamo T., Knutas A., Korhonen A., Laakso M.-J., López-Pernas S., Poranen T., Salakoski T., Suhonen J.</t>
  </si>
  <si>
    <t>Computing Education Research in Finland</t>
  </si>
  <si>
    <t>335</t>
  </si>
  <si>
    <t>372</t>
  </si>
  <si>
    <t>10.1007/978-3-031-25336-2_16</t>
  </si>
  <si>
    <t>Despite being a small country, Finland has been highly visible in international Computing Education Research (CER). This is demonstrated by the presence of several important research groups, dozens of graduated PhD students in CER during the last 20 years, and the success of the Koli Calling International Conference of CER, which has been running for 20 years now. In this chapter, we present the development of the CER field in Finland, the profiles of various research groups, and the roles of several national level networking activities which have supported the field. We discuss factors behind the strong presence and success of CER in Finnish universities.</t>
  </si>
  <si>
    <t>Agbo F.J., Ntinda M., López-Pernas S., Saqr M., Apiola M.</t>
  </si>
  <si>
    <t>Computing Education Research in the Global South</t>
  </si>
  <si>
    <t>311</t>
  </si>
  <si>
    <t>333</t>
  </si>
  <si>
    <t>10.1007/978-3-031-25336-2_15</t>
  </si>
  <si>
    <t>Scientometric analyses of publication data from all major computing education research (CER) outlets show that many countries and whole continents are greatly underrepresented on the global map of contributions to CER. For example, only a minor portion of CER has originated from countries in the Global South (GS) or has addressed challenges of computing education in the GS. In this chapter, we shift the focus to scientometrically analyse CER papers that originate from countries in the GS. From the metadata of all CER publications in central publication outlets of CER, we have selected a subset of articles with authors affiliated to an institution in a GS Country, as defined by the United Nations (UN). The analysis shows publication trends, prolific authors, and country collaboration patterns. A number of crucial and interesting avenues for future research and collaboration are presented.</t>
  </si>
  <si>
    <t>Apiola M., López-Pernas S., Saqr M.</t>
  </si>
  <si>
    <t>The Venues that Shaped Computing Education Research: Dissemination Under the Lens</t>
  </si>
  <si>
    <t>150</t>
  </si>
  <si>
    <t>10.1007/978-3-031-25336-2_7</t>
  </si>
  <si>
    <t>A fundamental part of science is dissemination. Previous research has analysed dissemination practices in few of the central publication outlets. In this chapter, we add into that research by analysing dissemination practices of CER in a range of 1523 journals and conference series that are (a) exclusively dedicated to CER, and (b) in outlets that publish CER together with other topics, such as general education, engineering or computer science. Our results show that a small and highly dedicated core of venues publishes a remarkable share of CER, that CER has a conference-oriented publication tendency, significant variations in citation rates, and differences in the diversity of topics within and between the dedicated and non-dedicated publication outlets. In all, our macro-level analysis makes a significant contribution into the research of dissemination in CER.</t>
  </si>
  <si>
    <t>Apiola M., Saqr M., López-Pernas S.</t>
  </si>
  <si>
    <t>The Hands that Made Computing Education Research: Top Authors, Networks, Collaboration and Newcomers</t>
  </si>
  <si>
    <t>101</t>
  </si>
  <si>
    <t>119</t>
  </si>
  <si>
    <t>10.1007/978-3-031-25336-2_6</t>
  </si>
  <si>
    <t>Computing Education Research (CER), like any other discipline of science, is fundamentally driven by people and their networks of collaboration. Previous research has analysed authorship patterns and collaboration in distinct well known dissemination outlets of CER. In this chapter, we add to that approach by analysing a comprehensive set of metadata of CER publications. We analyse author productivity including newcomer patterns, clusters of co-authorship and international collaboration, and authors who build bridges between communities. Our results reveals top authors and their production before and after 2000, clusters of collaborators and their areas of topics as revealed by top keywords, a healthy evolution of newcomer-patterns, and a set of authors who build bridges between communities. In all, our macro-level analysis adds a significant contribution to our understanding of the role of authors in the evolution of CER.</t>
  </si>
  <si>
    <t>computing education research; authors; scientometrics</t>
  </si>
  <si>
    <t>The Evolving Themes of Computing Education Research: Trends, Topic Models, and Emerging Research</t>
  </si>
  <si>
    <t>151</t>
  </si>
  <si>
    <t>169</t>
  </si>
  <si>
    <t>10.1007/978-3-031-25336-2_8</t>
  </si>
  <si>
    <t>A combined body of reviews, meta-research and other analyses demonstrates the evolution of computing education research (CER) through the decades with experience reports evolving to empirical research, increased attention paid to educational research, methods and reporting rigor. Previous analyses of CER publications show the sustained focus of CER on programming education, which has, by far, been the all-time most popular topic in CER. In the recent decade, other top researched areas include K-12 computing education and computational thinking. In this chapter, we add new insights to the top research areas of CER. We followed the PRISMA-S (Preferred Reporting Items for Systematic reviews and Meta-Analyses) literature search extension to capture the relevant literature on CER. The process of data retrieval, screening, and pre-processing resulted in a total of 16,863 articles included in the dataset. We use a combination of keyword analysis and structural topic modeling, and introduce a model of 29 topics. We also introduce emerging topics in recent years through an analysis of emerging common words in abstracts and titles during recent years. The results paint a unique picture about the dominating and trending research areas of CER, and of how common research topics are connected with each other. The analysis also reveals under-researched areas of CER.</t>
  </si>
  <si>
    <t>computing education research; scientometrics; keywords</t>
  </si>
  <si>
    <t>Saqr M., López-Pernas S., Apiola M.</t>
  </si>
  <si>
    <t>Capturing the Impact and the Chatter Around Computing Education Research Beyond Academia in Social Media, Patents, and Blogs</t>
  </si>
  <si>
    <t>171</t>
  </si>
  <si>
    <t>191</t>
  </si>
  <si>
    <t>10.1007/978-3-031-25336-2_9</t>
  </si>
  <si>
    <t>Research impact goes beyond academia and exists in the multiplicity of digital platforms that we use to read, share, and discuss knowledge. Computing education research (CER) is no exception: it is created in academia and typical research institutions but is talked about widely on social media, blogs, and news websites. The aim of this study is to have a comprehensive analysis of how research in CER has been received, talked about in social media, discussed on blogs, and spread to the news and media. In addition to common analysis of trends of growth, we analyze trends of usage of social media and quantitative analysis of platforms, articles, and venues. The analysis also includes which articles and in which subfields had a wide impact, and for whom (i.e., which platforms had more impact). The results show that Altmetrics adoption is weak, yet increasingly growing fast. Gender and diversity issues made it to popular news sites, e.g., Scientific American, Los Angeles Times, and Christian Science Monitor, while articles about ethics, programming education, introductory courses as well as computational thinking and inclusion have captured the attention of social media users. There was weak—or no—correlation between article, author or topic impact and the traditional impact measures, e.g., citation count.</t>
  </si>
  <si>
    <t>Theoretical Computer Science; Media Studies; Computing education; computer science education; Altmetric; bibliometrics; scientometrics; social media; twitter</t>
  </si>
  <si>
    <t>Learning analytics methods and tutorials: A practical guide using R</t>
  </si>
  <si>
    <t>Springer</t>
  </si>
  <si>
    <t>10.1007/978-3-031-54464-4</t>
  </si>
  <si>
    <t>Book</t>
  </si>
  <si>
    <t>This open access comprehensive methodological book offers a much-needed answer to the lack of resources and methodological guidance in learning analytics, which has been a problem ever since the field started. The book covers all important quantitative topics in education at large as well as the latest in learning analytics and education data mining. The book also goes deeper into advanced methods that are at the forefront of novel methodological innovations. Authors of the book include world-renowned learning analytics researchers, R package developers, and methodological experts from diverse fields offering an unprecedented interdisciplinary reference on novel topics that is hard to find elsewhere.</t>
  </si>
  <si>
    <t>learning analytics methods; educational data mining; quantitative methods in education; social network analysis; sequence analysis; Process mining; machine learning in education; artificial intelligence in education; temporal networks; epistemic networks; open access</t>
  </si>
  <si>
    <t>C2</t>
  </si>
  <si>
    <t>Advanced Learning Analytics Methods: AI, Precision and Complexity</t>
  </si>
  <si>
    <t>10.1007/978-3-031-95365-1</t>
  </si>
  <si>
    <t>This comprehensive and timely methodological book introduces several novel topics under the overarching sections of advanced learning analytics (LA), artificial intelligence (AI), precision education, and complex systems. These topics are presented using accessible language, beginning with introductory chapters that cover the fundamentals of each section, followed by step-by-step tutorials featuring code and datasets for various methods within each area. Although the title refers to “advanced LA,” the book is written for the broader educational research community and is of interest to quantitative researchers from diverse backgrounds. The first section focuses on Explainable AI and machine learning (ML), with an introduction to the methods, their applications, and tutorials. The second section outlines the foundational concepts of LLMs, their potential applications, and related methodologies, with a tutorial on using LLMs in various analytical tasks. The third section focuses on complex systems, which have become integral to many disciplines and have enabled breakthroughs in modeling intractable problems. Here, three chapters cover Transition Network Analysis (TNA), which fills a critical gap in modeling the temporal unfolding of learning processes over time from a complex systems perspective. The final section addresses precision education, with a particular emphasis on person-centered and person-specific (idiographic) methodologies.</t>
  </si>
  <si>
    <t>Open Access; learning analytics; learning analytics methods; educational data mining; data mining with R; predictive learning analytics; explainable artificial intelligence; complex systems; peecisión education; person-specific; natural language processing; psychological networks; complex system dynamics; idiographic analytics; single subject analytics; Artificial Intelligence; machine learning; Tutorials; R; Precision AI</t>
  </si>
  <si>
    <t>10.1007/978-3-031-25336-2</t>
  </si>
  <si>
    <t>This book presents a collection of meta-studies, reviews, and scientometric analyses that together reveal a fresh picture about the past, present, and future of computing education research (CER) as a field of science. The book begins with three chapters that discuss and summarise meta-research about the foundations of CER, its disciplinary identity, and use of research methodologies and theories. Based on this, the book proceeds with several scientometric analyses, which explore authors and their collaboration networks, dissemination practices, international collaboration, and shifts in research focus over the years. Analyses of dissemination are deepened in two chapters that focus on some of the most influential publication venues of CER. The book also contains a series of country-, or region-level analyses, including chapters that focus on the evolution of CER in the Baltic Region, Finland, Australasia, Israel, and in the UK &amp; Ireland. Two chapters present case studies of influential CER initiatives in Sweden and Namibia. This book also includes chapters that focus on CER conducted at school level, and cover crucially important issues such as technology ethics, algorithmic bias, and their implications for CER.In all, this book contributes to building an understanding of the past, present and future of CER. This book also contributes new practical guidelines, highlights topical areas of research, shows who to connect with, where to publish, and gives ideas of innovative research niches. The book takes a unique methodological approach by presenting a combination of meta-studies, scientometric analyses of publication metadata, and large-scale studies about the evolution of CER in different geographical regions. This book is intended for educational practitioners, researchers, students, and anyone interested in CER. This book was written in collaboration with some of the leading experts of the field.</t>
  </si>
  <si>
    <t>Computing education research; Computing education; Computer science education; Computer science education research; Education research; Education; Scientometrics; Bibliometrics; Software engineering education; Technology ethics; History of computing education; History of computing; Science mapping; Meta-review; Review; Large-scale analyses; Programming education; Learning analytics; Educational data; Computer science</t>
  </si>
  <si>
    <t>Saqr M., López-Pernas S., Jovanovic J., Gasevic. G</t>
  </si>
  <si>
    <t>Intense, turbulent, or wallowing in the mire: A longitudinal study of cross-course online tactics, strategies, and trajectories</t>
  </si>
  <si>
    <t>The Internet and Higher Education</t>
  </si>
  <si>
    <t>100902</t>
  </si>
  <si>
    <t>10.1016/j.iheduc.2022.100902</t>
  </si>
  <si>
    <t>Research has repeatedly demonstrated that students with effective learning strategies are more likely to have better academic achievement. Existing research has mostly focused on a single course or two, while longitudinal studies remain scarce. The present study examines the longitudinal sequence of students’ strategies, their succession, consistency, temporal unfolding, and whether students tend to retain or adapt strategies between courses. We use a large dataset of online traces from 135 students who completed 10 successive courses (i.e., 1350 course enrollments) in a higher education program. The methods used in this study have shown the feasibility of using trace data recorded by learning management systems to unobtrusively trace and model the longitudinal learning strategies across a program. We identified three program-level strategy trajectories: a stable and intense trajectory related to deep learning where students used diverse strategies and scored the highest grades; a fluctuating interactive trajectory, where students focused on course requirements, scored average grades, and were relatively fluctuating; and a light trajectory related to surface learning where students invested the least effort, scored the lowest grades, and had a relatively stable pathway. Students who were intensely active were more likely to transfer the intense strategies and therefore, they were expected to require less support or guidance. Students focusing on course requirements were not as effective self-regulators as they seemed and possibly required early guidance and support from teachers. Students with consistent light strategies or low effort needed proactive guidance and support.</t>
  </si>
  <si>
    <t>Learning analytics; Learning strategies; Sequence analysis; Longitudinal studies</t>
  </si>
  <si>
    <t>The temporal dynamics of online problem-based learning: Why and when sequence matters</t>
  </si>
  <si>
    <t>International Journal of Computer-Supported Collaborative Learning</t>
  </si>
  <si>
    <t>18</t>
  </si>
  <si>
    <t>37</t>
  </si>
  <si>
    <t>10.1007/s11412-023-09385-1</t>
  </si>
  <si>
    <t>Early research about online PBL explored students’ satisfaction, effectiveness, and design. The temporal aspect of online PBL have rarely been addressed. Thus, a gap exists in how online PBL unfolds: when, and for how long a group engages in collaborative discussions. Similarly, little is known about if and what order or sequence of interactions could predict higher achievement. This study aims to bridge such a gap, by implementing the latest advances in temporal learning analytics to analyze the sequential and temporal phases of online PBL across a large sample (n=204 students) of qualitatively coded interactions (8,009 interactions). We analyzed the group level —to understand the group dynamics across the whole problem discussions— and at the students’ level —to understand the students’ contribution dynamics across different episodes. We followed such analysis by examining the association of interaction types and the sequences thereof with students’ performance using multilevel linear regression models. The analysis of the interactions reflected that the scripted PBL process is followed in sequence, yet often lacked enough depth. When cognitive interactions (e.g., arguments, questions, and evaluations) happened, they kindled high cognitive interactions, when low cognitive and social interactions dominated, they kindled low cognitive interaction. Order and sequence of interactions were more predictive of performance with higher explanatory power than frequencies. Starting or initiating interactions (even with low cognitive content) showed the highest association with performance, which points to the importance of timing and sequence.</t>
  </si>
  <si>
    <t>learning analytics; sequence mining; process mining; CSCL; Problem-based learning</t>
  </si>
  <si>
    <t>How CSCL roles emerge, persist, transition, and evolve over time: A four-year longitudinal study</t>
  </si>
  <si>
    <t>189</t>
  </si>
  <si>
    <t>104581</t>
  </si>
  <si>
    <t>10.1016/j.compedu.2022.104581</t>
  </si>
  <si>
    <t>A prevailing trend in CSCL literature has been the study of students' participatory roles. The majority of existing studies examine a single collaborative task or, at most, a complete course. This study aims to investigate the presence —or the lack thereof— of a more enduring disposition that drives student participation patterns across courses. Based on data from a 4-year program where 329 students used CSCL to collaborate in 10 successive courses (amounting up to 84,597 interactions), we identify the emerging roles using centrality measures and latent profile analysis (LPA) and trace the unfolding of roles over the entire duration of the program. Thereafter, we use Mixture Hidden Markov Models (MHMM) —methods that are particularly useful in detecting “latent traits” in longitudinal data— to identify how students' roles, transition, persist or evolve over time. Relevant covariates were also examined to explain students’ membership of different trajectories. We identified three different roles (leader, mediator, isolate) at the course level. At the program level, we found three distinct trajectories: an intense trajectory with mostly leaders, a fluctuating trajectory with mostly mediators, and a wallowing-in-the-mire trajectory with mostly isolates. Our results show that roles re-emerge consistently regardless of the task or the course over extended periods of time and in a predictable manner. For instance, isolates “assumed” such a role in almost all of their courses over four years. © 2022 The Authors</t>
  </si>
  <si>
    <t>Computer-supported collaborative learning; Learning analytics; Longitudinal analysis; Person-centered; Roles</t>
  </si>
  <si>
    <t>The Curious Case of Centrality Measures: A Large-Scale Empirical Investigation</t>
  </si>
  <si>
    <t>Journal of Learning Analytics</t>
  </si>
  <si>
    <t>13</t>
  </si>
  <si>
    <t>31</t>
  </si>
  <si>
    <t>10.18608/jla.2022.7415</t>
  </si>
  <si>
    <t>There has been extensive research using centrality measures in educational settings. One of the most common lines of such research has tested network centrality measures as indicators of success. The increasing interest in centrality measures has been kindled by the proliferation of learning analytics. Previous works have been dominated by single-course case studies that have yielded inconclusive results regarding the consistency and suitability of centrality measures as indicators of academic achievement. Therefore, large-scale studies are needed to overcome the multiple limitations of existing research (limited datasets, selective and reporting bias, as well as limited statistical power). This study aims to empirically test and verify the role of centrality measures as indicators of success in collaborative learning. For this purpose, we attempted to reproduce the most commonly used centrality measures in the literature in all the courses of an institution over five years of education. The study included a large dataset (n=3,277) consisting of 69 course offerings, with similar pedagogical underpinnings, using meta-analysis as a method to pool the results of different courses. Our results show that degree and eigenvector centrality measures can be a consistent indicator of performance in collaborative settings. Betweenness and closeness centralities yielded uncertain predictive intervals and were less likely to replicate. Our results have shown moderate levels of heterogeneity, indicating some diversity of the results comparable to single laboratory replication studies. © 2022, Society for Learning Analytics Research. All rights reserved.</t>
  </si>
  <si>
    <t>Centrality measures; learning analytics; meta-analysis; replicability; reproducibility; social network analysis</t>
  </si>
  <si>
    <t>Valtonen T., López-Pernas S., Saqr M., Vartiainen H., Sointu E., Tedre M.</t>
  </si>
  <si>
    <t>The nature and building blocks of educational technology research</t>
  </si>
  <si>
    <t>Computers in Human Behavior</t>
  </si>
  <si>
    <t>128</t>
  </si>
  <si>
    <t>107123</t>
  </si>
  <si>
    <t>10.1016/j.chb.2021.107123</t>
  </si>
  <si>
    <t>Supporting teaching and learning with different technologies has a long and broad history. The theories of learning have changed in recent decades, and new technologies have been invented that provide possibilities for supporting learning processes based on different learning theories. Recently, this field has been studied using bibliometric methods with large datasets to gain an overview of this research area. This paper continues this approach by targeting and analyzing the most relevant journals in the field, covering 30,632 articles. The aim was to deepen the results gained from previous bibliometric studies by focusing on the journals within the educational technology field, the keywords used, the most-cited papers, and especially by outlining the theoretical backgrounds of the analyzed articles. Results show new journals with increasing numbers of articles published. By analyzing the publications used as the articles' backgrounds, we can identify the large entities within the field. Articles targeted how technology can support learning processes based on different learning theories. Along with building an understanding of technology-related learning processes, the second large area of research targets the integration and factors affecting the use of technology for teaching and learning practices. The third large perspective focuses on learners’ characteristics, especially their learning skills, motivation, and self-efficacy. The results show that new technologies by themselves do not cause fast changes in research goals and topics; rather, significant changes in the research field evolve slowly. © 2021</t>
  </si>
  <si>
    <t>Saqr M., Elmoazen R., Tedre M., López-Pernas S., Hirsto L.</t>
  </si>
  <si>
    <t>How well centrality measures capture student achievement in computer-supported collaborative learning? – A systematic review and meta-analysis</t>
  </si>
  <si>
    <t>100437</t>
  </si>
  <si>
    <t>10.1016/j.edurev.2022.100437</t>
  </si>
  <si>
    <t>Research has shown the value of social collaboration and the benefits it brings to learners. In this study, we investigate the worth of Social Network Analysis (SNA) in translating students' interactions in computer-supported collaborative learning (CSCL) into proxy indicators of achievement. Previous research has tested the correlation between SNA centrality measures and achievement. Some results indicate a positive association, while others do not. To synthesize research efforts, investigate which measures are of value, and how strong of an association exists, this article presents a systematic review and meta-analysis of 19 studies that included 33 cohorts and 16 centrality measures. Achievement was operationalized in most of the reviewed studies as final course or task grade. All studies reported that one or more centrality measures had a positive and significant correlation with, or a potential for predicting, achievement. Every centrality measure in the reviewed sample has shown a positive correlation with achievement in at least one study. In all the reviewed studies, degree centralities correlated with achievement in terms of final course grades or other achievement measure with the highest magnitude. Eigenvector-based centralities (Eigenvector, PageRank, hub, and authority values) were also positively correlated and mostly statistically significant in all the reviewed studies. These findings emphasize the robustness and reliability of degree- and eigenvector-based centrality measures in understanding students’ interactions in relation to achievement. In contrast, betweenness and closeness centralities have shown mixed or weak correlations with achievement. Taken together, our findings support the use of centrality measures as valid proxy indicators of academic achievement and their utility for monitoring interactions in collaborative learning settings. © 2022 The Authors</t>
  </si>
  <si>
    <t>Achievement; Centrality measures; CSCL; Educational data mining; Learning analytics; Predicting performance; Social network analysis</t>
  </si>
  <si>
    <t>A2</t>
  </si>
  <si>
    <t>Saqr M., López-Pernas S., Hernández-García Á., Conde M.Á., Poquet O.</t>
  </si>
  <si>
    <t>Networks and Learning Analytics: Addressing Educational Challenges</t>
  </si>
  <si>
    <t>Proceedings of the NetSciLA22 workshop (CEUR Workshop Proceedings)</t>
  </si>
  <si>
    <t>3258</t>
  </si>
  <si>
    <t>https://ceur-ws.org/Vol-3258/xpreface.pdf</t>
  </si>
  <si>
    <t>Network Analysis is an established method in learning analytics research. Network Analysis has been used to analyze learners' interactions, to inform learning design, and to model students' performance. The workshop entitled "Using Network Science in Learning Analytics: Building Bridges towards a Common Agenda", carried out within the LAK2021 conference, resulted in valuable insights and outcomes: guidelines for better reporting, methodological improvements, and discussions of several novel research threads. Traditionally, the focus of the conversation has been on methodological issues of network analysis. This year, we would like to extend the conversation by slightly shifting the focus to what network analysis can do to improve learning and educational opportunities. As such, this new edition of the workshop aims to build on the fruitful achievements of the previous iteration to address new themes, which we refer to as “challenges and opportunities” in relation to practice. This edition of the workshop sought contributions around examples of applications and impact, including those that can help address societal challenges embedded within educational practices and those that foster an open conversation about privacy and ethical implications of network data. © 2022 Copyright for this paper by its authors.</t>
  </si>
  <si>
    <t>learning analytics; network analysis; network science; Social network analysis</t>
  </si>
  <si>
    <t>B3</t>
  </si>
  <si>
    <t>The Why, the What and the How to Model a Dynamic Relational Learning Process with Temporal Networks</t>
  </si>
  <si>
    <t>33</t>
  </si>
  <si>
    <t>https://ceur-ws.org/Vol-3258/article_4.pdf</t>
  </si>
  <si>
    <t>Research on online learning has benefited from intensive data collection to understand students' online behavior and performance. Several learning analytics techniques have been operationalized to examine the temporal nature of learning that includes changes, phases, and sequences of students' online actions. Moreover, to account for the relational nature of learning, researchers have harnessed the power of network analysis to model the relational dimensions of data, mapping connections between learners and resources, and discovering interacting communities. However, prior research has rarely combined the two aspects (temporal and relational), but rather most researchers rely on aggregate networks where the time dimension has been ignored. To combine both these aspects, temporal networks provide a rich framework of statistical and visualization techniques that allow to fully understand, for instance, the evolution and building up of learning communities, the sequence of co-construction of knowledge, the flow of information, and the building of social capital, to name a few examples. Since temporal networks have been rarely used in educational research, with this study, we aim to provide an introduction to this method, with an emphasis on the differences with conventional static networks. We explain the basics of temporal networks, the different subtypes thereof, and the measures that can be taken, as well as examples from the few existing prior works. © 2022 Copyright for this paper by its authors.</t>
  </si>
  <si>
    <t>learning analytics; social network analysis; temporal network analysis</t>
  </si>
  <si>
    <t>Concluding remarks of the NetSciLA22 Workshop</t>
  </si>
  <si>
    <t>41</t>
  </si>
  <si>
    <t>46</t>
  </si>
  <si>
    <t>https://ceur-ws.org/Vol-3258/article_5.pdf</t>
  </si>
  <si>
    <t>The NetScila22 workshop builds on the previous iterations of network analysis workshops. The current year themes addressed educational challenges as well as opportunities for future research and for strengthening the community. The workshop included valuable discussions and interactions with both experts and emerging researchers. Such discussions were augmented by a survey that gathered insights form workshop attendees. The discussants recommended improving methodological rigor, leveraging methods that positively impact learning, address data issues, e.g., collection, privacy and reporting as well as better alignment with theory. Other recommendations proposed human-centred artificial intelligence approaches grounded on cognitive science, better communication with stakeholders, sharing ideas within the community and organizing hands-on seminar. The workshop also included presentations that address methodological advances and future opportunities, e.g., temporal networks, semantic networks and attention network. © 2022 Copyright for this paper by its authors.</t>
  </si>
  <si>
    <t>learning analytics; network analysis; network science; semantic networks; temporal network analysis</t>
  </si>
  <si>
    <t>López-Pernas S., Munoz-Arcentales J.A., Aparicio C., Barra E., Gordillo A., Salvachúa J., Quemada J.</t>
  </si>
  <si>
    <t>Educational Data Virtual Lab: Connecting the Dots Between Data Visualization and Analysis</t>
  </si>
  <si>
    <t>IEEE Computer Graphics and Applications</t>
  </si>
  <si>
    <t>42</t>
  </si>
  <si>
    <t>76</t>
  </si>
  <si>
    <t>83</t>
  </si>
  <si>
    <t>10.1109/MCG.2022.3189557</t>
  </si>
  <si>
    <t>Educational Data Virtual Lab (EDVL) is an open-source platform for data exploration and analysis that combines the power of a coding environment, the convenience of an interactive visualization engine, and the infrastructure needed to handle the complete data lifecycle. Based on the building blocks of the FIWARE European platform and Apache Zeppelin, this tool allows domain experts to become acquainted with data science methods using the data available within their own organization, ensuring that the skills they acquire are relevant to their field and driven by their own professional goals. We used EDVL in a pilot study in which we carried out a focus group within a multinational company to gain insight into potential users' perceptions of EDVL, both from the educational and operational points of view. The results of our evaluation suggest that EDVL holds a great potential to train the workforce in data science skills and to enable collaboration among professionals with different levels of expertise. © 1981-2012 IEEE.</t>
  </si>
  <si>
    <t>Q3</t>
  </si>
  <si>
    <t>Best proyect award in the XV open source software contest (CUSL)</t>
  </si>
  <si>
    <t>Instant or Distant: A Temporal Network Tale of Two Interaction Platforms and Their Influence on Collaboration</t>
  </si>
  <si>
    <t>Educating for a New Future: Making Sense of Technology-Enhanced Learning Adoption. EC-TEL 2022. Lecture Notes in Computer Science</t>
  </si>
  <si>
    <t>13450</t>
  </si>
  <si>
    <t>594</t>
  </si>
  <si>
    <t>600</t>
  </si>
  <si>
    <t>10.1007/978-3-031-16290-9_55</t>
  </si>
  <si>
    <t>Supervisor of &lt;b&gt;10 undergraduate theses&lt;/b&gt; in the Bachelor of Engineering in Telecommunication Technologies and Services Engineering (Universidad Politécnica de Madrid)</t>
  </si>
  <si>
    <t>This study compared two iterations of the same course where students had the same assignments. In the first iteration, the students had to use the typical discussion forums offered by the popular Moodle learning management system. In the second iteration, students had to use Discord, the popular gaming chat application. Students’ interactions were retrieved from both platforms and cleaned. Two social networks were constructed using the same methods to evaluate the differences in patterns of interaction between the two platforms, the group interactivity, the reciprocity, and the quality of interactions. The aim is to study how far an instant messenger facilitates or otherwise constrains collaboration. We use temporal network methods to further understand the pace, rhythm, and temporality of interactions. © 2022, The Author(s), under exclusive license to Springer Nature Switzerland AG.</t>
  </si>
  <si>
    <t>CSCL; Learning analytics; Social network analysis; Temporal network analysis</t>
  </si>
  <si>
    <t>Supervisor of &lt;b&gt;4 undergraduate thesis&lt;/b&gt; in the IBPIT (University of Eastern Finland)</t>
  </si>
  <si>
    <t>Supervisor of &lt;b&gt;5 master theses&lt;/b&gt; in the Master's Degree Programme in Information Technology (IMPIT) (University of Eastern Finland)</t>
  </si>
  <si>
    <t>Supervisor of &lt;b&gt;2 master theses&lt;/b&gt; in the Master of Science in Telecommunication Engineering (Universidad Politécnica de Madrid)</t>
  </si>
  <si>
    <t>Apiola M., López-Pernas S., Saqr M., Pears A., Daniels M., Malmi L., Tedre M.</t>
  </si>
  <si>
    <t>From a National Meeting to an International Conference: A Scientometric Case Study of a Finnish Computing Education Conference</t>
  </si>
  <si>
    <t>Supervisor of &lt;b&gt;1 master thesis&lt;/b&gt; in the Master of Science in Telematic Services and Network Engineering (Universidad Politécnica de Madrid)</t>
  </si>
  <si>
    <t>IEEE Access</t>
  </si>
  <si>
    <t>10</t>
  </si>
  <si>
    <t>Co-supervisor of &lt;b&gt;20+ PhD theses&lt;/b&gt; on learning analytics and education technology at University of Eastern Finland (ongoing)</t>
  </si>
  <si>
    <t>66576</t>
  </si>
  <si>
    <t>66588</t>
  </si>
  <si>
    <t>10.1109/ACCESS.2022.3184718</t>
  </si>
  <si>
    <t>Computerisation and digitalisation are shaping the world in fundamental and unpredictable ways, which highlights the importance of computing education research (CER). As part of understanding the roots of CER, it is crucial to investigate the evolution of CER as a research discipline. In this paper we present a case study of a Finnish CER conference called Koli Calling, which was launched in 2001, and which has become a central publication venue of CER. We use data from 2001 to 2020, and investigate the evolution of Koli Calling's scholarly communities and zoom in on it's publication habits and internalisation process. We explore the narrative of the development and scholarly agenda behind changes in the conference submission categories from the perspective of some of the conference chairs over the years. We then take a qualitative perspective, analysing the conference publications based on a comprehensive bibliometric analysis. The outcomes include classification of important research clusters of authors in the community of conference contributors. Interestingly, we find traces of important events in the historical development of CER. In particular, we find clusters emerging from specific research capacity building initiatives and we can trace how these connect research spanning the world CER community from Finland to Sweden and then further to the USA, Australia and New Zealand. This paper makes a strategic contribution to the evolution of CER as a research discipline, from the perspective of one central event and publication venue, providing a broad perspective on the role of the conference in connecting research clusters and establishing an international research community. This work contributes insights to researchers in one specific CER community and how they shape the future of computing education © 2013 IEEE.</t>
  </si>
  <si>
    <t>Computer science education; computing education; computing education research; review; science mapping; scientometrics</t>
  </si>
  <si>
    <t>Tyni J., Tarkiainen A., López-Pernas S., Saqr M., Kahila J., Bednarik R., Tedre M.</t>
  </si>
  <si>
    <t>Games and Rewards: A Scientometric Study of Rewards in Educational and Serious Games</t>
  </si>
  <si>
    <t>31578</t>
  </si>
  <si>
    <t>31585</t>
  </si>
  <si>
    <t>10.1109/ACCESS.2022.3160230</t>
  </si>
  <si>
    <t>In this study we provide a new viewpoint on the body of literature regarding rewards in serious and educational games. The study includes a quantitative bibliometric analysis of literature in this context from 1969 to 2020. The dataset from the Scopus abstract and citation database was analyzed with the Bibliometrix R library. The data set was manually cleaned to contain only the relevant articles and conference papers. The data was then categorized to match the common themes. From the remaining documents, the amount of annual numbers of publications is presented and the most contributing countries are shown. The most frequent terms from the abstracts and keywords set by the authors are presented, and a co-occurrence network is drawn from the same data. The results of this study reveal that the most occurring topics in this dataset are gamification, physical activity, health, game design, and game-based learning. New directions for research are provided as the most commonly used media appear to be video games and mobile devices in addition to the literature being mostly focused on theory and not practical application. © 2022 IEEE.</t>
  </si>
  <si>
    <t>bibliometrics; educational games; rewards; Scientometric analysis; serious games</t>
  </si>
  <si>
    <t>Saqr M., Poquet O., López-Pernas S.</t>
  </si>
  <si>
    <t>Networks in Education: A Travelogue Through Five Decades</t>
  </si>
  <si>
    <t>32361</t>
  </si>
  <si>
    <t>32380</t>
  </si>
  <si>
    <t>10.1109/ACCESS.2022.3159674</t>
  </si>
  <si>
    <t>For over five decades, researchers have used network analysis to understand educational contexts, spanning diverse disciplines and thematic areas. The wealth of traditions and insights accumulated through these interdisciplinary efforts is a challenge to synthesize with a traditional systematic review. To overcome this difficulty in reviewing 1791 articles researching the intersection of networks and education, this study combined a scientometric approach with a more qualitative analysis of metadata, such as keywords and authors. Our analysis shows rapidly growing research that employs network analysis in educational contexts. This research output is produced by researchers in a small number of developed countries. The field has grown more recently, through the surge in the popularity of data-driven methods, the adoption of social media, and themes as teacher professional development and the now-declining MOOC research. Our analysis suggests that research combining networks and educational phenomena continues to lack an academic home, as well as remains dominated by descriptive network methods that depict phenomena such as interpersonal friendship or patterns of discourse-based collaboration. We discuss the gaps in existing research, the methodological shortcomings, the possible future directions and most importantly how network research could help advance our knowledge of learning, learners, and contribute to our knowledge and to learning theories. © 2013 IEEE.</t>
  </si>
  <si>
    <t>bibliometrics; education; learning analytics; network science; Social network analysis</t>
  </si>
  <si>
    <t>Apiola M., Saqr M., López-Pernas S., Tedre M.</t>
  </si>
  <si>
    <t>Computing Education Research Compiled: Keyword Trends, Building Blocks, Creators, and Dissemination</t>
  </si>
  <si>
    <t>27041</t>
  </si>
  <si>
    <t>27068</t>
  </si>
  <si>
    <t>10.1109/ACCESS.2022.3157609</t>
  </si>
  <si>
    <t>The need for organized computing education efforts dates back to the 1950s. Since then, computing education research (CER) has evolved and matured from its early initiatives and separation from mathematics education into a respectable research specialization of its own. In recent years, a number of meta-research papers, reviews, and scientometric studies have built overviews of CER from various perspectives. This paper continues that approach by offering new perspectives on the past and present state of CER: Analyses of influential papers throughout the years, of the theoretical backgrounds of CER, of the institutions and authors who create CER, and finally of the top publication venues and their citation practices. The results reveal influential contributions from early curriculum guidelines to rigorous empirical research of today, the prominence of computer programming as a topic of research, evolving patterns of learning-Theory usage, the dominance of high-income countries and a cluster of 52 elite institutions, and issues regarding citation practices within the central venues of dissemination. © 2013 IEEE.</t>
  </si>
  <si>
    <t>López-Pernas S., Saqr M., Gordillo A., Barra E.</t>
  </si>
  <si>
    <t>A learning analytics perspective on educational escape rooms</t>
  </si>
  <si>
    <t>Interactive Learning Environments</t>
  </si>
  <si>
    <t>10.1080/10494820.2022.2041045</t>
  </si>
  <si>
    <t>Learning analytics methods have proven useful in providing insights from the increasingly available digital data about students in a variety of learning environments, including serious games. However, such methods have not been applied to the specific context of educational escape rooms and therefore little is known about students' behavior while playing. The present work aims to fill the gap in the existing literature by showcasing the power of learning analytics methods to reveal and represent students' behavior when participating in a computer-supported educational escape room. Specifically, we make use of sequence mining methods to analyze the temporal and sequential aspects of the activities carried out by students during these novel educational games. We further use clustering to identify different player profiles according to the sequential unfolding of students' actions and analyze how these profiles relate to knowledge acquisition. Our results show that students' behavior differed significantly in their use of hints in the escape room and resulted in differences in their knowledge acquisition levels. © 2022 The Author(s). Published by Informa UK Limited, trading as Taylor &amp; Francis Group.</t>
  </si>
  <si>
    <t>computer science education; Educational escape rooms; game-based learning; learning analytics; sequence mining; serious games</t>
  </si>
  <si>
    <t>Conde J., Munoz-Arcentales J.A., Alonso Á., López-Pernas S., Salvachúa J.</t>
  </si>
  <si>
    <t>Modeling Digital Twin Data and Architecture: A Building Guide With FIWARE as Enabling Technology</t>
  </si>
  <si>
    <t>IEEE Internet Computing</t>
  </si>
  <si>
    <t>26</t>
  </si>
  <si>
    <t>14</t>
  </si>
  <si>
    <t>10.1109/MIC.2021.3056923</t>
  </si>
  <si>
    <t>The use of digitial twins (DTs) in industry has become a growing trend in recent years, allowing improvement of the life cycle of any process by taking advantage of the relationship between the physical and virtual worlds. Existing literature posits several challenges for building DTs, as well as some proposals for overcoming them. However, in the vast majority of the cases, the architectures and technologies presented are strongly bounded to the domain where the DTs are applied. This article proposes the FIWARE Ecosystem, combining its catalog of components and smart data models as a solution for the development of any DT. We also provide a use case to show how to use FIWARE for building DTs through a complete example of a parking DT. We conclude that the FIWARE Ecosystem constitutes a real reference option for developing DTs in any domain. © 1997-2012 IEEE.</t>
  </si>
  <si>
    <t>Modelling diffusion in computer-supported collaborative learning: a large scale learning analytics study</t>
  </si>
  <si>
    <t>16</t>
  </si>
  <si>
    <t>4</t>
  </si>
  <si>
    <t>441</t>
  </si>
  <si>
    <t>483</t>
  </si>
  <si>
    <t>10.1007/s11412-021-09356-4</t>
  </si>
  <si>
    <t>This study empirically investigates diffusion-based centralities as depictions of student role-based behavior in information exchange, uptake and argumentation, and as consistent indicators of student success in computer-supported collaborative learning. The analysis is based on a large dataset of 69 courses (n = 3,277 students) with 97,173 total interactions (of which 8,818 were manually coded). We examined the relationship between students’ diffusion-based centralities and a coded representation of their interactions in order to investigate the extent to which diffusion-based centralities are able to adequately capture information exchange and uptake processes. We performed a meta-analysis to pool the correlation coefficients between centralities and measures of academic achievement across all courses while considering the sample size of each course. Lastly, from a cluster analysis using students’ diffusion-based centralities aimed at discovering student role-taking within interactions, we investigated the validity of the discovered roles using the coded data. There was a statistically significant positive correlation that ranged from moderate to strong between diffusion-based centralities and the frequency of information sharing and argumentation utterances, confirming that diffusion-based centralities capture important aspects of information exchange and uptake. The results of the meta-analysis showed that diffusion-based centralities had the highest and most consistent combined correlation coefficients with academic achievement as well as the highest predictive intervals, thus demonstrating their advantage over traditional centrality measures. Characterizations of student roles based on diffusion centralities were validated using qualitative methods and were found to meaningfully relate to academic performance. Diffusion-based centralities are feasible to calculate, implement and interpret, while offering a viable solution that can be deployed at any scale to monitor students’ productive discussions and academic success. © 2021, The Author(s).</t>
  </si>
  <si>
    <t>Centrality measures; Computer-supported collaborative learning; Diffusion; Learning analytics; Social network analysis; Students’ roles; Study success</t>
  </si>
  <si>
    <t>The longitudinal trajectories of online engagement over a full program</t>
  </si>
  <si>
    <t>175</t>
  </si>
  <si>
    <t>104325</t>
  </si>
  <si>
    <t>10.1016/j.compedu.2021.104325</t>
  </si>
  <si>
    <t>Student engagement has a trajectory (a timeline) that unfolds over time and can be shaped by different factors including learners’ motivation, school conditions, and the nature of learning tasks. Such factors may result in either a stable, declining or fluctuating engagement trajectory. While research on online engagement is abundant, most authors have examined student engagement in a single course or two. Little research has been devoted to studying online longitudinal engagement, i.e., the evolution of student engagement over a full educational program. This learning analytics study examines the engagement states (sequences, successions, stability, and transitions) of 106 students in 1396 course enrollments over a full program. All data of students enrolled in the academic year 2014–2015, and their subsequent data in 2015–2016, 2016–2017, and 2017–2018 (15 courses) were collected. The engagement states were clustered using Hidden Markov Models (HMM) to uncover the hidden engagement trajectories which resulted in a mostly-engaged (33% of students), an intermediate (39.6%), and a troubled (27.4%) trajectory. The mostly-engaged trajectory was stable with infrequent changes, scored the highest, and was less likely to drop out. The troubled trajectory showed early disengagement, frequent dropouts and scored the lowest grades. The results of our study show how to identify early program disengagement (activities within the third decile) and when students may drop out (first year and early second year). © 2021 The Author(s)</t>
  </si>
  <si>
    <t>Learning analytics; Longitudinal engagement; Sequence mining; Survival analysis; Trajectories of engagement</t>
  </si>
  <si>
    <t>Munoz-Arcentales J.A., López-Pernas S., Conde J., Alonso Á., Salvachúa J., Hierro J.J.</t>
  </si>
  <si>
    <t>Enabling context-aware data analytics in smart environments: An open source reference implementation</t>
  </si>
  <si>
    <t>Sensors</t>
  </si>
  <si>
    <t>21</t>
  </si>
  <si>
    <t>7095</t>
  </si>
  <si>
    <t>10.3390/s21217095</t>
  </si>
  <si>
    <t>In recent years, many proposals of context-aware systems applied to IoT-based smart environments have been presented in the literature. Most previous works provide a generic high-level structure of how a context-aware system can be operationalized, but do not offer clues on how to implement it. On the other hand, there are many implementations of context-aware systems applied to specific IoT-based smart environments that are context-specific: it is not clear how they can be ex-tended to other use cases. In this article, we aim to provide an open-source reference implementation for providing context-aware data analytics capabilities to IoT-based smart environments. We rely on the building blocks of the FIWARE ecosystem and the NGSI data standard, providing an agnostic end-to-end solution that considers the complete data lifecycle, covering from data acquisition and modeling, to data reasoning and dissemination. In other words, our reference implementation can be readily operationalized in any IoT-based smart environment regardless of its field of application, providing a context-aware solution that is not context-specific. Furthermore, we provide two example use cases that showcase how our reference implementation can be used in a variety of fields. © 2021 by the authors. Licensee MDPI, Basel, Switzerland.</t>
  </si>
  <si>
    <t>Big data; Context-aware systems; Data analytics, smart environments; FIWARE; IoT; Machine learning</t>
  </si>
  <si>
    <t>Gordillo A., Barra E., López-Pernas S., Quemada J.</t>
  </si>
  <si>
    <t>Development of teacher digital competence in the area of e-safety through educational video games</t>
  </si>
  <si>
    <t>Sustainability</t>
  </si>
  <si>
    <t>15</t>
  </si>
  <si>
    <t>8485</t>
  </si>
  <si>
    <t>10.3390/su13158485</t>
  </si>
  <si>
    <t>There is a clear need to promote motivating and effective training actions for the development of teachers’ digital competence, especially in the area of e-safety. Although educational video game-based learning has proven effective to improve motivation and learning outcomes, the existing evidence about its effectiveness for the development of teachers’ digital competence is very lim-ited. This study examines the use of educational video games in an online course in MOOC format with the aim of developing teachers’ digital competence in the e-safety area. A total of 179 teachers from nonuniversity schools in the region of Castilla y León (Spain) participated in this study. A pre-test and a post-test were used to measure the knowledge acquired by the participants, and a questionnaire was used to measure their perceptions. The obtained results suggest that game-based learning using educational video games is an effective and viable approach to train teachers in the e-safety area of digital competence. © 2021 by the authors. Licensee MDPI, Basel, Switzerland.</t>
  </si>
  <si>
    <t>Digital competence; E-safety; Game-based learning; Serious games; Teacher professional competence; Teacher training</t>
  </si>
  <si>
    <t>Idiographic learning analytics: A definition and a case study</t>
  </si>
  <si>
    <t>Proceedings - IEEE 21st International Conference on Advanced Learning Technologies, ICALT 2021</t>
  </si>
  <si>
    <t>163</t>
  </si>
  <si>
    <t>165</t>
  </si>
  <si>
    <t>10.1109/ICALT52272.2021.00056</t>
  </si>
  <si>
    <t>Idiographic methods have emerged as a way to examine individual behavior by using several data points from each subject to create person-specific insights. In the field of learning analytics, such methods could overcome the limitations of cross-sectional group-level data that may fail to capture the dynamic processes that unfold within each individual learner and less likely to offer relevant personalized learning or support. In this study, we provide a definition of idiographic learning analytics and we explore the possible potentials of this method to zoom in on the fine-grained dynamics of a single student. Specifically, we make use of Gaussian Graphical Models - an emerging trend in network science - to analyze a single student's dispositions and devise insights specific to him/her. Our findings offer a proof of concept of the potential of this novel method in revealing personalized valuable insights about students' self-regulation. While our specific findings apply to a single student, our method applies to every student regardless of context. © 2021 IEEE.</t>
  </si>
  <si>
    <t>Idiographic learning analytics; Learning analytics; Network science; Psychological networks; Raphical gaussian models</t>
  </si>
  <si>
    <t>Conde J., López-Pernas S., Pozo A., Munoz-Arcentales J.A., Huecas G., Alonso Á.</t>
  </si>
  <si>
    <t>Bridging the gap between academia and industry through students’ contributions to the fiware european open-source initiative: A pilot study</t>
  </si>
  <si>
    <t>Electronics</t>
  </si>
  <si>
    <t>1523</t>
  </si>
  <si>
    <t>10.3390/electronics10131523</t>
  </si>
  <si>
    <t>Although many courses in computer science and software engineering require students to work on practical assignments, these are usually toy projects that do not come close to real professional developments. As such, recent graduates often fail to meet industry expectations when they first enter the workforce. In view of the gap between graduates’ skills and industry expectations, several institutions have resorted to integrating open-source software development as part of their programs. In this pilot study, we report on the results of the contributions of eleven students to the FIWARE open-source project as part of their final year project. Our findings suggest that both teachers and students have a positive perception towards contributing to the FIWARE open-source initiative and that students increased their knowledge of technologies valued by the industry. We also found that this kind of project requires an additional initial effort for the students as well as for the instructor to monitor their progress. Consequently, it is important that the instructors have previous experience in FIWARE, as many of the students need help during the process. © 2021 by the authors. Licensee MDPI, Basel, Switzerland.</t>
  </si>
  <si>
    <t>Active and experiential learning; Higher education; STEM education experiences; University/industry experiences; University/industry/government partnership</t>
  </si>
  <si>
    <t>López-Pernas S., Saqr M., Viberg O.</t>
  </si>
  <si>
    <t>Putting it all together: Combining learning analytics methods and data sources to understand students’ approaches to learning programming</t>
  </si>
  <si>
    <t>4825</t>
  </si>
  <si>
    <t>10.3390/su13094825</t>
  </si>
  <si>
    <t>Learning programming is a complex and challenging task for many students. It involves both understanding theoretical concepts and acquiring practical skills. Hence, analyzing learners’ data from online learning environments alone fails to capture the full breadth of students’ actions if part of their learning process takes place elsewhere. Moreover, existing studies on learning analytics applied to programming education have mainly relied on frequency analysis to classify students according to their approach to programming or to predict academic achievement. However, frequency analysis provides limited insights into the individual time‐related characteristics of the learning process. The current study examines students’ strategies when learning programming, combining data from the learning management system and from an automated assessment tool used to support students while solving the programming assignments. The study included the data of 292 engineering students (228 men and 64 women, aged 20–26) from the two aforementioned sources. To gain an in‐depth understanding of students’ learning process as well as of the types of learners, we used learning analytics methods that account for the temporal order of learning actions. Our results show that students have special preferences for specific learning resources when learning programming, namely, slides that support search, and copy and paste. We also found that videos are relatively less consumed by students, especially while working on programming assignments. Lastly, students resort to course forums to seek help only when they struggle. © 2021 by the authors. Licensee MDPI, Basel, Switzerland.</t>
  </si>
  <si>
    <t>Automated assessment; Computer science; Learning analytics; Process mining; Programming; Sequence mining</t>
  </si>
  <si>
    <t>López-Pernas S., Gordillo A., Barra E.</t>
  </si>
  <si>
    <t>Technology-Enhanced Educational Escape Rooms: A Road Map</t>
  </si>
  <si>
    <t>IT Professional</t>
  </si>
  <si>
    <t>23</t>
  </si>
  <si>
    <t>2</t>
  </si>
  <si>
    <t>9391739</t>
  </si>
  <si>
    <t>32</t>
  </si>
  <si>
    <t>10.1109/MITP.2021.3062749</t>
  </si>
  <si>
    <t>In recent years, escape rooms have become one of the leading leisure activities worldwide. Derived from these activities, educational escape rooms have emerged as a new type of teaching practice with the promise of enhancing students' learning through highly engaging experiences. The rapid rise of educational escape rooms has led to a misalignment between educators' needs for being able to implement this novel teaching practice and the availability of tools to ease the process. Moreover, this lack of support is preventing teachers and students from taking full advantage of the potential of educational escape rooms. This article provides a road map of the most urgent issues to be addressed to bridge the aforementioned gap: easing the creation of digital puzzles, aiding in the logistical aspects of conducting an educational escape room, harnessing learning analytics, fostering remote collaboration, and integrating artificial intelligence to adapt the experience to each team. © 1999-2012 IEEE.</t>
  </si>
  <si>
    <t>G5</t>
  </si>
  <si>
    <t>Gordillo A., Barra E., Garaizar P., López-Pernas S.</t>
  </si>
  <si>
    <t>Use of a Simulated Social Network as an Educational Tool to Enhance Teacher Digital Competence</t>
  </si>
  <si>
    <t>Revista Iberoamericana de Tecnologias del Aprendizaje</t>
  </si>
  <si>
    <t>9328278</t>
  </si>
  <si>
    <t>107</t>
  </si>
  <si>
    <t>114</t>
  </si>
  <si>
    <t>10.1109/RITA.2021.3052686</t>
  </si>
  <si>
    <t>There is a worrying gap between the digital competence that teachers must have to effectively develop their students' digital competence and the one they actually have, especially in the area related to the safe and responsible use of technology. Further investigation is needed on the use of training activities, methods and tools aimed at enhancing this competence. This article examines, in the context of an online course in MOOC format, the usefulness of Social Lab, a simulated social network, as an educational tool to improve the digital competence of teachers in the area of safe and responsible use of technology. © 2013 IEEE.</t>
  </si>
  <si>
    <t>Digital competence; e-safety; educational technology; social engineering; social network; teacher education</t>
  </si>
  <si>
    <t>Apiola M., Tedre M., López-Pernas S., Saqr M., Daniels M., Pears A.</t>
  </si>
  <si>
    <t>A Scientometric Journey Through the FIE Bookshelf: 1982-2020</t>
  </si>
  <si>
    <t>Proceedings - Frontiers in Education Conference, FIE</t>
  </si>
  <si>
    <t>Position</t>
  </si>
  <si>
    <t>10.1109/FIE49875.2021.9637209</t>
  </si>
  <si>
    <t>Current</t>
  </si>
  <si>
    <t>2026-Now</t>
  </si>
  <si>
    <t>IEEE/ASEE Frontiers in Education turned 50 at the 2020 virtual conference in Uppsala, Sweden. This paper presents an historical retrospective on the first 50 years of the conference from a scientometric perspective. That is to say, we explore the evolution of the conference in terms of prolific authors, communities of co-authorship, clusters of topics, and internationalization, as the conference transcended its largely provincial US roots to become a truly international forum through which to explore the frontiers of educational research and practice. The paper demonstrates the significance of FIE for a core of 30% repeat authors, many of whom have been members of the community and regular contributors for more than 20 years. It also demonstrates that internal citation rates are low, and that the co-authoring networks remain strongly dominated by clusters around highly prolific authors from a few well known US institutions. We conclude that FIE has truly come of age as an international venue for publishing high quality research and practice papers, while at the same time urging members of the community to be aware of prior work published at FIE, and to consider using it more actively as a foundation for future advances in the field. © 2021 IEEE.</t>
  </si>
  <si>
    <t>Associate Professor</t>
  </si>
  <si>
    <t>University of Eastern Finland - School of Computing</t>
  </si>
  <si>
    <t>YES</t>
  </si>
  <si>
    <t>2024-2026</t>
  </si>
  <si>
    <t>Academy Fellow</t>
  </si>
  <si>
    <t>Bringing Synchrony and Clarity to Complex Multi-Channel Data: A Learning Analytics Study in Programming Education</t>
  </si>
  <si>
    <t>NO</t>
  </si>
  <si>
    <t>2022-2024</t>
  </si>
  <si>
    <t>166531</t>
  </si>
  <si>
    <t>Senior Researcher</t>
  </si>
  <si>
    <t>166541</t>
  </si>
  <si>
    <t>10.1109/ACCESS.2021.3134844</t>
  </si>
  <si>
    <t>University of Eastern Finland - School of Computing / School of Teacher Education</t>
  </si>
  <si>
    <t>Post-Doctoral Researcher</t>
  </si>
  <si>
    <t>Supporting teaching and learning programming with learning analytics is an active area of inquiry. Most data used for learning analytics research comes from learning management systems. However, such systems were not developed to support learning programming. Therefore, educators have to resort to other systems that support the programming process, which can pose a challenge when it comes to understanding students' learning since it takes place in different contexts. Methods that support the combination of different data sources are needed. Such methods would ideally account for the time-ordered sequence of students' learning actions. In this article, we use a novel method (multi-channel sequence mining with Hidden Markov Models, HMMs) that allows the combination of multiple data sources, accounts for the temporal nature of students' learning actions, and maps the transitions between different learning tactics. Our study included 291 students enrolled in a higher education programming course. Students' trace-log data were collected from the learning management system and from a programming automated assessment tool. Data were analyzed using multi-channel sequence mining and HMM. The results reveal different patterns of students' approaches to learning programming. High achievers start earlier to work on the programming assignments, use more independent strategies and consume learning resources more frequently, while the low achievers procrastinate early in the course and rely on help forums. Our findings demonstrate the potentials of multi-channel sequence mining and how this method can be analyzed using HMM. Furthermore, the results obtained can be of use for educators to understand students' strategies when learning programming. © 2013 IEEE.</t>
  </si>
  <si>
    <t>automated assessment; computer science education; Hidden Markov Models; Learning analytics; programming; sequence mining</t>
  </si>
  <si>
    <t>2021-2022</t>
  </si>
  <si>
    <t>Assistant Professor (Ayudante)</t>
  </si>
  <si>
    <t>Universidad Politécnica de Madrid - ETSI Sistemas Informáticos</t>
  </si>
  <si>
    <t>The Dire Cost of Early Disengagement: A Four-Year Learning Analytics Study over a Full Program</t>
  </si>
  <si>
    <t>Project Researcher</t>
  </si>
  <si>
    <t>Technology-Enhanced Learning for a Free, Safe, and Sustainable World. EC-TEL 2021. Lecture Notes in Computer Science</t>
  </si>
  <si>
    <t>University of Eastern Finland - School of Teacher Education</t>
  </si>
  <si>
    <t>12884</t>
  </si>
  <si>
    <t>136</t>
  </si>
  <si>
    <t>10.1007/978-3-030-86436-1_10</t>
  </si>
  <si>
    <t>Doctoral Researcher</t>
  </si>
  <si>
    <t>Universidad Politécnica de Madrid - ETSI Telecomunicación</t>
  </si>
  <si>
    <t>2017-2018</t>
  </si>
  <si>
    <t>Graduate Research Intern</t>
  </si>
  <si>
    <t>Research on online engagement is abundant. However, most of the available studies have focused on a single course. Therefore, little is known about how students’ online engagement evolves over time. Previous research in face-to-face settings has shown that early disengagement has negative consequences on students’ academic achievement and graduation rates. This study examines the longitudinal trajectory of students’ online engagement throughout a complete college degree. The study followed 99 students over 4 years of college education including all their course data (15 courses and 1383 course enrollments). Students’ engagement states for each course enrollment were identified through Latent Class Analysis (LCA). Students who were not engaged at least one course in the first term was labeled as “Early Disengagement”, whereas the remaining students were labeled as “Early Engagement”. The two groups of students were analyzed using sequence pattern mining methods. The stability (persistence of the engagement state), transition (ascending to a higher engagement state or descending to a lower state), and typology of each group trajectory of engagement are described in this study. Our results show that early disengagement is linked to higher rates of dropout, lower scores, and lower graduation rates whereas early engagement is relatively stable. Our findings indicate that it is critical to proactively address early disengagement during a program, watch the alarming signs such as presence of disengagement during the first courses, declining engagement along the program, or history of frequent disengagement states. © 2021, Springer Nature Switzerland AG.</t>
  </si>
  <si>
    <t>Early disengagement; Learning analytics; Trajectories of engagement</t>
  </si>
  <si>
    <t>2016-2017</t>
  </si>
  <si>
    <t>Undergraduate Research Intern</t>
  </si>
  <si>
    <t>López-Pernas S., Gordillo A., Barra E., Quemada J.</t>
  </si>
  <si>
    <t>Comparing Face-to-Face and Remote Educational Escape Rooms for Learning Programming</t>
  </si>
  <si>
    <t>9405675</t>
  </si>
  <si>
    <t>59270</t>
  </si>
  <si>
    <t>59285</t>
  </si>
  <si>
    <t>10.1109/ACCESS.2021.3073601</t>
  </si>
  <si>
    <t>Existing literature has provided strong evidence that educational escape rooms are engaging and effective learning activities when they are properly conducted in the classroom. However, no prior research has determined whether the positive effects of these novel educational activities on students' perceptions and learning persist when conducted remotely. This article performs, for the first time, a comparative study of the effectiveness of face-to-face and remote educational escape rooms. For this purpose, two versions of the same educational escape room were conducted: one in-class and one remotely. Both experiences were evaluated by means of three different instruments: (1) a pre-test and a post-test for measuring learning gains, (2) a questionnaire for assessing students' perceptions, and (3) a web platform for recording student interaction data during the activities. The results obtained suggest that, although remote educational escape rooms for learning programming can be as engaging as their face-to-face counterparts, their learning effectiveness is somewhat lower. © 2013 IEEE.</t>
  </si>
  <si>
    <t>Computer science education; distance learning; educational escape rooms; educational technology; electronic learning; engineering education; technology enhanced learning</t>
  </si>
  <si>
    <t>Idiographic learning analytics: A single student (N=1) approach using psychological networks</t>
  </si>
  <si>
    <t>Proceedings of the NetSciLA21 workshop (CEUR Workshop Proceedings)</t>
  </si>
  <si>
    <t>2868</t>
  </si>
  <si>
    <t>22</t>
  </si>
  <si>
    <t>https://ceur-ws.org/Vol-2868/article_4.pdf</t>
  </si>
  <si>
    <t>Recent findings in the field of learning analytics have brought to our attention that conclusions drawn from cross-sectional group-level data may not capture the dynamic processes that unfold within each individual learner. In this light, idiographic methods have started to gain grounds in many fields as a possible solution to examine students' behavior at the individual level by using several data points from each learner to create person-specific insights. In this study, we introduce such novel methods to the learning analytics field by exploring the possible potentials that one can gain from zooming in on the fine-grained dynamics of a single student. Specifically, we make use of Gaussian Graphical Models -an emerging trend in network science- to analyze a single student's dispositions and devise insights specific to him/her. The results of our study revealed that the student under examination may be in need to learn better self-regulation techniques regarding reflection and planning. © 2021 Copyright for this paper by its authors.</t>
  </si>
  <si>
    <t>Graphical Gaussian Models; Idiographic learning analytics; Network science; Psychological networks</t>
  </si>
  <si>
    <t>Escapp: A web platform for conducting educational escape rooms</t>
  </si>
  <si>
    <t>38062</t>
  </si>
  <si>
    <t>38077</t>
  </si>
  <si>
    <t>10.1109/ACCESS.2021.3063711</t>
  </si>
  <si>
    <t>Educational escape rooms are emerging as a new type of learning activity with the potential to enhance students' learning through highly engaging experiences. However, conducting educational escape rooms effectively is very complex and there are no software tools available for this purpose. This lack of support is hindering the widespread use and adoption of these activities. This article presents Escapp, a web platform that allows teachers to conduct effective and highly engaging educational escape rooms. The platform has been used for conducting three different educational escape rooms (one face-to-face and two remotely) in three higher education settings. Three case studies were conducted to empirically evaluate the usefulness of Escapp for conducting these activities, which involved more than 400 students. On the one hand, a questionnaire was administered to students to gather their opinions on the Escapp platform, obtaining very positive results in terms of overall usefulness, usability and engagement. On the other hand, data automatically recorded by Escapp during the three educational escape rooms are presented as evidence of the high number of student interactions that take place during activities of this kind and the need of using a software system for conducting them in an effective way. The results of this article show that Escapp is a well-suited solution for conducting effective face-to-face and remote educational escape rooms. © 2020 Institute of Electrical and Electronics Engineers Inc.. All rights reserved.</t>
  </si>
  <si>
    <t>Breakout games; Collaborative learning; Distance learning; Educational activities; Educational technology; Escape rooms; Game-based learning; Gamification; Software tools</t>
  </si>
  <si>
    <t xml:space="preserve">Best copyleft license project award in the XIV open source software contest (CUSL) </t>
  </si>
  <si>
    <t>Barra E., López-Pernas S., Alonso Á., Sánchez-Rada J.F., Gordillo A., Quemada J.</t>
  </si>
  <si>
    <t>Automated Assessment in Programming Courses: A Case Study during the COVID-19 Era</t>
  </si>
  <si>
    <t>2020</t>
  </si>
  <si>
    <t>12</t>
  </si>
  <si>
    <t>2428</t>
  </si>
  <si>
    <t>10.3390/SU12187451</t>
  </si>
  <si>
    <t>The COVID-19 pandemic imposed in many countries, in the short term, the interruption of face-to-face teaching activities and, in the medium term, the existence of a 'new normal', in which teaching methods should be able to switch from face-to-face to remote overnight. However, this flexibility can pose a great difficulty, especially in the assessment of practical courses with a high student-teacher ratio, in which the assessment tools or methods used in face-to-face learning are not ready to be adopted within a fully online environment. This article presents a case study describing the transformation of the assessment method of a programming course in higher education to a fully online format during the COVID-19 pandemic, by means of an automated student-centered assessment tool. To evaluate the new assessment method, we studied students' interactions with the tool, as well as students' perceptions, which were measured with two different surveys: one for the programming assignments and one for the final exam. The results show that the students' perceptions of the assessment tool were highly positive: if using the tool had been optional, the majority of them would have chosen to use it without a doubt, and they would like other courses to involve a tool like the one presented in this article. A discussion about the use of this tool in subsequent years in the same and related courses is also presented, analyzing the sustainability of this new assessment method. © 2020 by the authors.</t>
  </si>
  <si>
    <t>Assessment; Assessment process; Assessment techniques; Assessment tools; Automated assessment; Computer science education; E-learning; Online education</t>
  </si>
  <si>
    <t>López-Pernas S., Jimenez A., Gordillo A., Barra E., Marco L., Quemada J.</t>
  </si>
  <si>
    <t>Ediphy: A modular and extensible open-source web authoring tool for the creation of interactive learning resources</t>
  </si>
  <si>
    <t>Proceedings of the 2020 16th International Conference on Intelligent Environments, IE 2020</t>
  </si>
  <si>
    <t>9154949</t>
  </si>
  <si>
    <t>115</t>
  </si>
  <si>
    <t>10.1109/IE49459.2020.9154949</t>
  </si>
  <si>
    <t>Nowadays, the use of authoring tools has become the most popular way in which teachers create learning resources. These tools commonly facilitate the creation of educational content by combining text, self-assessed activities, and multimedia resources, often allowing authors to export the result in a standard format. Although there are many tools available, it is difficult to find a tool that meets the needs of all users. In order to fulfill the requirements of specific learning scenarios, one possible solution is to adapt an existing e-Learning authoring tool. However, to do so in an easy way, authoring tools should be built on the principles of modular architecture to facilitate and encourage developers to contribute, which is often not the case. This article presents Ediphy, a modular and extensible open-source web authoring tool for the creation of interactive educational content. Its modular nature, based on plugins, makes it easy to extend the tool with new functionalities to meet the requirements of specific educational settings. In order to evaluate Ediphy, two surveys have been conducted: one among end users who have used Ediphy to create learning resources and another one among developers who have contributed to its improvement. Results show that end users have a great opinion of Ediphy and developers find it easy to contribute. © 2020 IEEE.</t>
  </si>
  <si>
    <t>authoring tools; computer-aided instruction; e-Learning; educational technology; learning objects</t>
  </si>
  <si>
    <t>Velásquez W., Alvarez-Alvarado M.S., Munoz-Arcentales J.A., López-Pernas S., Salvachúa J.</t>
  </si>
  <si>
    <t>Body mass index in human gait for building risk assessment using graph theory</t>
  </si>
  <si>
    <t>20</t>
  </si>
  <si>
    <t>2899</t>
  </si>
  <si>
    <t>10.3390/s20102899</t>
  </si>
  <si>
    <t>This article presents a comprehensive study of human physiology to determine the impact of body mass index (BMI) on human gait. The approach followed in this study consists of a mathematical model based on the centre of mass of the human body, the inertia of a person in motion and the human gait speed. Moreover, the study includes the representation of a building using graph theory and emulates the presence of a person inside the building when an emergency takes place. The optimal evacuation route is obtained using the breadth-first search (BFS) algorithm, and the evacuation time prediction is calculated using a Gaussian process model. Then, the risk of the building is quantified by using a non-sequential Monte Carlo simulation. The results open up a new horizon for developing a more realistic model for the assessment of civil safety. © 2020 by the authors. Licensee MDPI, Basel, Switzerland.</t>
  </si>
  <si>
    <t>Body mass index; Breadth-first search; Evacuation routes; Human gait; Monte Carlo simulation</t>
  </si>
  <si>
    <t>Munoz-Arcentales J.A., López-Pernas S., Pozo A., Alonso Á., Salvachúa J., Huecas G.</t>
  </si>
  <si>
    <t>Data usage and access control in industrial data spaces: Implementation using FIWARE</t>
  </si>
  <si>
    <t>3885</t>
  </si>
  <si>
    <t>10.3390/su12093885</t>
  </si>
  <si>
    <t>In recent years, a new business paradigm has emerged which revolves around effectively extracting value from data. In this scope, providing a secure ecosystem for data sharing that ensures data governance and traceability is of paramount importance as it holds the potential to create new applications and services. Protecting data goes beyond restricting who can access what resource (covered by identity and Access Control): it becomes necessary to control how data are treated once accessed, which is known as data Usage Control. Data Usage Control provides a common and trustful security framework to guarantee the compliance with data governance rules and responsible use of organizations' data by third-party entities, easing and ensuring secure data sharing in ecosystems such as Smart Cities and Industry 4.0. In this article, we present an implementation of a previously published architecture for enabling access and Usage Control in data-sharing ecosystems among multiple organizations using the FIWARE European open source platform. Additionally, we validate this implementation through a real use case in the food industry. We conclude that the proposed model, implemented using FIWARE components, provides a flexible and powerful architecture to manage Usage Control in data-sharing ecosystems. © 2020 by the authors.</t>
  </si>
  <si>
    <t>Data access control; Data economy; Data governance; Data usage control; FIWARE; Industry 4.0; International data spaces; IoT; Shared data; UCON; Usage policies; XACML</t>
  </si>
  <si>
    <t>Alonso Á., Pozo A., Gordillo A., López-Pernas S., Munoz-Arcentales J.A., Marco L., Barra E.</t>
  </si>
  <si>
    <t>Enhancing university services by extending the eIDAS European specification with academic attributes</t>
  </si>
  <si>
    <t>770</t>
  </si>
  <si>
    <t>10.3390/su12030770</t>
  </si>
  <si>
    <t>The European electronic IDentification, Authentication and trust Services (eIDAS) regulation makes available a solution to ensure the cross-border mutual recognition of electronic IDentification (eID) mechanisms among Member States. However, the basic set of attributes currently provided by each country only contains citizens' personal and legal attributes, preventing e-services to take full advantage of citizens' domain-specific information, such as academic or medical data. In this article, we propose an extension of the eIDAS specification to support academic attributes as part of citizens' profiles. In addition, we present an architecture to enable the connection of eIDAS nodes to national attribute providers to enrich citizens' profiles with additional academic attributes. We have deployed the eIDAS extension in the specific case of the Spanish eIDAS infrastructure, and we have connected it to an attribute provider of the Technical University of Madrid (UPM). We have also improved a set of institutional services of that university by enabling the connection to eIDAS and enhancing the features offered to students based on their academic profiles retrieved from the eIDAS extended infrastructure. Finally, we have evaluated the resulting services thanks to real students from two different countries, concluding that the widespread adoption of the proposed solution in the academic services of European universities will greatly improve their quality and usability. © 2020 by the authors.</t>
  </si>
  <si>
    <t>Academic attributes; E-services; EIDAS; Electronic identification; Erasmus; Identity; Student mobility</t>
  </si>
  <si>
    <t>Gordillo A., López-Fernández D., López-Pernas S., Quemada J.</t>
  </si>
  <si>
    <t>Evaluating an Educational Escape Room Conducted Remotely for Teaching Software Engineering</t>
  </si>
  <si>
    <t>8</t>
  </si>
  <si>
    <t>9292916</t>
  </si>
  <si>
    <t>225032</t>
  </si>
  <si>
    <t>225051</t>
  </si>
  <si>
    <t>10.1109/ACCESS.2020.3044380</t>
  </si>
  <si>
    <t>With the rise of distance learning, new challenges have emerged for educators. Among these challenges, developing effective and motivating group activities for students in the remote classroom is one of the top priorities to be addressed. According to existing literature, educational escape rooms have proven to be engaging and effective learning activities when conducted face-to-face. However, no prior research has analyzed the instructional effectiveness of these activities when they are conducted remotely. Furthermore, none of the educational escape rooms reported in the literature has been designed for teaching software modeling. This article analyzes an educational escape room conducted remotely in a software engineering fundamentals course for teaching software modeling. A total of three evaluation instruments were used: a pre-test and a post-test to measure students' learning gains, a questionnaire to collect students' perceptions, and a web platform for automatically gathering data on students' interactions. The contribution of this article is two-fold. On the one hand, it provides, for the first time, evidence that remote educational escape rooms can be effective learning activities. On the other hand, it provides, also for the first time, proof that educational escape rooms are effective and engaging activities for teaching software modeling. © 2013 IEEE.</t>
  </si>
  <si>
    <t>Computer science education; distance learning; educational escape rooms; educational technology; software engineering education</t>
  </si>
  <si>
    <t>Mareca P., López-Pernas S.</t>
  </si>
  <si>
    <t>Learning 3.0: Animations and creativity on Wikipedia [Aprendizaje 3.0: Animaciones y creatividad en Wikipedia]</t>
  </si>
  <si>
    <t>2019</t>
  </si>
  <si>
    <t>Iberian Conference on Information Systems and Technologies, CISTI</t>
  </si>
  <si>
    <t>8760974</t>
  </si>
  <si>
    <t>10.23919/CISTI.2019.8760974</t>
  </si>
  <si>
    <t>Digital supports in education with their different orientations are, nowadays, a reality. It is essential to refine and improve the procedures and educational tools in order to contribute to the improvement of the quality of students' learning as well as to a wider dissemination of knowledge. Hence, a new educational model arises, e-Learning 3.0, supported by Web 3.0. With this work we aim to contribute to e-Learning 3.0 by highlighting the importance of the image in achieving student learning, especially that of the first courses of the University and Technical Institutes. In this article we detail and highlight the importance of figures and graphics in an educational project that is carried out at Universidad Politécnica de Madrid, 'Wikifísica', in which imagery and creative media become prime vehicles for the process of learning, highlighting the advantages they bring to it.. © 2019 AISTI.</t>
  </si>
  <si>
    <t>Animations; Collaborative learning; Image edition; Learning 3.0; Wikipedia</t>
  </si>
  <si>
    <t>An architecture for providing data usage and access control in data sharing ecosystems</t>
  </si>
  <si>
    <t>Procedia Computer Science</t>
  </si>
  <si>
    <t>160</t>
  </si>
  <si>
    <t>590</t>
  </si>
  <si>
    <t>597</t>
  </si>
  <si>
    <t>10.1016/j.procs.2019.11.042</t>
  </si>
  <si>
    <t>We are experiencing a new digital revolution in which data are becoming a key pillar for business and industry. Promoting data sharing, without compromising data sovereignty and traceability, is fundamental since it provides a heterogeneous ecosystem with the potential to enrich the variety of applications and services that take part in this digital revolution. In this scope, the use of secure and trusted platforms for sharing and processing personal and industrial data is crucial for the creation of a data market and a data economy. Protecting data goes beyond restricting who can access what resource (covered by identity and access control respectively): It becomes necessary to control how data are treated, which is known as data usage control. Data usage control provides a common and trustful security framework to guarantee the sovereignty and the responsible use of organizations' data by third-party entities, easing and ensuring data sharing in ecosystems such as industry or smart cities. In this article, we present an architecture proposal for achieving access and usage control in shared data ecosystems among multiple organizations. The proposed architecture is based on the UCON (Usage Control) model and an extended XACML (extensible Access Control Markup Language) Reference Architecture, relying on key aspects of the IDS (International Data Spaces) Reference Architecture Model. Its modular design and technology-agnostic nature provide an integral solution while maintaining flexibility of implementation. © 2019 The Authors. Published by Elsevier B.V.</t>
  </si>
  <si>
    <t>Data economy; Data usage control; International data spaces; Ucon; Usage policies; Xacml</t>
  </si>
  <si>
    <t>Analyzing Learning Effectiveness and Students' Perceptions of an Educational Escape Room in a Programming Course in Higher Education</t>
  </si>
  <si>
    <t>8936344</t>
  </si>
  <si>
    <t>184221</t>
  </si>
  <si>
    <t>184234</t>
  </si>
  <si>
    <t>10.1109/ACCESS.2019.2960312</t>
  </si>
  <si>
    <t>In recent years, educational escape rooms have started to gain momentum in the academic community. Prior research has reported on the use of educational escape rooms in several fields. However, earlier works have failed to assess the impact of this sort of activities for teaching programming in terms of learning effectiveness. This work fills the existing gap in the literature by examining an educational escape room for teaching programming in a higher education setting by means of three different instruments: (1) a pre-test and a post-test for measuring learning gains, (2) a survey for assessing students' perceptions, and (3) a web platform for recording student interaction data during the activity. The results of this work provide, for the first time, empirical evidence that educational escape rooms are an effective and engaging way of teaching programming. © 2013 IEEE.</t>
  </si>
  <si>
    <t>Computer science education; educational escape rooms; educational technology; engineering education</t>
  </si>
  <si>
    <t>Gordillo A., López-Pernas S., Barra E.</t>
  </si>
  <si>
    <t>Effectiveness of MOOCs for teachers in safe ICT use training</t>
  </si>
  <si>
    <t>Comunicar</t>
  </si>
  <si>
    <t>27</t>
  </si>
  <si>
    <t>61</t>
  </si>
  <si>
    <t>98</t>
  </si>
  <si>
    <t>10.3916/C61-2019-09</t>
  </si>
  <si>
    <t>Despite the efforts made, there is still an alarming difference between the digital competence that teachers have and the one they should have in order to develop their students' digital competence. The lack of teacher training in safe and responsible use of ICT is a special cause for concern. Online courses in MOOC format meet all the required conditions to offer a possible solution to the unavoidable and urgent need for initial and in-service teacher training in this area of digital competence. However, there is currently no evidence in the literature on the effectiveness of these courses for this purpose. This study examines the instructional effectiveness of courses in MOOC format for teacher training in the safe and responsible use of ICT by analysing three different official courses. The courses were analysed using three different methods: a questionnaire to measure participants' perceptions, pre-tests and post-tests to measure the knowledge acquired, and LORI (Learning Object Review Instrument) to measure the quality of digital educational resources created by the participants. The results suggest that online courses in MOOC format are an effective way to train teachers in the safe and responsible use of ICT, and that these courses can enable the development of digital competence in the area of content creation. © ISSN: 1134-3478.</t>
  </si>
  <si>
    <t>Digital competence; Digital contents; Digital literacy; MOOC; Online courses; Online learning; Online protection; Teacher education</t>
  </si>
  <si>
    <t>Examining the Use of an Educational Escape Room for Teaching Programming in a Higher Education Setting</t>
  </si>
  <si>
    <t>8658086</t>
  </si>
  <si>
    <t>31723</t>
  </si>
  <si>
    <t>31737</t>
  </si>
  <si>
    <t>10.1109/ACCESS.2019.2902976</t>
  </si>
  <si>
    <t>In addition to being a well-liked form of recreation, escape rooms have drawn the attention of educators due to their ability to foster teamwork, leadership, creative thinking, and communication in a way that is engaging for students. As a consequence, educational escape rooms are emerging as a new type of learning activity under the promise of enhancing students' learning through highly engaging experiences. These activities consist of escape rooms that incorporate course materials within their puzzles in such a way that students are required to master these materials in order to succeed. Although several studies have reported on the use of escape rooms in a wide range of disciplines, prior research falls short of addressing the use of educational escape rooms for teaching programming, one of the most valuable skills of the twenty-first century that students often have difficulties grasping. This paper reports on the use of an educational escape room in a programming course at a higher education institution and provide, for the first time, insights on the instructional effectiveness of using educational escape rooms for teaching programming. The results of this paper show that appropriate use of educational escape rooms can have significant positive impacts on student engagement and learning in programming courses. These results also suggest that students prefer these activities over traditional computer laboratory sessions. Finally, another novel contribution of this paper is a set of recommendations and proposals for educators in order to help them create effective educational escape rooms for teaching programming. © 2013 IEEE.</t>
  </si>
  <si>
    <t>Award to the most cited paper from a PhD thesis (UPM)</t>
  </si>
  <si>
    <t>Toward self big data</t>
  </si>
  <si>
    <t>International Journal of Health Sciences</t>
  </si>
  <si>
    <t>https://pubmed.ncbi.nlm.nih.gov/34548857</t>
  </si>
  <si>
    <t>Editorial</t>
  </si>
  <si>
    <t>B1</t>
  </si>
  <si>
    <t>Idiographic learning analytics: A within-person ethical perspective</t>
  </si>
  <si>
    <t>Companion Proceedings 11th International Conference on Learning Analytics &amp; Knowledge (LAK21)</t>
  </si>
  <si>
    <t>369</t>
  </si>
  <si>
    <t>374</t>
  </si>
  <si>
    <t>https://www.solaresearch.org/core/lak21-companion-proceedings/</t>
  </si>
  <si>
    <t>Course</t>
  </si>
  <si>
    <t>One of the main obstacles impeding the widespread use and adoption of learning analytics is the threat that it poses to students’ data privacy. In this article, we present a proposal for generating person-centered insights for learners by combining data from multiple sources while preserving students' privacy. The basis of our approach is idiographic learning analytics, in which data are collected and insights are generated for each student individually. On the one hand, all the data collection and processing are performed locally on the student’s device, thus preserving student privacy. On the other hand, being based on person-based methods, the idiographic approach helps deliver personalized insights.</t>
  </si>
  <si>
    <t>Ethics; Learning Analytics; Idiographic; Privacy</t>
  </si>
  <si>
    <t>Level</t>
  </si>
  <si>
    <t>D3</t>
  </si>
  <si>
    <t>2026-2027</t>
  </si>
  <si>
    <t>Creating digital escape rooms with Escapp</t>
  </si>
  <si>
    <t>Quemada J., Barra E., Gordillo A., Pavón S., Salvachúa J., Vazquez I., López-Pernas S.</t>
  </si>
  <si>
    <t>AMMIL: A methodology for developing video-based learning courses</t>
  </si>
  <si>
    <t>Proceedings of the 12th annual International Conference of Education, Research and Innovation (ICERI 2019)</t>
  </si>
  <si>
    <t>Master's Degree in Computer Science</t>
  </si>
  <si>
    <t>Master</t>
  </si>
  <si>
    <t>4893</t>
  </si>
  <si>
    <t>4901</t>
  </si>
  <si>
    <t>Web programming II</t>
  </si>
  <si>
    <t>10.21125/iceri.2019.1195</t>
  </si>
  <si>
    <t>Bachelor of Science Degree Programme in Information Technology</t>
  </si>
  <si>
    <t>Videos are extensively used nowadays to support learners in a variety of educational settings such as traditional online courses, MOOCs (Massive Open Online Courses), flipped classrooms, and blended courses. Therefore, it is of prime importance to develop methodologies capable of producing effective video-based learning courses which can lead to the highest success and learner satisfaction. AMMIL (Active Meaningful Micro-Inductive Learning) is a methodology for creating video-based learning courses, which aims to maximise the instructional effectiveness in terms of motivation and academic performance in self-learning environments. This methodology has been successfully used to create several MOOCs, as well as to support a blended programming course at a higher education institution. This paper presents the AMMIL methodology and an evaluation of two different MOOCs and a higher education programming course in which this methodology was applied. This evaluation was conducted by using student surveys as data collection instruments. The results are very promising since they show that students were very satisfied with the courses created applying the AMMIL methodology.</t>
  </si>
  <si>
    <t>mooc; flipped classroom; self-learning; project-based learning; active learning; video in education; meaningful learning; inductive learning; microlearning</t>
  </si>
  <si>
    <t>RESCORM: A boilerplate for creating SCORM-compliant React applications</t>
  </si>
  <si>
    <t>2018</t>
  </si>
  <si>
    <t>Proceedings of the 11th annual International Conference of Education, Research and Innovation (ICERI 2018)</t>
  </si>
  <si>
    <t>8843</t>
  </si>
  <si>
    <t>8853</t>
  </si>
  <si>
    <t>10.21125/iceri.2018.0632</t>
  </si>
  <si>
    <t>Web programming I</t>
  </si>
  <si>
    <t>2023-2026</t>
  </si>
  <si>
    <t>Interactive web-based learning resources created according to e-Learning standards like SCORM can benefit students, teachers and the whole education system in a wide variety of ways. Although the use of authoring tools is the preferable way to create these resources since it does not require authors to have strong computer skills, the created resources are very limited in terms of customization and functionality. Therefore, on many occasions web-based learning resources still need to be created by developers using web technologies. Despite this fact, little work has been done to provide developers with resources to facilitate the creation of web-based learning resources compliant with e-Learning standards, especially for novel web technologies like React. This paper presents RESCORM (https://github.com/agordillo/rescorm): a boilerplate for creating SCORM-compliant React applications that aims to facilitate developers the creation of SCORM-compliant learning resources. This paper also presents the results of a survey conducted among nine developers who used RESCORM to create learning resources and the results of an evaluation of two resources developed using RESCORM that were used in an online course. These results show that RESCORM achieved high user acceptance and was perceived as very useful, and that the resources created with RESCORM were rated high in terms of usefulness.</t>
  </si>
  <si>
    <t>Data management systems</t>
  </si>
  <si>
    <t>web-based education; scorm; react; educational applications; learning objects</t>
  </si>
  <si>
    <t>Advance data management systems</t>
  </si>
  <si>
    <t>López-Pernas S., Benito A., Marco L., Gordillo A.</t>
  </si>
  <si>
    <t>Improval of an educational platform through the integration of an extensible e-learning authoring tool</t>
  </si>
  <si>
    <t>10117</t>
  </si>
  <si>
    <t>10124</t>
  </si>
  <si>
    <t>10.21125/iceri.2018.0898</t>
  </si>
  <si>
    <t>2022-2025</t>
  </si>
  <si>
    <t>Advanced databases</t>
  </si>
  <si>
    <t>Bachelor's Degree in Software Engineering</t>
  </si>
  <si>
    <t>Software Verification and Validation</t>
  </si>
  <si>
    <t>E-learning authoring tools play a crucial role in the development of learning content facilitating the creation of digital learning resources. However, these tools are frequently independent pieces of software which do not encourage users to share their resources and create a community of educators and learners. By including authoring tools as part of collaborative Virtual Learning Environments, content creators can easily publish their resources for other users to enjoy and contribute. This paper presents a new extensible e-Learning authoring tool called Ediphy that has been included as a part of ViSH, a social and collaborative e-Learning platform focused on the creation and sharing of open educational resources. The details of the integration of Ediphy into ViSH are explained in this paper, along with the complete set of benefits that this authoring tool provides to the e-Learning platform. A survey was conducted in order to collect ViSH users' opinions on Ediphy. The results of this survey show that users had a very good perception of Ediphy and believed it signifies a substantial improvement of the ViSH platform.</t>
  </si>
  <si>
    <t>e-learning; authoring tools; virtual learning environments; computer aided instruction</t>
  </si>
  <si>
    <t>2019-2021</t>
  </si>
  <si>
    <t>Big Data: Foundations and Infrastructures</t>
  </si>
  <si>
    <t>Identification, analysis of requirements for a web platform for managing educational escape rooms</t>
  </si>
  <si>
    <t>Web Engineering</t>
  </si>
  <si>
    <t>4874</t>
  </si>
  <si>
    <t>4883</t>
  </si>
  <si>
    <t>Bachelor's Degree in Telecommunications Technologies and Services</t>
  </si>
  <si>
    <t>10.21125/iceri.2019.1191</t>
  </si>
  <si>
    <t>Network Computing</t>
  </si>
  <si>
    <t>Programming 101</t>
  </si>
  <si>
    <t>MOOC “Gestión de proyectos software con Git y GitHub”</t>
  </si>
  <si>
    <t>Educational escape rooms demand a great effort on the part of instructors, not only when designing and building the activities, but also when the time comes to conduct them. Although previous works have presented tools to ease the creation of educational puzzle-like games, no prior studies have reported on the use, development or design of any tool for managing educational escape rooms. A tool of this kind would help teachers overcome one of the main barriers they face when trying to incorporate these activities into their teaching. This work identifies and analyses for the first time the requirements that a platform for managing educational escape rooms should satisfy. A platform meeting all the requirements gathered would be able to help teachers in all the steps of the process of conducting an educational escape room, including configuration, integration of the activity into a virtual learning environment, student registration, team creation, control of activity execution (management of resources, narrative events and gamification elements during the activity), progress monitoring, hint delivery, assessment, and gathering of student feedback and data on learning effectiveness.</t>
  </si>
  <si>
    <t>MiriadaX</t>
  </si>
  <si>
    <t>educational escape rooms; gamification; educational software</t>
  </si>
  <si>
    <t>Other</t>
  </si>
  <si>
    <t>MOOC “Desarrollo Frontend con HTML, CSS y Javascript”</t>
  </si>
  <si>
    <t>Students’ perceptions toward the use of teacher-created educational games in a secondary education setting</t>
  </si>
  <si>
    <t>2019-2020</t>
  </si>
  <si>
    <t>1986</t>
  </si>
  <si>
    <t>MOOC Specialization “Desarrollo Web Full-stack con JavaScript y Node.js”</t>
  </si>
  <si>
    <t>1996</t>
  </si>
  <si>
    <t>10.21125/iceri.2019.0557</t>
  </si>
  <si>
    <t>2014-2019</t>
  </si>
  <si>
    <t>Editing applied physics topics in Wikipedia</t>
  </si>
  <si>
    <t>Extracurricular activity</t>
  </si>
  <si>
    <t>Design and creation of educational escape rooms</t>
  </si>
  <si>
    <t>Universidad Politécnica de Madrid - Instituto de Ciencias de la Educación (ICE)</t>
  </si>
  <si>
    <t>Teacher training</t>
  </si>
  <si>
    <t>Cooperación y resolución de problemas a través de escape rooms educativas</t>
  </si>
  <si>
    <t>Universidad Internacional de Andalucía (UNIA)</t>
  </si>
  <si>
    <t>Plan de Formación de Profesorado - Webinars UNIA</t>
  </si>
  <si>
    <t>Substantial research has been devoted to educational video games, which has provided broad empirical evidence that playing educational video games can lead to positive impacts in terms of motivation and learning outcomes. However, there is still a lack of studies examining the acceptance and learning effectiveness of educational video games created by teachers using authoring tools. This paper contributes to filling this gap in the literature by examining secondary school students’ perceptions toward the use of educational video games created by teachers using an authoring tool. A student survey was used as data collection instrument. A total of 62 students (47 seventh grade students and 15 eighth grade students) assessed 5 different teacher-created educational games. The results show that students had a very good overall opinion of the games, and that they found them engaging, easy to use and beneficial for their learning. The results also show that students agreed that the games made learning fun and that they prefer the game-based learning approach over traditional teaching materials. In conclusion, this paper provides evidence that teachers can easily create educational video games toward which students have positive attitudes if they are provided with suitable authoring tools.</t>
  </si>
  <si>
    <r>
      <rPr>
        <rFont val="Arial"/>
        <color rgb="FF000000"/>
        <sz val="10.0"/>
      </rPr>
      <t>game-based learning;</t>
    </r>
    <r>
      <rPr>
        <rFont val="Arial"/>
        <color rgb="FF000000"/>
        <sz val="10.0"/>
      </rPr>
      <t xml:space="preserve"> </t>
    </r>
    <r>
      <rPr>
        <rFont val="Arial"/>
        <color rgb="FF000000"/>
        <sz val="10.0"/>
      </rPr>
      <t>educational games;</t>
    </r>
    <r>
      <rPr>
        <rFont val="Arial"/>
        <color rgb="FF000000"/>
        <sz val="10.0"/>
      </rPr>
      <t xml:space="preserve"> </t>
    </r>
    <r>
      <rPr>
        <rFont val="Arial"/>
        <color rgb="FF000000"/>
        <sz val="10.0"/>
      </rPr>
      <t>serious games;</t>
    </r>
    <r>
      <rPr>
        <rFont val="Arial"/>
        <color rgb="FF000000"/>
        <sz val="10.0"/>
      </rPr>
      <t xml:space="preserve"> </t>
    </r>
    <r>
      <rPr>
        <rFont val="Arial"/>
        <color rgb="FF000000"/>
        <sz val="10.0"/>
      </rPr>
      <t>authoring tools</t>
    </r>
  </si>
  <si>
    <t>Alonso Á., Gordillo A., Pozo A., López-Pernas S., Marco L., Barra E.</t>
  </si>
  <si>
    <t>Extending the EIDAS European Specification for Supporting Academic Attributes</t>
  </si>
  <si>
    <t>2008</t>
  </si>
  <si>
    <t>2014</t>
  </si>
  <si>
    <t>10.21125/iceri.2019.0560</t>
  </si>
  <si>
    <t>Secure Electronic Identification (eID) is one of the key enablers of data protection, privacy and prevention of online fraud. However, to date, the lack of a common legal basis prevented European Member States from recognising and accepting eIDs issued by the other Member States. The electronic IDentification, Authentication and trust Service (eIDAS) regulation solves these issues by allowing citizens of any European country to use their national eIDs to securely access public and private e-services provided in other European countries. However, the minimum dataset typically provided by the Member States only contains citizens’ personal attributes. Therefore, academic services that aim to facilitate the mobility of students within the European Union cannot exploit the advantages of integrating students’ eIDs to the same extent as if they included attributes related to their academic profile as well. In this article, we propose an extension of the eIDAS specification in order to support academic attributes. Thanks to this extension, services can request students’ information from the eIDAS nodes: not only their personal profiles but also additional attributes related to their academic profile. In this work, we also propose an architecture that allows the connection of the national eIDAS nodes to academic attribute providers in order to enrich the student minimum dataset with their academic attributes. We conclude that thanks to the extension of the eID profile of students with academic attributes, e-services in higher education sectors will be able to fully benefit from the integration of the eIDAS initiative, b​r​e​a​</t>
  </si>
  <si>
    <t>academic attributes; electronic identification; eidas; erasmus; identity</t>
  </si>
  <si>
    <t>Marco L., López-Pernas S., Alonso Á.</t>
  </si>
  <si>
    <t>Accessibility review for web-based learning tools and materials</t>
  </si>
  <si>
    <t>2393</t>
  </si>
  <si>
    <t>2402</t>
  </si>
  <si>
    <t>10.21125/iceri.2018.1525</t>
  </si>
  <si>
    <t>Society has changed significantly in the last few years. Technology has evolved rapidly, and new devices and tools are transforming the way we communicate. One of the most important milestones of this transformation was the democratization of the Internet and specifically the Web, a key factor for determining people’s connectivity. However, not every people have the same conditions to access web resources and most of the available services and applications in the Internet are not ready for being used in an inclusive manner. This paper presents an accessibility review for web-based learning tools and materials. We establish the difference between reactive and proactive methods for designing web applications, considering the former as a response once the application is ready and the latter as the inclusion of accessibility requirements from the design phase. After the analysis, we conclude that nowadays the most common accessibility approaches for designing web-based learning tools are those whose methodological basis are grounded in reactive principles. It is necessary to move forward and propose solutions that contemplate inclusive design from the early stages of development.</t>
  </si>
  <si>
    <t>e-learning; learning tools; web accessibility; universal design; approachable development</t>
  </si>
  <si>
    <t>Hirsto L., López-Pernas S., Saqr M., Valtonen T., Sointu E., Väisänen S.</t>
  </si>
  <si>
    <t>Preface. Bridging Education Learning Analytics and AI: Challenges of the Present and Thoughts for the Future</t>
  </si>
  <si>
    <t>6</t>
  </si>
  <si>
    <t>https://ceur-ws.org/Vol-3383/FLAIEC22_preface.pdf</t>
  </si>
  <si>
    <t>Elmoazen R., López-Pernas S., Misiejuk K., Khalil M., Wasson B., Saqr M.</t>
  </si>
  <si>
    <t>Reflections on Technology-enhanced Learning in Laboratories: Barriers and Opportunities</t>
  </si>
  <si>
    <t>Proceedings of the Technology-Enhanced Learning in Laboratories Workshop (TELL 2023) (CEUR Workshop Proceedings)</t>
  </si>
  <si>
    <t>3393</t>
  </si>
  <si>
    <t>https://ceur-ws.org/Vol-3393/TELL23_preface.pdf</t>
  </si>
  <si>
    <t xml:space="preserve">This preface discusses the potential of virtual labs (VLs) as a flexible and immersive alternative to traditional physical labs on the light of Technology-Enhanced Learning in Laboratories workshop (TELL 2023), which features seven papers showing various methodologies and perspectives on using VLs. The papers cover topics such as VLs in biomedicine, students' perception of VLs, and collaborative learning in VLs, and examine challenges and barriers to VL accessibility. We discuss some of the main findings of the papers, such as the potential of digital applications and online materials to enhance digital teaching and the importance of developing strategies to enhance team-based learning through encouraging students to reflect on their own work. Overall, the preface demonstrates the potential of VLs to enhance students' practical skills, and learning outcomes, with insights into the challenges and barriers to VLs accessibility. </t>
  </si>
  <si>
    <t>virtual Labs; digital labs; learning analytics; online learning; collaborative learning</t>
  </si>
  <si>
    <t>Mairinoja L., López-Pernas S., Elmoazen R., Niskanen E.A., Kuningas T., Wärri A., Saqr M., Strauss L.</t>
  </si>
  <si>
    <t xml:space="preserve">International Online Team-Based Learning in Higher Education of Biomedicine - Evaluation by Learning Analytics </t>
  </si>
  <si>
    <t>49</t>
  </si>
  <si>
    <t>https://ceur-ws.org/Vol-3393/TELL23_paper_1668_5.pdf</t>
  </si>
  <si>
    <t>Teamwork skills are important to practice during higher educational studies to prepare students for the future working life. Since online learning has established itself as a relevant part of higher education, we present here an approach to online team-based learning and show the performance of students during the teamwork, proven by learning analysis data. In addition, results from a feedback survey of students´ opinions on teamwork are presented. Online teamwork was implemented for master level biomedicine students from four different Universities in Nordic countries, and student interaction was evaluated. Learning analytics data were collected from Discord, which was the communication platform for students and teachers during the teamwork. The Community of Inquiry (CoI) framework was used as guidance, and indicators of CoI's social, cognitive, and teaching presences were used as a scheme for coding the interaction. To recognize the process of collaboration, the data were first analyzed by using process mining. Further, to understand the multidimensional property of collaboration, we developed a network analysis and visualized the results using Gephi and the Fruchterman-Reingold layout algorithm. The quantitative results of the feedback survey were analyzed by using descriptive statistics and visualized using the R package likert. The learning analytics data included 316 posts divided to 686 annotations, which were categorized to codes. Our results indicate that the most frequent codes were the ones related to the social dimension of CoI, determined with attributes such as ‘interactive’ (173), ‘cohesion’ (119) and ‘affective’ (116). The remaining most frequent codes alternated between ‘facilitation’ and ‘cognition’. Thus, social presence, in the context of CoI was considerable in our online team-based learning approach. However, to enhance students' cognitive presence, and thereby their ability to construct and confirm meaning of what they are learning, students' work should be facilitated by increasing teaching presence through teacher’s contribution online. In line with the learning analytics data, the results of the survey pointed out the need of more in-depth instructions on how to carry out the team exercises, which belongs to the teaching presence category in the frame of CoI. Based on the results of this study and the existing literature, we aim to improve our teambased learning approach and outcomes in the future by increasing students’ contribution through regular feedback assignments during the work and encouraging learners to reflect on their own work, contribution and thinking.</t>
  </si>
  <si>
    <t>online teamwork; learning analytics; Discord; virtual collaborative learning; online teambased learning; Community of Inquiry</t>
  </si>
  <si>
    <t>Kahila J., Valtonen T., López-Pernas S., Saqr M., Vartiainen H., Kahila S., Tedre M.</t>
  </si>
  <si>
    <t>A typology of metagamers: Identifying player types based on beyond the game activities</t>
  </si>
  <si>
    <t>Games &amp; Culture</t>
  </si>
  <si>
    <t>38</t>
  </si>
  <si>
    <t>58</t>
  </si>
  <si>
    <t>10.1177/15554120231187758</t>
  </si>
  <si>
    <t>Previous research on player types is based on players' in-game behaviors and their motivations to play games. However, there are many other activities related to digital games beyond playing the games proper. This study investigates the prevalence and interconnections between these different metagame activities, and classifies gamers based on their use thereof. The results show that digital game-related information-seeking activities are key metagame activities with connections to other metagame activities. Three distinct groups of players were identified based on their metagame activities: versatile metagamers, strategizers, and casual metagamers. The results contribute to the existing literature on metagaming and provide insights into game studies, game design and marketing, and into digital games and learning.</t>
  </si>
  <si>
    <t>digital games; metagaming; metagame; player types; model-based clustering; epistemic network analysis</t>
  </si>
  <si>
    <t>Conde M.Á., Georgiev A., López-Pernas S., Jovic J., Crespo-Martínez I., Raspopović Milić M., Saqr M., Pancheva K.</t>
  </si>
  <si>
    <t>Definition of a Learning Analytics Ecosystem for the ILEDA Project Piloting</t>
  </si>
  <si>
    <t>Learning and Collaboration Technologies. HCII 2023. Lecture Notes in Computer Science.</t>
  </si>
  <si>
    <t xml:space="preserve">14040 </t>
  </si>
  <si>
    <t>444</t>
  </si>
  <si>
    <t>453</t>
  </si>
  <si>
    <t>10.1007/978-3-031-34411-4_30</t>
  </si>
  <si>
    <t>Understanding how students progress in their learning is an important step towards achieving the success of the educational process. One way of understanding student progress is by using learning analytics methods on different student data. The ILEDA project aims to improve online and blended learning by using educational data analytics. For this purpose, the project involves four universities from four different countries and develops several activities. One of these activities. That aims to facilitate the analysis of student progress, is the definition of a Learning Analytics Ecosystem. The aim of defining the ecosystem is to generate solutions that will benefit all institutions and that will allow to look for possible patterns and common issues needing addressing. This paper describes the development of such an ecosystem and its future implementations.</t>
  </si>
  <si>
    <t>Learning Analytics; Interoperability; Ecosystems; Evidences; Dashboards</t>
  </si>
  <si>
    <t>Huhta K., López-Pernas S., Saqr M.</t>
  </si>
  <si>
    <t>Mapping the topics, trends, and themes of education technology in legal education with topic modeling and network analysis</t>
  </si>
  <si>
    <t>Proceedings TEEM 2023: Eleventh International Conference on Technological Ecosystems for Enhancing Multiculturality. TEEM 2023. Lecture Notes in Educational Technology</t>
  </si>
  <si>
    <t>894</t>
  </si>
  <si>
    <t>903</t>
  </si>
  <si>
    <t>10.1007/978-981-97-1814-6_87</t>
  </si>
  <si>
    <t>The digital transformation varies markedly across disciplines in the way technologies are used, how much, and for what purposes to foster educational innovation. In legal education, they are used for various purposes to respond to the capacities and competencies that are required from contemporary lawyers and legal professionals. This article addresses a gap in existing research by approximating digital technologies and digital transformation in legal education research. It uses topic modeling and network analysis to explore the digital transformation in legal education research and to demonstrate how digital technologies used for pedagogical purposes are reflected in legal education research. It finds that while digitalization is a clear recent trend in legal education research, the role of digital technologies in legal education research is not as strong as in other fields of higher education and that practical skills and the practice of law continue to have a central role in legal education irrespective of the education technologies used.</t>
  </si>
  <si>
    <t>legal education; education technology; bibliometrics; topic modeling</t>
  </si>
  <si>
    <t>The dynamics of students’ playing profiles in a programming educational escape room (Best paper award)</t>
  </si>
  <si>
    <t>10.1007/978-981-97-1814-6_2</t>
  </si>
  <si>
    <t>Educational escape rooms have gained recognition as immersive and engaging learning activities. While existing research has primarily focused on students' perceptions and learning outcomes, little attention has been given to their performance, behavior, and interactions during these activities. This study aims to fill this gap by employing person-centered methods to analyze students' gameplay data from a computer-based educational escape room. Using Gaussian mixture models, we identified four distinct profiles of players using their gameplay data: efficient players who complete the game smoothly with little help, supported players who make good progress with the help of hints, relentless players who devote their time to seeking help rather than working on the escape room puzzles, and laggers who make little progress and fail to obtain the help they need. We further investigate the relationships between puzzle completion times and hint-requesting behavior using Bayesian Gaussian graphical models. The findings point to hints as the key to support profiles of players that lack the necessary skills to complete the activity on their own. Lastly, we analyze the relationship between the identified profiles and knowledge acquisition during the escape room. We found that students’ initial and final knowledge differed by profile but learning gains were comparable except for the laggers who make little progress in the activity.</t>
  </si>
  <si>
    <t>educational escape rooms; learning analytics; Gaussian mixture models; game-based learning</t>
  </si>
  <si>
    <t>Best paper award at TEEM 2023</t>
  </si>
  <si>
    <t>Why Learning and Teaching Learning Analytics is Hard: An Experience from a Real-Life LA Course Using LA Methods</t>
  </si>
  <si>
    <t>781</t>
  </si>
  <si>
    <t>789</t>
  </si>
  <si>
    <t>10.1007/978-981-97-1814-6_76</t>
  </si>
  <si>
    <t>Learning analytics emerged more than a decade ago to harness the power of data to understand and optimize learning, learners’ behavior, and learning environments. Ever since, the field has grown to encompass a diverse range of methods, research strands and traditions. Recent literature reviews tell us that most common applications of learning analytics include predictive analytics, social network analysis, sequence and process analysis, visualizations, and dashboards to mention a few. In the same vein, the research field has attracted several interdisciplinary researchers and practitioners from computer science, education, data science, engineering, administration, and from the education technology industry. Whereas such diverse backgrounds and perspectives bring a wealth of different perspectives to the field, it makes teaching and learning analytics hard to narrow down in a single course. This study reports on the analysis of students' approach to learning learning analytics, reflects on the insights that learning analytics offers, and makes recommendations for future researchers who are teaching or investigating similar courses.</t>
  </si>
  <si>
    <t>learning analytics; sequence analysis; data mining; psychological networks; computer science education</t>
  </si>
  <si>
    <t>Akçapınar G., López-Pernas S., Er E., Saqr M.</t>
  </si>
  <si>
    <t>How a learning analytics dashboard intervention influences the dynamics of students’ learning behavior (Best paper award)More data is not always better data: A learning analytics case study in early prediction</t>
  </si>
  <si>
    <t>810</t>
  </si>
  <si>
    <t>819</t>
  </si>
  <si>
    <t>10.1007/978-981-97-1814-6_79</t>
  </si>
  <si>
    <t>Interventions play a crucial role in completing the learning analytics cycle. However, there is limited research available on how students utilize these interventions or whether there is any change in their learning behaviors following the intervention. Existing studies primarily rely on students' self-report perceptions, while neglecting the temporal aspect of the data in data-driven studies. This study examines the impact of a learning analytics intervention in the form of a learning analytics dashboard provided to students in a remote programming course on their learning behaviors. To achieve this goal, learning sessions before and after the introduction of the dashboard were identified using students' learning traces in the learning management system. Subsequently, these learning sessions were analyzed using sequence analysis, process mining, and Bayesian Gaussian graphical models. Assignment submissions, formative quizzes, forum interactions, interactions with video materials, and participation in live classes were considered to determine students' learning behaviors. The findings of the study indicate that there were changes in students' learning behaviors after the introduction of the dashboard. Specifically, before the dashboard, learning sessions were mainly focused on graded activities such as assignments and quizzes, whereas after the dashboard, there was an increase in interactions with non-graded activities such as video materials. The results are also supported by the process mining analysis.</t>
  </si>
  <si>
    <t>learning analytics; dashboard intervention; sequence analysis; process mining; Bayesian Gaussian graphical models</t>
  </si>
  <si>
    <t>Rai P., López-Pernas S., Saqr M.</t>
  </si>
  <si>
    <t>More data is not always better data: A learning analytics case study in early prediction</t>
  </si>
  <si>
    <t>830</t>
  </si>
  <si>
    <t>838</t>
  </si>
  <si>
    <t>10.1007/978-981-97-1814-6_81</t>
  </si>
  <si>
    <t>This study aimed to explore the early prediction and forecasting of students' performance using learning analytics methods. We do so by examining a large number of students at four different time points and employing four machine learning algorithms. We seek to fill a gap in the literature regarding the effect of data volume across time. The results revealed several important findings. To begin with, the final course data did not consistently outperform earlier time points across all performance indicators. Surprisingly, forecasts based on data from the first week had reasonable accuracy, implying that preemptive interventions can be implemented early on. Furthermore, predictions made on second-week data performed the best, probably due to students' initial motivation and early differentiation among those who were actively involved. Furthermore, decision trees (DT) emerged as the most effective early prediction method, consistently displaying acceptable performance across all time points. This study has far-reaching ramifications. It indicates that employing learning analytics for early prediction is not only viable, but also dependable, with decent accuracy. Although further research is needed to corroborate these findings in diverse circumstances, the second week of the course looks to be a vital stage for generating correct predictions. Furthermore, when compared to other algorithms, DT stands out as a superior early prediction algorithm.</t>
  </si>
  <si>
    <t>learning analytics; early predictions; predicting performance; data mining</t>
  </si>
  <si>
    <t>Sointu E., Väisänen S., Hirsto L., Paavilainen T., Saqr M., López-Pernas S., Valtonen T.</t>
  </si>
  <si>
    <t>Creatively Opening the Constraints of Learning Analytics in Inclusive, Elementary School-Level STEAM Education</t>
  </si>
  <si>
    <t>The Power of Creativity in the Classroom</t>
  </si>
  <si>
    <t>129</t>
  </si>
  <si>
    <t>148</t>
  </si>
  <si>
    <t>10.1007/978-3-031-55416-2_7</t>
  </si>
  <si>
    <t xml:space="preserve">Learning analytics has been a topic of great interest to researchers and practitioners over the past decade. The challenge, however, is translating rich data into practice. Moreover, learning analytics in inclusive elementary school settings has been little studied. This article discusses using learning analytics in elementary school STEAM education, focusing on outer space content to address this gap. We adopted a collaborative approach in preservice teacher training with in-service teachers and researchers in the university practice school setting. Fifty-two 11–13- year-old students from the Finnish school context participated in this study. We used a process-oriented approach with sequence and process mining for data analysis. The results showed little to no difference between students with and without pedagogical support. Technologies such as learning analytics in various learning management systems can present both opportunities and challenges for students with support needs. However, this study’s results challenge the assumption that students with support needs in inclusive settings are less able to work independently and find coherent learning strategies in digital learning environments. </t>
  </si>
  <si>
    <t>learning analytics; elementary school; inclusive education; STEAM; support</t>
  </si>
  <si>
    <t>Kleimola R., López-Pernas S., Väisänen S., Saqr M., Sointu E., Hirsto L.</t>
  </si>
  <si>
    <t>Learning Analytics to Explore the Motivational Profiles of Non-Traditional Practical Nurse Students: A Mixed-Methods Approach</t>
  </si>
  <si>
    <t>Empirical Research in Vocational Education and Training</t>
  </si>
  <si>
    <t>10.1186/s40461-023-00150-0</t>
  </si>
  <si>
    <t>Learning analytics provides a novel means to examine various aspects of students’ learning and to support them in their individual endeavors. The purpose of this study was to explore the potential of learning analytics to provide insights into non-traditional, vocational practical nurse students’ (N = 132) motivational profiles for choosing their studies, using a mixed-methods approach. Non-traditional students were somewhat older learners than those following a more straightforward educational pathway and had diverse educational or professional backgrounds. Institutional admission data and analytics were used to identify their specific study motives and distinct motivational profiles, and to illustrate the connections between the motives emerging in the motivational profiles. Furthermore, the association between the motivational profiles and study performance was examined. The results of qualitative content analysis indicated that non-traditional practical nurse students pursued such specialized training for various reasons, and that pragmatic, professional rationales were emphasized over prosocial, altruistic factors. Through the adoption of person-centered latent class analysis, three motivational profiles were identified: self-aware goal-achievers, qualification attainers, and widely oriented humanitarians. Additionally, the analyses of epistemic networks for the profiles showed the complex interplay between the motives, confirming that some motive connections appear to be more prominent than others. Moreover, the findings indicated that study motives reported at admission did not seem to dictate students’ later study performance, as no statistically significant associations were found between the motivational profile and the students’ final grade point average or study dropout. This investigation paves the way for more-targeted motivational support and the use of learning analytics in the context of vocational education and training.</t>
  </si>
  <si>
    <t>learning analytics; study motives; motivational profiles; practical nurse students; non-traditional students; vocational education and training; mixed-methods approach; latent class analysis; epistemic network analysis</t>
  </si>
  <si>
    <t>Conde M.Á., López-Pernas S., Saqr M., Raspopović Milić M.</t>
  </si>
  <si>
    <t>Addressing the complexity of online education: A learning analytics and big data perspective</t>
  </si>
  <si>
    <t>Proceedings of the 13th International Conference on eLearning (eLearning-2022) (CEUR Workshop Proceedings)</t>
  </si>
  <si>
    <t>3454</t>
  </si>
  <si>
    <t>https://ceur-ws.org/Vol-3454/preface.pdf</t>
  </si>
  <si>
    <t>Saqr M., López-Pernas S., Vogelsmeier L.V.D.E.</t>
  </si>
  <si>
    <t>When, how and for whom changes in engagement happen: A transition analysis of instructional variables</t>
  </si>
  <si>
    <t>207</t>
  </si>
  <si>
    <t>104934</t>
  </si>
  <si>
    <t>10.1016/j.compedu.2023.104934</t>
  </si>
  <si>
    <t>The pace of our knowledge on online engagement has not been at par with our need to understand the temporal dynamics of online engagement, the transitions between engagement states, and the factors that influence a student being persistently engaged, transitioning to disengagement, or catching up and transitioning to an engaged state. Our study addresses such a gap and investigates how engagement evolves or changes over time, using a person-centered approach to identify for whom the changes happen and when. We take advantage of a novel and innovative multistate Markov model to identify what variables influence such transitions and with what magnitude, i.e., to answer the why. We use a large data set of 1428 enrollments in six courses (238 students). The findings show that online engagement changes differently —across students— and at different magnitudes —according to different instructional variables and previous engagement states. Cognitively engaging instructions helped cognitively engaged students stay engaged while negatively affecting disengaged students. Lectures —a resource that requires less mental energy— helped improve disengaged students. Such differential effects point to the different ways interventions can be applied to different groups, and how different groups may be supported. A balanced, carefully tailored approach is needed to design, intervene, or support students’ engagement that takes into account the diversity of engagement states as well as the varied response magnitudes that intervention may incur across diverse students’ profiles.</t>
  </si>
  <si>
    <t>learning analytics; transition analysis; online engagement; longitudinal engagement; latent Markov modeling</t>
  </si>
  <si>
    <t>Educational Escape Rooms Are Effective Learning Activities Across Educational Levels and Contexts: A Meta-analysis</t>
  </si>
  <si>
    <t>IEEE Transactions on Learning Technologies</t>
  </si>
  <si>
    <t>17</t>
  </si>
  <si>
    <t>711</t>
  </si>
  <si>
    <t>724</t>
  </si>
  <si>
    <t>10.1109/TLT.2023.3328913</t>
  </si>
  <si>
    <t xml:space="preserve">Educational escape rooms are taxing in terms of the time needed to design, create, conduct, and evaluate. Therefore, a high “return on investment” is expected regarding their potential to improve teaching and learning. Whereas many studies have been conducted to assess the impact of educational escape rooms on learning, results have been so far inconclusive. Several studies have reported positive learning gains, whereas others have not demonstrated such learning gains. To provide a synthesis of the existing empirical body of knowledge, we performed a metaanalysis by pooling the effect sizes across 33 published studies (5,322 observations). Our results suggest that educational escape rooms are highly effective learning activities (Cohen’s d = 1.4). The impact on learning was consistent across diverse fields and educational levels, regardless of team size and technology involved. Yet, educational escape rooms conducted remotely yielded smaller learning gains than those conducted face-to-face. Studies comparing educational escape rooms to other educational activities —while scarce— did not suggest a significant superiority of these activities to traditional learning activities, e.g., lectures. </t>
  </si>
  <si>
    <t>educational escape rooms; game-based learning; gamification; learning analytics; meta-analysis</t>
  </si>
  <si>
    <t>Barra E., López-Pernas S., Gordillo A., Pozo A., Munoz-Arcentales J.A., Conde J.</t>
  </si>
  <si>
    <t>Empowering Database Learning through Remote Educational Escape Rooms</t>
  </si>
  <si>
    <t>28</t>
  </si>
  <si>
    <t>25</t>
  </si>
  <si>
    <t>10.1109/MIC.2023.3333199</t>
  </si>
  <si>
    <t>Learning databases is indispensable for individuals studying software engineering, computer science, or involved in the IT industry. We have analyzed a remote educational escape room for teaching databases in four different higher education courses in two consecutive academic years. We employed three instruments for evaluation: a pre- and post-test to assess the escape room’s learning effectiveness, a questionnaire to gather students’ perceptions, and a web platform that unobtrusively records students’ interactions and performance. We show novel evidence that educational escape rooms conducted remotely can be engaging as well as effective for teaching databases.</t>
  </si>
  <si>
    <t>López-Pernas S., Saqr M., Conde M.Á., Apiola M., Tedre M.</t>
  </si>
  <si>
    <t xml:space="preserve">Mapping computer engineering education research: A topic analysis </t>
  </si>
  <si>
    <t>Computer</t>
  </si>
  <si>
    <t>66</t>
  </si>
  <si>
    <t>75</t>
  </si>
  <si>
    <t>10.1109/MC.2024.3349913</t>
  </si>
  <si>
    <t>The field of computer engineering has evolved into a separate entity from electrical engineering and computer science. Emerging technologies such as IoT and cloud computing have made their way into computer engineering programs and, as a result, computer engineering education has become increasingly relevant. To ensure that computer engineering students receive a comprehensive education, research is necessary to identify the key areas of focus and determine the current state of the field. In this article, we applied structural topic modeling to identify the themes of computer engineering education research using bibliometric metadata. We analyze the trends in research and the relationships between themes. Our findings reveal that research mainly focuses on subjects that are not unique to computer engineering education (e.g., mathematics and programming). Furthermore, pedagogy and teaching practices play an increasingly central role in connecting research themes. Lastly, there is increasing attention to learning analytics and psychological research.</t>
  </si>
  <si>
    <t>structural topic modeling; computer engineering; engineering education; bibliometrics</t>
  </si>
  <si>
    <t>López-Fernández D., Gordillo A., López-Pernas S., Tovar E.</t>
  </si>
  <si>
    <t>Are remote educational escape rooms designed during the pandemic useful in a post-pandemic face-to-face setting?</t>
  </si>
  <si>
    <t>34</t>
  </si>
  <si>
    <t>10.1109/MIC.2023.3336057</t>
  </si>
  <si>
    <t>Numerous initiatives were conducted online during the COVID-19 pandemic and today it is necessary to analyze whether it is better to continue conducting these initiatives online or should they be done face-to-face and even readapted to this format. This paper compares an educational escape room for learning software engineering conducted online during the confinement caused by the pandemic and later face-to-face. The research involves 241 students, and employs instruments to explore the knowledge acquisition attained by the students and their perceptions towards the activity. The results provide insights to consider in the future use of this technique. The digital elements used in a remote escape room are suitable for a face-to-face escape room since the educational efficacy of the activity was similar when conducted online and face-to-face. However, some students’ perceptions related to enjoyment were worse in the face-to-face escape room, which could be improved by incorporating physical elements.</t>
  </si>
  <si>
    <t>Mertala P., López-Pernas S., Vartiainen H., Saqr M., Tedre M.</t>
  </si>
  <si>
    <t>Digital natives in the scientific literature: A topic modeling approach</t>
  </si>
  <si>
    <t>152</t>
  </si>
  <si>
    <t>108076</t>
  </si>
  <si>
    <t>10.1016/j.chb.2023.108076</t>
  </si>
  <si>
    <t>The term “digital natives” was introduced in 2001 to describe a generation that has grown up surrounded by technology and the internet. The accompanying claims of a new way of thinking among digital natives were influential in shaping educational policy. Still, they were challenged by research that found no evidence of generation-wide cognitive changes in learners. Yet, the digital natives narrative persists in popular media and the education discourse. This study set out to investigate the reasons for the persistence of the digital native myth. It analyzed the metadata from 1886 articles related to the term between 2001 and 2022 using bibliometric methods and structural topic modeling. The results show that the concept of “digital native” is still both warmly embraced and fiercely criticized by scholars mostly from western and high income countries, and the volume of research on the topic is growing. However, the results suggest that what appears as the persistence of the idea is actually evolution and complete reinvention: The way the “digital native” concept is operationalized has shifted over time through a series of (metaphorical) mutations. The concept of digital native is one (albeit a highly successful) mutation of the generational gap discourse dating back to the early 1900s. While the initial digital native literature relied on Prensky's unvalidated claims and waned upon facing empirical challenges, subsequent versions have sought more nuanced interpretations. Notably, a burgeoning third mutation now co-opts the “digital native” terminology for diverse purposes, often completely decoupled from the foundational literature and its critiques. This study explains the concept's persistence as dynamic evolution of the digital native discourse in contemporary academic and public spheres.</t>
  </si>
  <si>
    <t>Digital natives; Bibliometrics; Structured topic modeling; Digital immigrants</t>
  </si>
  <si>
    <t>Bobrowicz K., López-Pernas S., Teuber Z., Saqr M., Greiff S.</t>
  </si>
  <si>
    <t>Prospects in the field of learning and individual differences: Examining the past to forecast the future using bibliometrics</t>
  </si>
  <si>
    <t>Learning and Individual Differences</t>
  </si>
  <si>
    <t>109</t>
  </si>
  <si>
    <t>102399</t>
  </si>
  <si>
    <t>10.1016/j.lindif.2023.102399</t>
  </si>
  <si>
    <t>Over two centuries, research has delved into individual differences in learning across educational and professional contexts. This commentary conducts a bibliometric analysis of 6556 articles, identifying key research keywords, topics and themes, and their historical evolution. The findings revealed a longstanding emphasis on educational psychology, particularly motivation and achievement, rather than cross-curricular competencies and learner's well-being and socio-economic background. Notably, self-regulated learning (SRL) emerged as an overarching research subject in terms of motivation and achievement, but, surprisingly, not (meta)cognition. Prospects for the field build on cross-disciplinary research, theoretical refinement, and methodological advances. Further, the field is expected to maintain academic rigor, address diversity among learners, foster global collaboration, and focus on underprivileged populations.</t>
  </si>
  <si>
    <t>Bibliometric analysis; Learning and Individual differences; Education Trends</t>
  </si>
  <si>
    <t>Helske J., Helske S., Saqr M., López-Pernas S., Murphy K.</t>
  </si>
  <si>
    <t>A Modern Approach to Transition Analysis and Process Mining with Markov Models in Education</t>
  </si>
  <si>
    <t>381</t>
  </si>
  <si>
    <t>427</t>
  </si>
  <si>
    <t>10.1007/978-3-031-54464-4_12</t>
  </si>
  <si>
    <t>https://lamethods.github.io/chapters/ch12-markov/ch12-markov.html</t>
  </si>
  <si>
    <t>This chapter presents an introduction to Markovian modelling for the analysis of sequence data. Contrary to the deterministic approach seen in the previous sequence analysis chapters, Markovian models are probabilistic models, focusing on the transitions between states instead of studying sequences as a whole. The chapter provides an introduction to this method and differentiates between its most common variations: first-order Markov models, hidden Markov models, mixture Markov models, and mixture hidden Markov models. In addition to a thorough explanation and contextualisation within the existing literature, the chapter provides a step-by-step tutorial on how to implement each type of Markovian model using the R package seqHMM. The chapter also provides a complete guide to performing stochastic process mining with Markovian models as well as plotting, comparing and clustering different process models.</t>
  </si>
  <si>
    <t>Markov models; learning analytics; sequence analysis; transition analysis</t>
  </si>
  <si>
    <t>Hernández-García Á., Cuenca-Enrique C., Traxler A., López-Pernas S., Conde M.Á., Saqr M.</t>
  </si>
  <si>
    <t>Community Detection in Learning Networks Using R</t>
  </si>
  <si>
    <t>519</t>
  </si>
  <si>
    <t>540</t>
  </si>
  <si>
    <t>10.1007/978-3-031-54464-4_16</t>
  </si>
  <si>
    <t>https://lamethods.github.io/chapters/ch16-community/ch16-comm.html</t>
  </si>
  <si>
    <t>In the field of social network analysis, the quest for understanding interactions and group structures takes a center stage. This chapter focuses on finding such groups, constellations or ensembles of actors who can be grouped together, a process often referred to as community detection, particularly in the context of educational research. Community detection aims to uncover tightly knit subgroups of nodes who share strong connectivity within a network or have connectivity patterns that demarcates them from the others. This chapter explores various algorithms and techniques that unveil these groups or cohesive clusters. Using well-known R packages, the chapter primarily delves into the core approach of identifying and visualizing densely connected subgroups, offering practical insights into its application within educational contexts. Ultimately, the chapter aims to serve as a guide to unraveling learning communities, providing educators and researchers with valuable tools to discern and harness the power of interconnectedness in learning networks.</t>
  </si>
  <si>
    <t>community detection; social network analysis; learning analytics; educational data mining</t>
  </si>
  <si>
    <t>Jongerling J., López-Pernas S., Saqr M., Vogelsmeier L.V.D.E.</t>
  </si>
  <si>
    <t>Structural Equation Modeling with R for Education Scientists</t>
  </si>
  <si>
    <t>705</t>
  </si>
  <si>
    <t>721</t>
  </si>
  <si>
    <t>10.1007/978-3-031-54464-4_21</t>
  </si>
  <si>
    <t>https://lamethods.github.io/chapters/ch21-sem/ch21-sem.html</t>
  </si>
  <si>
    <t>Structural Equation Modeling (SEM) is a method for modeling the multitude of relationships between latent variables and the observable indicators, as well as the relationship between the latent variables themselves to test theories. In its most common form, SEM combines confirmatory factor analysis (CFA with another method named path analysis. Just like CFA, SEM relates observed variables to latent variables that are measured by those observed variables and, as path analysis does, SEM allows for a wide range of regression-type relations between sets of variables (both latent and observed). This chapter presents an introduction to SEM, an integrated strategy for conducting SEM analysis that is well-suited for educational sciences, and a tutorial on how to carry out an SEM analysis in R.</t>
  </si>
  <si>
    <t>Structural Equation Modeling; learning analytics; SEM</t>
  </si>
  <si>
    <t>Jovanovic J., López-Pernas S., Saqr M.</t>
  </si>
  <si>
    <t>Predictive Modelling in Learning Analytics using R</t>
  </si>
  <si>
    <t>197</t>
  </si>
  <si>
    <t>229</t>
  </si>
  <si>
    <t>10.1007/978-3-031-54464-4_7</t>
  </si>
  <si>
    <t>https://lamethods.github.io/chapters/ch07-prediction/ch7-pred.html</t>
  </si>
  <si>
    <t>Prediction of learners’ course performance has been a central theme in learning analytics (LA) since the inception of the field. The main motivation for such predictions has been to identify learners who are at risk of low achievement so that they could be offered timely support based on intervention strategies derived from analysis of learners’ data. To predict student success, numerous indicators, from varying data sources, have been examined and reported in the literature. Likewise, a variety of predictive algorithms have been used. The objective of this chapter is to introduce the reader to predictive modelling in LA, through a review of the main objectives, indicators, and algorithms that have been operationalized in previous works as well as a step-by-step tutorial of how to perform predictive modelling in LA using R. The tutorial demonstrates how to predict student success using learning traces originating from a learning management system, guiding the reader through all the required steps from the data preparation all to the evaluation of the built models.</t>
  </si>
  <si>
    <t>learning analytics; predictive modelling; R programming; tutorial; machine learning</t>
  </si>
  <si>
    <t>Kopra J., Tikka S., Heinäniemi M., López-Pernas S., Saqr M.</t>
  </si>
  <si>
    <t>An R Approach to Data Cleaning and Wrangling for Education Research</t>
  </si>
  <si>
    <t>95</t>
  </si>
  <si>
    <t>10.1007/978-3-031-54464-4_4</t>
  </si>
  <si>
    <t>https://lamethods.github.io/chapters/ch04-data-cleaning/ch4-datacleaning.html</t>
  </si>
  <si>
    <t>Data wrangling, also known as data cleaning and preprocessing, is a critical step in the data analysis process, particularly in the context of learning analytics. This chapter provides an introduction to data wrangling using R and covers topics such as data importing, cleaning, manipulation, and reshaping with a focus on tidy data. Specifically, readers will learn how to read data from different file formats (e.g. CSV, Excel), how to manipulate data using the dplyr package, and how to reshape data using the tidyr package. Additionally, the chapter covers techniques for combining multiple data sources. By the end of the chapter, readers should have a solid understanding of how to perform data wrangling tasks in R.</t>
  </si>
  <si>
    <t>data wrangling; data cleaning; tidyverse; R programming; learning analytics</t>
  </si>
  <si>
    <t>López-Pernas S., Misiejuk K., Kaliisa R., Conde M.Á., Saqr M.</t>
  </si>
  <si>
    <t>Capturing the Wealth and Diversity of Learning Processes with Learning Analytics Methods</t>
  </si>
  <si>
    <t>10.1007/978-3-031-54464-4_1</t>
  </si>
  <si>
    <t>https://lamethods.github.io/chapters/ch01-intro/intro.html</t>
  </si>
  <si>
    <t>The unique position of learning analytics at the intersection of education and computer science while reaching out to several other disciplines such as statistics, psychometrics, econometrics, mathematics, and linguistics has accelerated the growth and expansion of the field. Therefore, it is a crucial endeavor for learning analytics researchers to stay abreast of the latest methodological and computational advances to drive their research forward. The diversity and complexity of the existing methods can make this task overwhelming both for newcomers to the learning analytics field and for experienced researchers. With the motivation to accompany researchers in this challenging journey, the book “Learning Analytics Methods and Tutorials - A Practical Guide Using R” aims to provide a methodological guide for researchers to study, consult, and embark upon the first steps toward innovation in the learning analytics field. Thanks to the unique wealth of authors’ backgrounds and expertise, which include authors of R packages and experts in methods and applications, the book offers a comprehensive array of methods that are described thoroughly with a primer on their usage in prior research in education. These methods include sequence analysis, Markov models, factor analysis, process mining, network analysis, predictive modeling, and cluster analysis among others. A step-by-step tutorial using the R programming language with real-life datasets and case studies is presented for each method. In addition, the initial chapters are devoted to getting novice researchers up to speed with the R programming learners and the basics of data analysis. The present chapter serves as an introduction to the book describing its main aim and intended audience. It describes the structure of the book and the methods covered by each chapter. It also points the readers to the companion code and data repositories to facilitate following the tutorials present in the book chapter.</t>
  </si>
  <si>
    <t>learning analytics; educational data mining; tutorial; methods; learning analytics; curriculum</t>
  </si>
  <si>
    <t>López-Pernas S., Misiejuk K., Tikka S., Saqr M., Kopra J., Heinäniemi M.</t>
  </si>
  <si>
    <t>Visualizing and Reporting Educational Data with R</t>
  </si>
  <si>
    <t>194</t>
  </si>
  <si>
    <t>10.1007/978-3-031-54464-4_6</t>
  </si>
  <si>
    <t>https://lamethods.github.io/chapters/ch06-data-visualization/ch6-viz.html</t>
  </si>
  <si>
    <t>Visualizing data is central in learning analytics research, underpins learning dashboards, and is a prime method for reporting results and insights to stakeholders. In this chapter, the reader will be guided through the process of generating meaningful and aesthetically pleasing visualizations of different types of student data using well-known R packages. The main visualization types will be demonstrated with an explanation of their usage and use cases. Furthermore, learning-related examples will be discussed in detail. For instance, readers will learn how to visualize learners’ logs extracted from learning management systems to show how trace data can be used to track students’ learning activities. In addition to creating compelling plots, readers will also be able to generate professional-looking tables with summary statistics.</t>
  </si>
  <si>
    <t>learning analytics; data visualization; ggplot2; visual analytics</t>
  </si>
  <si>
    <t>Modelling the Dynamics of Longitudinal Processes in Education: The VaSSTra Method</t>
  </si>
  <si>
    <t>355</t>
  </si>
  <si>
    <t>379</t>
  </si>
  <si>
    <t>10.1007/978-3-031-54464-4_11</t>
  </si>
  <si>
    <t>https://lamethods.github.io/chapters/ch11-vasstra/ch11-vasstra.html</t>
  </si>
  <si>
    <t>Modeling a longitudinal process in educational research brings a lot of variability over time. The modeling procedure becomes even harder when using multivariate continuous variables, e.g., clicks on learning resources, time spent online, and interactions with peers. In fact, most human behavioral constructs are an amalgam of interrelated features with complex fluctuations over time. Modeling such processes requires a method that takes into account the multidimensional nature of the examined construct as well as the temporal evolution. In this chapter we describe the VaSSTra method, which combines person-based methods, sequence analysis and life-events methods. Throughout the chapter, we discuss how to derive states from different variables related to students, how to construct sequences from students’ longitudinal progression of states, and how to identify and study distinct trajectories of sequences that undergo a similar evolution. We also cover some advanced properties of sequences that can help us analyze and compare trajectories. We illustrate the method through a tutorial using the R programming language.</t>
  </si>
  <si>
    <t>learning analytics; sequence analysis; life-events methods; person-based methods; longitudinal methods</t>
  </si>
  <si>
    <t>The Why, the How, and the When of Educational Process Mining in R</t>
  </si>
  <si>
    <t>467</t>
  </si>
  <si>
    <t>488</t>
  </si>
  <si>
    <t>10.1007/978-3-031-54464-4_14</t>
  </si>
  <si>
    <t>https://lamethods.github.io/chapters/ch14-process-mining/ch14-process.html</t>
  </si>
  <si>
    <t>This chapter presents the topic of process mining applied to learning analytics data. The chapter begins by introducing the fundamental concepts of the method, with a focus on event log construction and visual representation using directly-follows graphs. A review of the existing literature on educational process mining is also presented to introduce the reader to the state of the art of the field. The chapter follows with a guided tutorial in R on how to apply process mining to trace log data extracted from an online learning management system. The tutorial uses the bupaverse framework for data handling and visualization. We finish the chapter with a reflection on the method and its reliability and applicability.</t>
  </si>
  <si>
    <t>process mining; bupaverse; learning analytics; educational data mining</t>
  </si>
  <si>
    <t>López-Pernas S., Saqr M., Conde J., Del-Río-Carazo L.</t>
  </si>
  <si>
    <t>A Broad Collection of Datasets for Educational Research Training and Application</t>
  </si>
  <si>
    <t>10.1007/978-3-031-54464-4_2</t>
  </si>
  <si>
    <t>https://lamethods.github.io/chapters/ch02-data/ch2-data.html</t>
  </si>
  <si>
    <t>In this chapter, we present the main types of data that are commonly used in learning analytics research. Learning analytics has grown to encompass the digital trails left by online learning technologies —clicks, events, and interactions—, sensor data and self-reports among others. We present a collection of curated real-life open datasets that represent the most common types of educational data. The datasets have been collected from diverse sources such as learning management systems, online forums, and surveys. These datasets are used throughout the book to illustrate methods of analysis such as sequence analysis, social network analysis, Markov models, predictive analytics and structure equation modeling, to mention a few. Each data set in the chapter is presented with its context, main properties, links to the original source, as well as a brief exploratory data analysis.</t>
  </si>
  <si>
    <t>learning analytics; datasets; open data; educational data mining</t>
  </si>
  <si>
    <t>López-Pernas S., Saqr M., Helske S., Murphy K.</t>
  </si>
  <si>
    <t>Multichannel Sequence Analysis in Educational Research Using R</t>
  </si>
  <si>
    <t>429</t>
  </si>
  <si>
    <t>465</t>
  </si>
  <si>
    <t>10.1007/978-3-031-54464-4_13</t>
  </si>
  <si>
    <t>https://lamethods.github.io/chapters/ch13-multichannel/ch13-multi.html</t>
  </si>
  <si>
    <t>This chapter introduces multi-channel sequence analysis, a novel method that examines two or more synchronised sequences. While this approach is relatively new in social sciences, its relevance to educational research is growing as researchers gain access to diverse multimodal temporal data. Throughout this chapter, we describe multi-channel sequence analysis in detail, with an emphasis on how to detect patterns within the sequences, i.e., clusters —or trajectories— of multi-channel sequences that share similar temporal evolutions (or similar trajectories). To illustrate this method we present a step-by-step tutorial in R that analyses students’ sequences of online engagement and academic achievement, exploring their longitudinal association. We cover two approaches for clustering multi-channel sequences: one based on using distance-based algorithms, and the other employing mixture hidden Markov models inspired by recent research.</t>
  </si>
  <si>
    <t>learning analytics; multichannel sequence analysis; mixture hidden markov models; multimodal data</t>
  </si>
  <si>
    <t>Murphy K., López-Pernas S., Saqr M.</t>
  </si>
  <si>
    <t>Dissimilarity-based Cluster Analysis of Educational Data: A Comparative Tutorial using R</t>
  </si>
  <si>
    <t>231</t>
  </si>
  <si>
    <t>283</t>
  </si>
  <si>
    <t>10.1007/978-3-031-54464-4_8</t>
  </si>
  <si>
    <t>https://lamethods.github.io/chapters/ch08-clustering/ch8-clus.html</t>
  </si>
  <si>
    <t>Clustering is a collective term which refers to a broad range of techniques aimed at uncovering patterns and subgroups within data. Interest lies in partitioning heterogeneous data into homogeneous groups, whereby cases within a group are more similar to each other than cases assigned to other groups, without foreknowledge of the group labels. Clustering is also an important component of several exploratory methods, analytical techniques, and modelling approaches and therefore has been practiced for decades in education research. In this context, finding patterns or differences among students enables teachers and researchers to improve their understanding of the diversity of students —and their learning processes— and tailor their supports to different needs. This chapter introduces the theory underpinning dissimilarity-based clustering methods. Then, we focus on some of the most widely-used heuristic dissimilarity-based clustering algorithms; namely, K-Means, K-Medoids, and agglomerative hierarchical clustering. The K-Means clustering algorithm is described including the outline of the arguments of the relevant R functions and the main limitations and practical concerns to be aware of in order to obtain the best performance. We also discuss the related  K-Medoids algorithm and its own associated concerns and function arguments. We later introduce agglomerative hierarchical clustering and the related R functions while outlining various choices available to practitioners and their implications. Methods for choosing the optimal number of clusters are provided, especially criteria that can guide the choice of clustering solution among multiple competing methodologies —with a particular focus on evaluating solutions obtained using different dissimilarity measures— and not only the choice of the number of clusters for a given method. All of these issues are demonstrated in detail with a tutorial in R using a real-life educational data set.</t>
  </si>
  <si>
    <t>agglomerative hierarchical clustering; average silhouette width; dissimilarity-based clustering; K-Means; K-Medoids; leaning analytics</t>
  </si>
  <si>
    <t>Saqr M., Beck E., López-Pernas S.</t>
  </si>
  <si>
    <t>Psychological Networks: A Modern Approach to Analysis of Learning and Complex Learning Processes</t>
  </si>
  <si>
    <t>639</t>
  </si>
  <si>
    <t>671</t>
  </si>
  <si>
    <t>10.1007/978-3-031-54464-4_19</t>
  </si>
  <si>
    <t>https://lamethods.github.io/chapters/ch19-psychological-networks/ch19-psych.html</t>
  </si>
  <si>
    <t>In the examination of psychological phenomena within educational environments, a multitude of variables come into play, and these variables have the potential to interact with, trigger, and exert influence on one another. To grasp the intricate dependencies among these variables, investigating the linear associations between each variable pair is not enough. Instead, this complexity demands the application of more advanced techniques that capture the full spectrum of interactions between these variables. One of such techniques is psychological networks. In contrast to social networks, where nodes typically represent individuals and edges signify their interactions or relationships, psychological networks differ in that the nodes represent observed psychological variables, and the edges denote the statistical relationships between them. This chapter serves as an introduction to psychological networks within educational research, offering a tutorial on their estimation, visualization, and interpretation using the R programming language.</t>
  </si>
  <si>
    <t>psychological networks; partial correlation networks; complex systems; learning analytics</t>
  </si>
  <si>
    <t>Saqr M., López-Pernas S., Conde M.Á., Hernández-García Á.</t>
  </si>
  <si>
    <t>Social Network Analysis: A Primer, a Guide and a Tutorial in R</t>
  </si>
  <si>
    <t>491</t>
  </si>
  <si>
    <t>518</t>
  </si>
  <si>
    <t>10.1007/978-3-031-54464-4_15</t>
  </si>
  <si>
    <t>https://lamethods.github.io/chapters/ch15-sna/ch15-sna.html</t>
  </si>
  <si>
    <t>This chapter introduces the concept and methods of social network analysis (SNA) with a detailed guide to analysis with real world data using the R programming language. The chapter first introduces the basic concepts and types of networks. Then the chapter goes through a detailed step by step analysis of networks, computation of graph level measures as well as centralities with a concise interpretation in a collaborative environment. The chapter concludes with a discussion of network analysis, next steps as well as a list of further readings.</t>
  </si>
  <si>
    <t>learning analytics; social network analysis; centrality measures; tutorial</t>
  </si>
  <si>
    <t>Saqr M., López-Pernas S., Helske S., Durand M., Murphy K., Studer M., Ritschard G.</t>
  </si>
  <si>
    <t>Sequence Analysis in Education: Principles, Technique, and Tutorial with R</t>
  </si>
  <si>
    <t>321</t>
  </si>
  <si>
    <t>354</t>
  </si>
  <si>
    <t>10.1007/978-3-031-54464-4_10</t>
  </si>
  <si>
    <t>https://lamethods.github.io/chapters/ch10-sequence-analysis/ch10-seq.html</t>
  </si>
  <si>
    <t>Sequence analysis is a data mining technique that is increasingly gaining ground in learning analytics. Sequence analysis enables researchers to extract meaningful insights from sequential data, i.e., to summarize the sequential patterns of learning data and classify those patterns into homogeneous groups. In this chapter, readers will become familiar with sequence analysis techniques and tools through real-life step-by-step examples of sequential trace log data of students’ online activities. Readers will be guided on how to visualize the common sequence plots and interpret such visualizations. An essential part of sequence analysis is the discovery of patterns within sequences through clustering techniques. Therefore, this chapter will demonstrate the various sequence clustering methods, calculator of cluster indices, and evaluation of clustering results.</t>
  </si>
  <si>
    <t>sequence analysis; sequence mining; learning analytics</t>
  </si>
  <si>
    <t>Saqr M., Schreuder M. J., López-Pernas S.</t>
  </si>
  <si>
    <t>Why educational research needs a complex system revolution that embraces individual differences, heterogeneity, and uncertainty</t>
  </si>
  <si>
    <t>723</t>
  </si>
  <si>
    <t>734</t>
  </si>
  <si>
    <t>10.1007/978-3-031-54464-4_22</t>
  </si>
  <si>
    <t>https://lamethods.github.io/chapters/ch22-conclusion/ch22-conclusion.html</t>
  </si>
  <si>
    <t>Whereas the field of learning analytics has matured, several methodological and theoretical issues remain unresolved. In this chapter, we discuss the potentials of complex systems as an overarching paradigm for understanding the learning process, learners and the learning environments and how they influence learning. We show how using complex system methodologies open doors for new possibilities that may contribute new knowledge and solve some of the unresolved problems in learning analytics. Furthermore, we unpack the importance of individual differences in advancing the field bringing a much-needed theoretical perspective that could help offer answers to some of our pressing issues.</t>
  </si>
  <si>
    <t>learning analytics; complex systems; individual differences</t>
  </si>
  <si>
    <t>Scrucca L., Saqr M., López-Pernas S., Murphy K.</t>
  </si>
  <si>
    <t>An Introduction and R Tutorial to Model-based Clustering in Education via Latent Profile Analysis</t>
  </si>
  <si>
    <t>285</t>
  </si>
  <si>
    <t>317</t>
  </si>
  <si>
    <t>10.1007/978-3-031-54464-4_9</t>
  </si>
  <si>
    <t>https://lamethods.github.io/chapters/ch09-model-based-clustering/ch9-model.html</t>
  </si>
  <si>
    <t>Heterogeneity has been a hot topic in recent educational literature. Several calls have been voiced to adopt methods that capture different patterns or subgroups within students’ behavior or functioning. Assuming that there is “an average” pattern that represents the entirety of student populations requires the measured construct to have the same causal mechanism, same development pattern, and affect students in exactly the same way. Using a person-centered method (finite Gaussian mixture model or latent profile analysis), the present tutorial shows how to uncover the heterogeneity within engagement data by identifying three latent or unobserved clusters. This chapter offers an introduction to the model-based clustering that includes the principles of the methods, a guide to choice of number of clusters, evaluation of clustering results and a detailed guide with code and a real-life dataset. The discussion elaborates on the interpretation of the results, the advantages of model-based clustering as well as how it compares with other methods.</t>
  </si>
  <si>
    <t>Gaussian mixture model; latent profile analysis; model-based clustering; learning analytics</t>
  </si>
  <si>
    <t>Tikka S., Kopra J., Heinäniemi M., López-Pernas S., Saqr M.</t>
  </si>
  <si>
    <t>Getting started with R for Education Research</t>
  </si>
  <si>
    <t>94</t>
  </si>
  <si>
    <t>10.1007/978-3-031-54464-4_3</t>
  </si>
  <si>
    <t>https://lamethods.github.io/chapters/ch03-intro-r/ch3-intor.html</t>
  </si>
  <si>
    <t>The R programming language has become a popular tool for conducting data analysis in the field of learning analytics. This chapter provides an introduction to the basics of R programming, with a focus on the Rstudio integrated development environment and the tidyverse programming paradigm. The chapter covers topics such as data types and structures, control structures, pipes, functions, loops, and input/output operations. By the end of the chapter, readers should have a solid understanding of the basics of R programming and have the tools necessary to learn more in-depth topics such as data wrangling and basic statistics using R.</t>
  </si>
  <si>
    <t>R programming; R studio; learning analytics</t>
  </si>
  <si>
    <t>Introductory Statistics with R for Educational Researchers</t>
  </si>
  <si>
    <t>10.1007/978-3-031-54464-4_5</t>
  </si>
  <si>
    <t>https://lamethods.github.io/chapters/ch05-basic-stats/ch5-stats.html</t>
  </si>
  <si>
    <t>Statistics play a fundamental role in learning analytics, providing a means to analyze and make sense of the vast amounts of data generated by learning environments. This chapter provides an introduction to basic statistical concepts using R and covers topics such as measures of central tendency, variability, correlation, and regression analysis. Specifically, readers will learn how to compute descriptive statistics, conduct hypothesis tests, and perform simple linear regression analysis. The chapter also includes practical examples using realistic data sets from the field of learning analytics. By the end of the chapter, readers should have a solid understanding of the basic statistical concepts and methods commonly used in learning analytics, as well as a practical understanding of how to use R to conduct statistical analysis of learning data.</t>
  </si>
  <si>
    <t>statistics; learning analytics; hypothesis testing</t>
  </si>
  <si>
    <t>Vogelsmeier L.V.D.E., Saqr M., López-Pernas S., Jongerling J.</t>
  </si>
  <si>
    <t>Factor Analysis in Education Research using R</t>
  </si>
  <si>
    <t>673</t>
  </si>
  <si>
    <t>703</t>
  </si>
  <si>
    <t>10.1007/978-3-031-54464-4_20</t>
  </si>
  <si>
    <t>https://lamethods.github.io/chapters/ch20-factor-analysis/ch20-factor.html</t>
  </si>
  <si>
    <t>Factor analysis is a method commonly employed to reduce a large number of variables into fewer numbers of factors. The method is often used to identify which observable indicators are representative of latent, not directly-observed constructs. This is a key step in developing valid instruments to assess latent constructs in educational research (e.g., student engagement or motivaion). The chapter describes the two main approaches for conducting factor analysis in detail and provides a tutorial on how to implement both techniques with the R programming language. The first is confirmatory factor analysis (CFA), a more theory-driven approach, in which a researcher actively specifies the number of underlying constructs as well as the pattern of relations between these dimensions and observed variables. The second is exploratory factor analysis (EFA), a more data-driven approach, in which the number of underlying constructs is inferred from the data, and all underlying constructs are assumed to influence all observed variables (at least to some degree).</t>
  </si>
  <si>
    <t>factor analysis; exploratory factor analysis; confirmatory factor analysis; learning analytics</t>
  </si>
  <si>
    <t>How the dynamics of engagement explain the momentum of achievement and the inertia of disengagement: A complex systems theory approach</t>
  </si>
  <si>
    <t>153</t>
  </si>
  <si>
    <t>108126</t>
  </si>
  <si>
    <t>10.1016/j.chb.2023.108126</t>
  </si>
  <si>
    <t>Engagement can be understood as a complex dynamic process that unfolds over time and interacts with variables within the student, school, and environment. Most of the research on the dynamics of engagement comes from classroom settings and it is so far inconclusive how and why engagement and disengagement evolve over time. Using person-centered methods, sequence, transition, and covariate analysis, we examined a large dataset of 18 consecutive courses of 245 students over a full program. We identified three engagement states (active, average, and disengaged), as well as three distinct longitudinal engagement trajectories (engaged, fluctuating, and mostly disengaged). Taken together, our results showed that engagement trajectories are rather stable over time conforming to the universal dynamics of complex systems. Engaged students were driven by course materials, their achievement, and their previous engaged states (momentum). Most importantly, our results offer a novel theoretical grounding for the understanding of disengagement which has so far remained unexplained. According to our results, disengagement follows the dynamics of a complex system where stability does not require a hard-wired causal mechanism but rather, it is an attractor state that pulls the system to settle in (inertia). Thus, disengagement becomes an equilibrium state for those students that is hard to change (or a stuck state).</t>
  </si>
  <si>
    <t>Learning analytics; Engagement; Markov modeling; Sequence analysis; Longitudinal study; Complex dynamic systems</t>
  </si>
  <si>
    <t>Kaliisa R., Misiejuk K., López-Pernas S., Khalil M., Saqr M.</t>
  </si>
  <si>
    <t>Have Learning Analytics Dashboards Lived Up to the Hype? A Systematic Review of Impact on Students' Achievement, Motivation, Participation and Attitude</t>
  </si>
  <si>
    <t>Proceedings of the Fourteenth International Conference on Learning Analytics &amp; Knowledge (LAK'24)</t>
  </si>
  <si>
    <t>10.1145/3636555.3636884</t>
  </si>
  <si>
    <t>While learning analytics dashboards (LADs) are the most common form of LA intervention, there is limited evidence regarding their impact on students learning outcomes. This systematic review synthesizes the findings of 38 research studies to investigate the impact of LADs on students' learning outcomes, encompassing achievement, participation, motivation, and attitudes. As we currently stand, there is no evidence to support the conclusion that LADs have lived up to the promise of improving academic achievement. Most studies reported negligible or small effects, with limited evidence from well-powered controlled experiments. Many studies merely compared users and non-users of LADs, confounding the dashboard effect with student engagement levels. Similarly, the impact of LADs on motivation and attitudes appeared modest, with only a few exceptions demonstrating significant effects. Small sample sizes in these studies highlight the need for larger-scale investigations to validate these findings. Notably, LADs showed a relatively substantial impact on student participation. Several studies reported medium to large effect sizes, suggesting that LADs can promote engagement and interaction in online learning environments. However, methodological shortcomings, such as reliance on traditional evaluation methods, self-selection bias, the assumption that access equates to usage, and a lack of standardized assessment tools, emerged as recurring issues. To advance the research line for LADs, researchers should use rigorous assessment methods and establish clear standards for evaluating learning constructs. Such efforts will advance our understanding of the potential of LADs to enhance learning outcomes and provide valuable insights for educators and researchers alike.</t>
  </si>
  <si>
    <t>Learning analytics dashboards (LADs); Systematic review; Impact; Learning outcomes</t>
  </si>
  <si>
    <t>Best paper award at LAK 2024</t>
  </si>
  <si>
    <t>Barra E., Quemada J., López-Pernas S., Gordillo A., Alonso  Á., Carril A.</t>
  </si>
  <si>
    <t>An Autonomous Low-Cost Studio to Record Production-Ready Instructional Videos</t>
  </si>
  <si>
    <t>Multimedia Tools and Applications</t>
  </si>
  <si>
    <t>71951</t>
  </si>
  <si>
    <t>71971</t>
  </si>
  <si>
    <t>10.1007/s11042-024-18250-8</t>
  </si>
  <si>
    <t>Producing high-quality educational videos usually requires a large budget as it involves the use of expensive recording studios, the presence of a technician during the entire recording session and often post-production tasks. The high costs associated with video production represent a major hindrance for many educational institutions and, thus, many teachers regard high-quality video recording as inaccessible. As a remedy to this situation, this article presents SAGA (Autonomous Advanced Recording Studio in its Spanish acronym), a low-cost autonomous recording set that allows teachers to produce educational content in video format in an agile way and without the need for post-production. The article provides an overview of SAGA, including a description of its hardware and software so that anyone with basic technical knowledge can replicate and operate the system. SAGA has been used to record more than 1,500 videos including the contents of six MOOCs hosted on the MiriadaX platform, as well as four courses at UPM. SAGA has been evaluated in two ways: (1) from the video producers’ perspective, it was evaluated with a questionnaire based on the Technology Acceptance Model, and (2) from the video consumers’ perspective, a questionnaire was conducted among MOOC participants to assess the perceived technical quality of the videos recorded with SAGA. The results show a very positive general opinion of the SAGA system, the recorded videos and the technical features thereof. Thus, SAGA represents a good opportunity for all those educational institutions and teachers interested in producing high-quality educational videos at a low cost.</t>
  </si>
  <si>
    <t>recording studio; instructional videos; video equipment; multimedia materials; technology acceptance model.</t>
  </si>
  <si>
    <t>Santamaría-Urbieta A., López-Pernas S.</t>
  </si>
  <si>
    <t>Hint Strategies in Educational Escape Rooms: A Process Mining Approach</t>
  </si>
  <si>
    <t>Revista de Educación</t>
  </si>
  <si>
    <t>405</t>
  </si>
  <si>
    <t>10.4438/1988-592X-RE-2024-405-626</t>
  </si>
  <si>
    <t>Educational escape rooms have become a useful tool for teachers who want to engage their students and attract their attention to the content taught. Also, they have been found to be valuable in improving learner outcomes, perceptions, and engagement in higher education. Although much attention has been placed on students’ opinions when playing educational escape rooms, not much attention has been placed on the importance of the design process, and little research has investigated the effectiveness of hint strategies in optimizing participant experiences and learning outcomes. In this study, and through a process mining approach, the hints strategies of four online educational escape rooms at the university level are determined. The games were designed with the software Escapp, which allows researchers to collect students’ trace log data during the escape rooms. With this data, we calculated descriptive statistics for each escape room, studied the relationship between hints and performance, and to take into account the temporal aspect of students’ actions, we employed process mining to investigate the transitions between actions and the role of hints in helping students solve the puzzles. Results show that the use of hints was generally low and that participants relied more on their own problem-solving skills. However, there were instances in which hints were requested and correlated with longer gameplay duration and a higher number of failed attempts. In conclusion, the present study addresses a gap in the existing literature which highlights, after our analysis, the need for careful consideration of hint design and delivery strategies.</t>
  </si>
  <si>
    <t>educational escape rooms; hints; game-based learning; learning analytics; process mining</t>
  </si>
  <si>
    <t>Mapping the self in self-regulation using complex dynamic systems and idiographic methods</t>
  </si>
  <si>
    <t>British Journal of Educational Technology</t>
  </si>
  <si>
    <t>55</t>
  </si>
  <si>
    <t>1376</t>
  </si>
  <si>
    <t>1397</t>
  </si>
  <si>
    <r>
      <rPr>
        <rFont val="Arial"/>
        <sz val="10.0"/>
      </rPr>
      <t>10.1111/bjet.13452</t>
    </r>
  </si>
  <si>
    <t>Complex dynamic systems offer a rich platform for understanding the individual or the person-specific mechanisms. Yet, in learning analytics research and education at large, a complex dynamic system has rarely been framed, developed, or used to understand the individual student where the learning process takes place. Individual (or person-specific) methods can accurately and precisely model the individual person, create person-specific models, and devise unique parameters for each individual. Our study used the latest advances in complex systems dynamics to study the differences between group-based and individual self-regulated learning (SRL) dynamics. The findings show that SRL is a complex, dynamic system where different sub-processes influence each other resulting in the emergence of non-trivial patterns that vary across individuals and time scales, and as such far from the uniform picture commonly theorized. We found that the average SRL process does not reflect the individual SRL processes of different people. Therefore, interventions derived from the group-based SRL insights are unlikely to be effective in personalization. We posit that, if personalized interventions are needed, modeling the person with person-specific methods should be the guiding principle. Our study offered a reliable solution to model the person-specific self-regulation processes which can serve as a ground for understanding and improving individual learning and open the door for precision education.</t>
  </si>
  <si>
    <t>complex dynamic systems; experience sampling method; idiographic; learning analytics; personalized learning; self-regulated learning; within-person; psychological networks</t>
  </si>
  <si>
    <t>Conde J., López-Pernas S., Barra E., Saqr M.</t>
  </si>
  <si>
    <t>The Temporal Dynamics of Procrastination and its Impact on Academic Performance: The Case of a Task-oriented Programming Course</t>
  </si>
  <si>
    <t>SAC '24: Proceedings of the 39th ACM/SIGAPP Symposium on Applied Computing</t>
  </si>
  <si>
    <t>48</t>
  </si>
  <si>
    <t>10.1145/3605098.3636072</t>
  </si>
  <si>
    <t xml:space="preserve">Procrastination is one of the most common problems among students causing mental health issues, low motivation, and poor academic performance. The emergence of Learning Management Systems has made it possible to accurately pinpoint when procrastination takes place due to the unobtrusive collection of fine-grained data from students. However, most studies that analyze procrastination regard it as an intrinsic characteristic of students. In this work, we study procrastination as a process that unfolds with time. We use sequence analysis to map the evolution of students’ procrastination behavior over a task-oriented programming course. Our findings evince that students’ procrastination is not constant throughout a course and that students who tend to procrastinate are those who achieve worse academic performance. </t>
  </si>
  <si>
    <t>learning analytics; sequence analysis; automated assessment tools; programming; academic procrastination</t>
  </si>
  <si>
    <t>Ito H., López-Pernas S., Saqr M.</t>
  </si>
  <si>
    <t>A Scoping Review of Idiographic Research in Education: Too Little, But Not Too Late</t>
  </si>
  <si>
    <t>Proceedings - IEEE 24th International Conference on Advanced Learning Technologies, ICALT 2024</t>
  </si>
  <si>
    <t>10.1109/ICALT61570.2024.00010</t>
  </si>
  <si>
    <t xml:space="preserve">It stands to reason that if we want to offer “personalized” education, our methods should be designed to capture the person and the intraindividual processes. However, an idiographic approach that investigates within-person processes and provides insights on the person has been so far lagging. We conducted a scoping review to explore how the idiographic approach has been applied in educational research (i.e., what methods, topics, data, and statistical approaches). We found that person-specific analysis has mostly been used to investigate education psychology constructs. In addition, many idiographic studies have employed basic statistical techniques, whereas advanced statistical methods have been applied only recently. Therefore, considering the recent development of educational data science, the potential of idiographic methodology needs to be explored further. </t>
  </si>
  <si>
    <t>idiographic; person-specific; within-person; learning analytics; scoping review</t>
  </si>
  <si>
    <t>Momentary emotions emerge and evolve differently across students and time, yet are surprisingly stable</t>
  </si>
  <si>
    <t>86</t>
  </si>
  <si>
    <t>90</t>
  </si>
  <si>
    <t>10.1109/ICALT61570.2024.00031</t>
  </si>
  <si>
    <t>Research on academic emotions has explored different granularities that range from a full program to a single task. Yet, most of the existing research stems from cross-sectional studies. While immensely useful, lacking a temporal depth obfuscates the process of emotions into a flat process. To fill this gap, this study takes a process-oriented approach to study the momentary changes in academic emotions as they unfold in time into phases, changes, and successions of sequences during two lectures. We use intensive longitudinal data in the form of ecological momentary surveys. We rely on mixture models to cluster the data into states, use sequence analysis to map the longitudinal unfolding and mixture hidden Markov models to answer why certain longitudinal patterns emerge. Our findings point to differences among students in their reactions to contextual variables, yet, such reactions are relatively stable within the short time window that we studied.</t>
  </si>
  <si>
    <t>learning analytics; academic emotions; affect; Gaussian mixture models; sequence analysis; mixture hidden Markov models; PANAVA; VaSSTra</t>
  </si>
  <si>
    <t>Nominated to best paper award at ICALT 2024</t>
  </si>
  <si>
    <t>Munoz-Arcentales J.A., Conde J., Alonso Á., Salvachúa J., Velásquez W., López-Pernas S.</t>
  </si>
  <si>
    <t>Data fusion and homogenization: Two key aspects for building digital twins of smart spaces</t>
  </si>
  <si>
    <t>Smart Spaces</t>
  </si>
  <si>
    <t>10.1016/B978-0-443-13462-3.00002-9</t>
  </si>
  <si>
    <t>Digital twins are virtual replicas of physical objects, systems, or processes. With the advancement of artificial intelligence and internet of things, digital twins have become an increasingly valuable tool in the context of smart spaces to improve efficiency, reduce costs, and enhance user experience. However, one of the main challenges for the successful implementation of digital twins is combining data from multiple sources in a homogeneous format so they can be operationalized together to generate more accurate, comprehensive, and valuable information. This chapter thoroughly describes the implementation of a digital twin of a smart space using different technologies from the FIWARE ecosystem that help combat data fusion and homogenization problems. This process involves several steps, including data selection, preprocessing, integration, and interpretation. In addition, a case study on low-emission zones is presented, which can be easily replicated in different scenarios within a smart city. Lastly, we discuss the advantages of using FIWARE as the underlying technology in our implementation to overcome the data fusion and homogenization challenge.</t>
  </si>
  <si>
    <t>Digital Twins; Data Fusion; FIWARE; NGSI-LD; Smart Spaces</t>
  </si>
  <si>
    <t>B2</t>
  </si>
  <si>
    <t>Vartiainen H., Kahila J., Tedre M., López-Pernas S., Pope N.</t>
  </si>
  <si>
    <t>Enhancing Children’s Understanding of Algorithmic Biases in and With Text-to-Image Generative AI</t>
  </si>
  <si>
    <t>New Media &amp; Society</t>
  </si>
  <si>
    <t>5342</t>
  </si>
  <si>
    <t>5368</t>
  </si>
  <si>
    <t>10.1177/14614448241252820</t>
  </si>
  <si>
    <t>Despite the growing concerns surrounding algorithmic biases in generative AI (artificial intelligence), there is a noticeable lack of research on how to facilitate children and young people’s awareness and understanding of them. This study aimed to address this gap by conducting hands-on workshops with fourth- and seventh-grade students in Finland, and by focusing on students’ (N = 209) evolving explanations of the potential causes of algorithmic biases within text-to-image generative models. Statistically significant progress in children’s data-driven explanations was observed on a written reasoning test, which was administered prior to and after the intervention, as well as in their responses to the worksheets they filled out during a lesson that focused on algorithmic biases. The article concludes with a discussion on the development and facilitation of children’s understanding of algorithmic biases.</t>
  </si>
  <si>
    <t>Algorithmic Bias; Artificial intelligence; Text-to-image generative models; Diffusion models; School education; K-12; Conceptual change; Generative AI; Prompt engineering</t>
  </si>
  <si>
    <t>Kaliisa R., López-Pernas S., Misiejuk K., Saqr M., Damsa C.</t>
  </si>
  <si>
    <t>Exploring the Dynamics and Trends of Knowledge Exchange: A Structured Topic Modeling Approach of the CSCL Conference Proceedings</t>
  </si>
  <si>
    <t>Proceedings of the International Society of the Learning Sciences</t>
  </si>
  <si>
    <t>261</t>
  </si>
  <si>
    <t>264</t>
  </si>
  <si>
    <t>10.22318/cscl2024.105178</t>
  </si>
  <si>
    <t>This paper presents the topical trends of Computer-Supported Collaborative Learning (CSCL) through a structured topic modelling of CSCL conference proceedings. The study highlights the multidisciplinary nature of CSCL, revealing theoretical, methodological, and epistemological diversity. Noteworthy findings include a decline in interest in scripting and concept maps, reflecting an evolving emphasis on learner autonomy and the study of collaboration based on various artifacts. The impact of technological advances, particularly the focus on multimodal collaboration analytics, indicates a dynamic interplay between technology and CSCL discourse. As the field stands on the precipice of the artificial intelligence (AI) era, there is anticipation that AI will significantly influence CSCL methodologies, offering opportunities for enhanced collaboration analytics and adaptive learning environments.</t>
  </si>
  <si>
    <t>Saqr M., López-Pernas S., Murphy K.</t>
  </si>
  <si>
    <t>How group structure, members’' interactions and teacher facilitation explain the emergence of roles in collaborative learning</t>
  </si>
  <si>
    <t>112</t>
  </si>
  <si>
    <t>102463</t>
  </si>
  <si>
    <t>10.1016/j.lindif.2024.102463</t>
  </si>
  <si>
    <t>The existing research on emerging roles in computer-supported collaborative learning (CSCL) has mostly focused on who did what rather than why, i.e., which variables led to the emergence of certain roles. Therefore, we aimed to bridge such a gap and investigate the variables that explain the emergence of roles. We used a large dataset of 173,838 interactions by 7,054 students in 787 small groups. Two groups of variables were investigated: those related to other collaborators in the group —group size, cohesion, effort, dominance, distribution of participation and replies— as well as teacher factors —effort, influence, replies, collaborators size (ego), and uptake. The study used a novel person-centered method: mixture of experts model framework that incorporates the covariates into the model to quantify their magnitude of explanation of the emergence of the identified roles. Three roles were identified: leaders, mediators, and isolates. Our results show that leaders were likely to emerge regardless of the number of students per group and contribute to better participatory environments where more students are involved, and more posts are contributed by others and further discussed by diverse members. Mediators were more likely to emerge in averagely interactive and balanced groups, whereas isolates “lurked” in active groups which are dominated by few active students. We use our findings and a review of the literature, both in CSCL and in social sciences at large, to propose a framework —which updates the decade-old framework— for operationalization and understanding of the social roles and the factors that drive their emergence.</t>
  </si>
  <si>
    <t>Computer-supported collaborative learning (CSCL); Model-based clustering; Social network analysis; Emerging roles; Learning analytics; Problem-based learning</t>
  </si>
  <si>
    <t>Tracking students' progress in educational escape rooms through a sequence analysis inspired dashboard</t>
  </si>
  <si>
    <t>Inclusive and equitable quality education for all. EC-TEL 2024. Lecture Notes in Computer Science</t>
  </si>
  <si>
    <t>15160</t>
  </si>
  <si>
    <t>124</t>
  </si>
  <si>
    <t>10.1007/978-3-031-72312-4_15</t>
  </si>
  <si>
    <t>Learning analytics dashboards are the main vehicle for providing educators with a visual representation of data and insights related to teach-ing and learning. Recent research has found that the data visualizations pro-vided by dashboards are often very basic and do not take advantage of the latest research advances to analyze and depict the learning process. In this article, we present a success story of how we adapted a visualization used for research purposes for its integration in a dashboard for its use by teach-ers in daily practice. Specifically, we described the process of transforming and integrating a static sequence analysis visualization into an interactive web visualization in a learning analytics dashboard for monitoring stu-dents’ temporal trajectories in educational escape rooms in real time. We in-terviewed teachers to find out how they made use of the dashboard and pre-sent a qualitative content analysis of their responses.</t>
  </si>
  <si>
    <t>learning analytics; sequence analysis; game-based learning; educational escape rooms; dashboards</t>
  </si>
  <si>
    <t>Nominated to best poster award at EC-TEL 2024</t>
  </si>
  <si>
    <t>Zdravković N., Conde M.Á., López-Pernas S., Vijayakumar P.</t>
  </si>
  <si>
    <t>Security Issues in Robotic Platforms, Sensor Networks and Smart Cities</t>
  </si>
  <si>
    <t>The Fourteenth International Conference on Business Information Security (BISEC'2023)  (CEUR Workshop Proceedings)</t>
  </si>
  <si>
    <t>3676</t>
  </si>
  <si>
    <t>Name</t>
  </si>
  <si>
    <t>Role</t>
  </si>
  <si>
    <t xml:space="preserve">https://ceur-ws.org/Vol-3676/BISEC_Preface.pdf </t>
  </si>
  <si>
    <t>Link</t>
  </si>
  <si>
    <t>Funding</t>
  </si>
  <si>
    <t>Money</t>
  </si>
  <si>
    <t>UEF</t>
  </si>
  <si>
    <t>2024-2028</t>
  </si>
  <si>
    <t xml:space="preserve">CRETIC </t>
  </si>
  <si>
    <t>PI</t>
  </si>
  <si>
    <t>https://uefconnect.uef.fi/en/cretic</t>
  </si>
  <si>
    <t>Saqr M., López-Pernas S., Conde M.Á., Pavlović O., Raspopović Milić M.</t>
  </si>
  <si>
    <t>The Critical Challenges of Artificial Intelligence in Education</t>
  </si>
  <si>
    <t>Proceedings of the 14th International Conference on eLearning (eLearning-2023) (CEUR Workshop Proceedings)</t>
  </si>
  <si>
    <t>3696</t>
  </si>
  <si>
    <t>https://ceur-ws.org/Vol-3696/preface.pdf</t>
  </si>
  <si>
    <t>Research Council of Finland</t>
  </si>
  <si>
    <r>
      <rPr>
        <rFont val="Arial, sans-serif"/>
        <b/>
        <color rgb="FF000000"/>
        <sz val="10.0"/>
      </rPr>
      <t>CRETIC</t>
    </r>
    <r>
      <rPr>
        <rFont val="Arial, sans-serif"/>
        <color rgb="FF000000"/>
        <sz val="10.0"/>
      </rPr>
      <t xml:space="preserve"> (Optimizing Clinical Reasoning in Time-Critical Scenarios: A data-driven multimodal approach) aims to optimize emergency training of healthcare students and trainees. I will develop an innovative gamified platform that combines virtual patients and elements of educational escape rooms to simulate clinical emergencies. Data from multiple sources (physiological sensors, questionnaires and digital logs) will be collected to capture the full breadth of the dynamics of the clinical reasoning process. The data will be analyzed using the latest temporal learning analytics and explainable artificial intelligence methods to map the clinical reasoning process and the factors that lead to successful and effective decision-making. The proposal will result in an open scalable platform that will dramatically improve the training of medical emergencies, offer personalized insights into effective decision-making, provide a safe environment for practicing challenging clinical situations, and ultimately decrease medical errors, one of the leading causes of death worldwide.</t>
    </r>
  </si>
  <si>
    <t>The Features Learning Analytics Students Want the Most: Help Them Learn Over All Else</t>
  </si>
  <si>
    <t>2026-2028</t>
  </si>
  <si>
    <t>REBEAUTY</t>
  </si>
  <si>
    <t>local PI</t>
  </si>
  <si>
    <t>https://ceur-ws.org/Vol-3696/article_2.pdf</t>
  </si>
  <si>
    <t>Erasmus+ KA220-SCH</t>
  </si>
  <si>
    <r>
      <rPr>
        <rFont val="Arial, sans-serif"/>
        <color rgb="FF000000"/>
        <sz val="10.0"/>
      </rPr>
      <t xml:space="preserve">The </t>
    </r>
    <r>
      <rPr>
        <rFont val="Arial, sans-serif"/>
        <b/>
        <color rgb="FF000000"/>
        <sz val="10.0"/>
      </rPr>
      <t>ReBeauty</t>
    </r>
    <r>
      <rPr>
        <rFont val="Arial, sans-serif"/>
        <color rgb="FF000000"/>
        <sz val="10.0"/>
      </rPr>
      <t xml:space="preserve"> Project ("Enhancing Critical Thinking and Digital Awareness in the Era of Cosmetic Influencers") aims to strengthen critical thinking, media literacy, and emotional well-being among students aged 10–18 by addressing the influence of social media beauty culture. It seeks to equip teachers with innovative pedagogical tools to discuss beauty norms, influencer marketing, and digital self-image. Through evidence-based research and gamified learning, the project promotes authenticity, resilience, and responsible engagement with digital media. The project will conduct a cross-national needs analysis involving students, teachers, and parents to understand exposure to beauty-related online content. Based on these findings, partners will develop a teacher training programme, a gamified curriculum with escape-room activities, and an interactive digital platform. Pilot testing, workshops, and national webinars will support implementation, while dissemination activities will ensure wider adoption across school communities. The project will deliver a Needs Analysis Report, Policy Recommendations, a Teachers’ Capacity-Building Programme, a gamified ReBeauty Curriculum, and an online platform hosting interactive escape rooms. These outputs will enhance teachers’ competence in addressing digital beauty influence and empower students to analyse media messages critically. It will also improve well-being, boost digital literacy and encourage healthier attitudes towards beauty and self-image within school communities.</t>
    </r>
  </si>
  <si>
    <t xml:space="preserve">ENDGAME </t>
  </si>
  <si>
    <t>https://endgameproject.github.io/</t>
  </si>
  <si>
    <t>CREA MEDIA (European Comission)</t>
  </si>
  <si>
    <r>
      <rPr>
        <rFont val="Arial, sans-serif"/>
        <b/>
        <color rgb="FF000000"/>
        <sz val="10.0"/>
      </rPr>
      <t>ENDGAME</t>
    </r>
    <r>
      <rPr>
        <rFont val="Arial, sans-serif"/>
        <color rgb="FF000000"/>
        <sz val="10.0"/>
      </rPr>
      <t xml:space="preserve"> is an innovative project aimed at cultivating critical thinking and responsible digital citizenship among European youth through educational escape rooms that simulate real-life scenarios of information consumption. We aim to immerse participants in time-sensitive, interactive, and challenging experiences, where they will develop their skills in identifying disinformation, recognizing AI-generated content, and understanding the implications of personal data exposure on social media platforms. In order to address the diverse cultural, political, and socioeconomic contexts across Europe, the project tailors its content to three distinct countries: Finland, Serbia, and Spain. Participatory workshops involving local communities in selecting pressing media-related topics will be conducted, ensuring regional priorities are reflected in the escape rooms. To maximize outreach, the escape rooms can be played individually or in teams, both face-to-face and online. Competitions in schools and city venues, presentations at teacher fairs, gamer events, and scientific conferences will ensure a broad audience is reached. Online webinars and streaming events on platforms like Twitch will engage participants worldwide. To evaluate impact, the gameplay log data generated by the escape room players will be analyzed using learning analytics methods to identify knowledge gaps, serving as a diagnostic tool for targeted media literacy training. The project's alignment with the call's goals is evident in its emphasis on innovation through educational escape rooms, technological changes in media (including AI's role in disinformation), online inclusivity, and a participatory approach promoting diversity. Our proposal stands at the forefront of media literacy education, leveraging technology, inclusivity, and cross-border collaboration to equip the next generation with the critical skills needed to navigate the complex media landscape responsibly.</t>
    </r>
  </si>
  <si>
    <t>To be effective, support based on learning analytics (LA) necessitates that students’ attitudes, needs, and expectations are taken into account. Recently, research exploring students’ needs and expectations has attracted the attention of LA researchers and practitioners driven by increasing focus on personalized learning and focus on the delivery of effective LA insights. Yet, most of such research comes from students who have a faint idea of LA, who do not firmly understand the potentials and the possible drawbacks inherent in LA. This current study aimed to fill this gap by surveying well-informed students —who completed an advanced course on LA— about the features they need from LA themselves. We also complemented our analysis with a network approach to understand the association and interplay between different needs. Our findings have shown that most of the students want LA features that help them perform their academic tasks: recommendations, feedback and reminders of deadlines. Students were most skeptical about comparing them with other students and suggesting other students as partners in academic work. The network analysis has confirmed such features and pointed out that resources and recommendations are the most central features that make students interested in LA. In a nutshell, students want LA to help them learn and support their learning journey over all else.</t>
  </si>
  <si>
    <t xml:space="preserve">IGLUE </t>
  </si>
  <si>
    <t>learning analytics; expectations; survey; student</t>
  </si>
  <si>
    <t>https://iglue.dit.upm.es/</t>
  </si>
  <si>
    <t>Saqr M., Vogelsmeier L.V.D.E., López-Pernas S.</t>
  </si>
  <si>
    <t>Capturing where the learning process takes place: A person-specific and person-centered primer</t>
  </si>
  <si>
    <t>113</t>
  </si>
  <si>
    <t>102492</t>
  </si>
  <si>
    <t>10.1016/j.lindif.2024.102492</t>
  </si>
  <si>
    <t>Erasmus+ KA220-HED</t>
  </si>
  <si>
    <r>
      <rPr>
        <rFont val="Arial, sans-serif"/>
        <color rgb="FF000000"/>
        <sz val="10.0"/>
      </rPr>
      <t xml:space="preserve">The </t>
    </r>
    <r>
      <rPr>
        <rFont val="Arial, sans-serif"/>
        <b/>
        <color rgb="FF000000"/>
        <sz val="10.0"/>
      </rPr>
      <t>IGLUE</t>
    </r>
    <r>
      <rPr>
        <rFont val="Arial, sans-serif"/>
        <color rgb="FF000000"/>
        <sz val="10.0"/>
      </rPr>
      <t xml:space="preserve"> (Implementation of game-based learning using escape rooms) project aims to empower universities to create and conduct pedagogically sound educational escape rooms and promote the widespread use and adoption of such innovative learning activities across Europe. First, a methodology for designing pedagogically sound educational escape rooms will be defined. Then, a virtual platform for creating, conducting, and sharing educational escape rooms will be developed and deployed at each participating organization, forming a European network. Teachers will be trained on how to use the methodology and the platform and will execute pilot escape rooms to validate the developed solution. Several dissemination and exploitation activities will also be carried out.</t>
    </r>
  </si>
  <si>
    <t>69 445,00 €</t>
  </si>
  <si>
    <t>2025-2026</t>
  </si>
  <si>
    <t xml:space="preserve">MakerWomenSTEM </t>
  </si>
  <si>
    <t>https://uefconnect.uef.fi/en/maker-stem-education-equal-access-to-progressive-pedagogies-to-boost-stem-development-for-all-women/</t>
  </si>
  <si>
    <t>Research conducted using variable-centered methods uses data from a “group of others” to derive generalizable laws. The average is considered a “norm” where everyone is supposed to be homogeneous and to fit the average yardstick. Deviations from the average are viewed as irregularities rather than natural manifestations of individual differences. However, this homogeneity assumption is theoretically and empirically flawed, leading to inaccurate generalizations about students' behavior based on averages. Alternatively, heterogeneity is a more plausible and realistic characteristic of human functioning and behavior. In this paper, we review the limitations of variable-centered methods and introduce—with empirical examples—person-centered and person-specific methods as alternatives. Person-centered methods are designed with the foundational assumption that humans are heterogeneous, and such heterogeneity can be captured with statistical methods into patterns (or clusters). Person-specific (or idiographic) methods aim to accurately and precisely model the individual person (at the resolution of the single subject sample size). The implications of this paradigm shift are significant, with potential benefits including improved research validity, more effective interventions, and a better understanding of individual differences in learning, and, more importantly, personalization that is tethered to personalized analysis.</t>
  </si>
  <si>
    <t>Learning analytics; Idiographic; Person-specific; Heterogeneity; Person-centered</t>
  </si>
  <si>
    <t>Erasmus+ CBHE</t>
  </si>
  <si>
    <t>Saqr M., Cheng R., López-Pernas S., Beck E.</t>
  </si>
  <si>
    <r>
      <rPr>
        <rFont val="Arial, sans-serif"/>
        <b/>
        <color rgb="FF000000"/>
        <sz val="10.0"/>
      </rPr>
      <t>MakerWomenSTEM</t>
    </r>
    <r>
      <rPr>
        <rFont val="Arial, sans-serif"/>
        <color rgb="FF000000"/>
        <sz val="10.0"/>
      </rPr>
      <t xml:space="preserve"> is aimed at capacity building to: 1) design a reference framework to guide the development of pedagogical strategies based on Maker education with a focus on the development of entrepreneurial skills aimed at achieving the success of women in STEM disciplines (Maker@Women-STEM); 2) develop training actions validated by micro-certifications that allow the training of women as mentors of the Maker@Women-STEM methodology; 3) Implement training actions such as workshops and courses based on the Maker@Women-STEM methodology that contribute to scaling up entrepreneurial skills in STEM disciplines as well as women's digital competences; and 4) strengthen international collaboration by disseminating knowledge, strategies and results of the implementation of Maker@Women-STEM through the creation of international networks of researchers that investigate the topic</t>
    </r>
  </si>
  <si>
    <t>Idiographic artificial intelligence to explain students' self-regulation: Toward precision education</t>
  </si>
  <si>
    <t xml:space="preserve">ISILA </t>
  </si>
  <si>
    <t>102499</t>
  </si>
  <si>
    <t>https://blogs.uef.fi/isila/</t>
  </si>
  <si>
    <t>10.1016/j.lindif.2024.102499</t>
  </si>
  <si>
    <r>
      <rPr>
        <rFont val="Arial, sans-serif"/>
        <color rgb="FF000000"/>
        <sz val="10.0"/>
      </rPr>
      <t xml:space="preserve">The </t>
    </r>
    <r>
      <rPr>
        <rFont val="Arial, sans-serif"/>
        <b/>
        <color rgb="FF000000"/>
        <sz val="10.0"/>
      </rPr>
      <t>ISILA</t>
    </r>
    <r>
      <rPr>
        <rFont val="Arial, sans-serif"/>
        <color rgb="FF000000"/>
        <sz val="10.0"/>
      </rPr>
      <t xml:space="preserve"> (Improving the quality and sustainability of learning using early intervention methods based on learning analytics) project's objective is to give all partners the tools needed to continuously monitor student progress and achievements throughout their learning by monitoring student educational data using learning analytics. These tools will involve both innovative teaching practices focusing on intervention methods during the learning, and the software platform that will allow for tracking student learning data that can provide information on student progress and engagement in learning. Visit the website: https://blogs.uef.fi/isila/</t>
    </r>
  </si>
  <si>
    <t>Existing predictive learning analytics models have exclusively relied on aggregate data which not only have obfuscated individual differences but also made replicability and generalizability difficult. Therefore, this study takes a radical departure and uses a person-specific approach to predicting and explaining students’ self-regulation (SRL). A person-specific approach entails developing a predictive algorithm for each individual using their own data (i.e., idiographic, single-subject or N=1) . We also use explainable and interpretable AI models that allow us to identify the variables that explain students' SRL  and guide data-informed decisions. Our study has shown that idiographic single-subject models are tenable, informative, and can accurately capture the individualized students’ SRL mechanisms. Predictions varied vastly across students regarding accuracy and predictors. Furthermore, the traditional average model did not match any student regarding the predictors’ order. These findings are a testimony that the often hypothesized “average” is rare and often does not match any student, let alone the majority of students as always claimed. This stark difference between students, as well as with the average model speaks to the role of individual peculiarities and indicates that no single model can accurately and reliably capture all students precisely. In other words, traditional models —while they may capture general trends—  they cannot capture individual students' unique personal learning processes, for that, idiographic methods may be the answer.</t>
  </si>
  <si>
    <t>Idiographic; Artificial intelligence; Machine learning; Learning analytics; Self-regulated learning; Person-specific; Personalized learning; Explainable AI; Within-person</t>
  </si>
  <si>
    <t>2023-2024</t>
  </si>
  <si>
    <t>BalticSeaBioMed/2023</t>
  </si>
  <si>
    <t>Development lead</t>
  </si>
  <si>
    <t>https://uefconnect.uef.fi/en/balticseabiomed/</t>
  </si>
  <si>
    <t>Misiejuk K., López-Pernas S., Kaliisa R., Saqr M.</t>
  </si>
  <si>
    <t>Learning together: Modeling the process of student-AI interactions when generating learning resources</t>
  </si>
  <si>
    <t>Proceedings of TEEM 2024: Twelfth International Conference on Technological Ecosystems for Enhancing Multiculturality. TEEM 2024. Lecture Notes in Educational Technology</t>
  </si>
  <si>
    <t>448</t>
  </si>
  <si>
    <t>458</t>
  </si>
  <si>
    <t>10.1007/978-981-96-5658-5_45</t>
  </si>
  <si>
    <t>Nordplus</t>
  </si>
  <si>
    <t>Introducing Large Language Models (LLMs) into the classroom in an effective way implies that students must acquire the necessary AI literacy skills, such as prompt engineering. This proves challenging, given that the knowledge base around effective prompting is still developing. This paper reports on a case study in which students make use of an LLM to generate personalized learning materials in a social network analysis course. We analyze students’ qualitatively coded interactions with the LLM and their evolution throughout the course using Epistemic Network Analysis (ENA). Our findings show that students evolved their prompting strategies throughout the course, providing more contextual information in their initial prompts by the final assignment. Specifically, high achievers were more likely to add contextual information in initial prompts and focused on refining the output rather than engaging in conversational exchanges with the LLM. They were also more likely to use polite language in their interactions. Our results highlight the need for further research and training in effective prompting to take full advantage of the potential of LLMs in education and to improve student-AI collaboration in academic settings.</t>
  </si>
  <si>
    <t>Synthetic Data; Social Network Analysis; Prompt Engineering; Epistemic Network Analysis; Large Language Models</t>
  </si>
  <si>
    <r>
      <rPr>
        <rFont val="Arial, sans-serif"/>
        <b/>
        <color rgb="FF000000"/>
        <sz val="10.0"/>
      </rPr>
      <t>BalticSeaBioMed</t>
    </r>
    <r>
      <rPr>
        <rFont val="Arial, sans-serif"/>
        <color rgb="FF000000"/>
        <sz val="10.0"/>
      </rPr>
      <t xml:space="preserve"> forms today the collaborative network in the field of Biomedicine between Universities of Eastern Finland (UEF), Southern Denmark (SDU), Turku (UTU), Vilnius (UV), Åbo Akademi (ÅAU) and Karolinska Institutet (KI). We form a successful, well-functioning network with an established track record, and demonstrate a capacity for continuous development and renewal. In our new application for 2023-2024, we will address the urgent topic of global health by applying state of the art biomedical methodology into research on environmental impact of pharmaceuticals and certain other factors detailed in the application, thereby training the students in skills/competences required for future employability and successful careers</t>
    </r>
  </si>
  <si>
    <t>2024-2025</t>
  </si>
  <si>
    <t>BalticSeaBioMed/2024</t>
  </si>
  <si>
    <t>López-Pernas S., Conde M.Á., Raspopović Milić M., Saqr M.</t>
  </si>
  <si>
    <t>Frequencies and averages miss the point of SRL evolution: A complex dynamic systems approach</t>
  </si>
  <si>
    <t>480</t>
  </si>
  <si>
    <t>489</t>
  </si>
  <si>
    <t>10.1007/978-981-96-5658-5_48</t>
  </si>
  <si>
    <t>Self-regulated learning (SRL) is a complex phenomenon with many interacting components and phases that evolve over time. As such, it requires an analytical lens that takes into account those characteristics. In this study, we investigate how the dynamics between the different SRL components evolve throughout four blended-learning courses. We use psychological networks —a computational method commonly used to model complex systems— to map the interaction between SRL components at the beginning and at the end of the courses. Our results show significant differences in students’ SRL processes at the two time points. Our findings have implications that can inform interventions that target students’ SRL.</t>
  </si>
  <si>
    <t>2020-2022</t>
  </si>
  <si>
    <t>learning analytics; self-regulated learning; complex dynamic systems; psychological networks</t>
  </si>
  <si>
    <t>OAHOT</t>
  </si>
  <si>
    <t>https://sites.uef.fi/oahot/</t>
  </si>
  <si>
    <t>Best paper award at TEEM 2024</t>
  </si>
  <si>
    <t>Barra E., Pozo A., López-Pernas S., Alonso A., Gordillo A.</t>
  </si>
  <si>
    <t>Integration of an Open Source Identity Management System in Educational Platforms</t>
  </si>
  <si>
    <t>Journal of Web Engineering</t>
  </si>
  <si>
    <t>595</t>
  </si>
  <si>
    <t>610</t>
  </si>
  <si>
    <r>
      <rPr>
        <rFont val="Arial"/>
        <color rgb="FF1155CC"/>
        <sz val="10.0"/>
        <u/>
      </rPr>
      <t>10.13052/jwe1540-9589.2345</t>
    </r>
  </si>
  <si>
    <t>Business Finland</t>
  </si>
  <si>
    <t xml:space="preserve">The aim of the research project is to identify through learning analytics, the key elements of learning processes that support the development of high quality learning and development of know-how. This research project examines the development of learners’ skills, the learning process, learning outcomes and the key elements in the pathway in multiple learning contexts through multiple case-studies, utilizing the same learning analytics tools. </t>
  </si>
  <si>
    <t>1,111,090 €</t>
  </si>
  <si>
    <t>ENVISION_2027</t>
  </si>
  <si>
    <t>https://sites.utu.fi/envision2027/</t>
  </si>
  <si>
    <t>Making research advances available to the community in the shape of open source software has the potential to introduce cutting-edge innovations from early on, foster collaborative development, and revolutionize industrial applications. However, including open source software resulting from a research project as part of a production system poses some risks and must be evaluated in detail, considering all pros and cons. This is especially delicate when that piece of software is in charge of authentication and authorization. This article reports on an experience of integrating open source identity and access management (IAM) software that is the result of multiple research projects, the FIWARE Keyrock IAM, into three educational web-based platforms: two learning object repositories and a course management platform. We intend to draw the lessons learned from this experience so they can guide software practitioners when deciding if they should integrate open source software developed in research projects.</t>
  </si>
  <si>
    <t>Identity and access management; software integration; single sign on; educational platforms</t>
  </si>
  <si>
    <t>Denojean-Mairet M., López-Pernas S., Agbo F., Tedre M.</t>
  </si>
  <si>
    <t>A literature review on the integration of microlearning and social media</t>
  </si>
  <si>
    <t>Smart Learning Environments</t>
  </si>
  <si>
    <t>10.1186/s40561-024-00334-5</t>
  </si>
  <si>
    <r>
      <rPr>
        <rFont val="Arial, sans-serif"/>
        <color rgb="FF000000"/>
        <sz val="10.0"/>
      </rPr>
      <t xml:space="preserve">The </t>
    </r>
    <r>
      <rPr>
        <rFont val="Arial, sans-serif"/>
        <b/>
        <color rgb="FF000000"/>
        <sz val="10.0"/>
      </rPr>
      <t>ENVISION_2027</t>
    </r>
    <r>
      <rPr>
        <rFont val="Arial, sans-serif"/>
        <color rgb="FF000000"/>
        <sz val="10.0"/>
      </rPr>
      <t xml:space="preserve"> project will address both the current need of transitioning from conventional classroom teaching of Bioscience studies into digital remote teaching, as well as improving the current status of online teaching and e-learning course modules across Europe for the future needs.</t>
    </r>
  </si>
  <si>
    <t>Maldita Escape Room</t>
  </si>
  <si>
    <t>https://escaperoom.maldita.es/</t>
  </si>
  <si>
    <t>The study aimed to perform a literature review to identify the trends, impacts, and challenges associated with the integration of microlearning and social media. A total of seven academic databases were used as sources for searching: Scopus, Web of Science, ACM, EBSCOhost, PubMed, ProQuest, and IEEE. A combination of keywords related to microlearning and social media was employed during the search process. No specific date limit was imposed, but only materials published in English were considered for inclusion. A total of 2312 articles were identified in the first phase of the search. Sixteen articles were selected during phase two after applying the inclusion and exclusion criteria. The reviewed studies encompassed various fields, including computing, programming, language, nursing, surgery, and radiology. Additionally, multiple social media platforms were identified, such as podcasts, chatbots, Facebook, Instagram, LinkedIn, MP3, TikTok, Twitter, YouTube, and Sina Weibo. The results indicate that the integration of microlearning and social media has the potential to enhance learning outcomes positively. These outcomes include increased learner satisfaction, expanded reach, improved learner engagement, and enhanced learning effectiveness. Additionally, the review highlights that the most significant benefits of combining microlearning with social media are increased reach and enhanced learner engagement.</t>
  </si>
  <si>
    <t>Microlearning; Nanolearning; Social media; Social network; E-learning; Mobile learning</t>
  </si>
  <si>
    <t>Maldita.es</t>
  </si>
  <si>
    <t>Why Explainable AI May Not Ne Enough and How Predictions and Mispredictions Affect Decision Making in Education</t>
  </si>
  <si>
    <t>52</t>
  </si>
  <si>
    <t>10.1186/s40561-024-00343-4</t>
  </si>
  <si>
    <t>AI explanations are always computed from aggregate data of all the students to offer the “average” picture. Whereas the average may work for most students, it does not reflect or capture the individual differences or the variability among students. Therefore, instance-level predictions —where explanations for each particular student are presented according to their own data— may help understand how and why predictions were estimated and how a student or teacher may act or make decisions. This study aims to examine the utility of individualized instance-level AI, its value in informing decision-making, and —more importantly— how they can be used to offer personalized feedback. Furthermore, the study examines mispredictions, their explanations and how they offer explanations or affect decision making. Using data from a full course with 126 students, five ML algorithms were implemented with explanatory mechanisms, compared and the best performing algorithm (Random Forest) was therefore selected. The results show that AI explanations, while useful, cannot achieve their full potential without a nuanced human involvement (i.e., hybrid human AI collaboration). Instance-level explainability may allow us to understand individual algorithmic decisions but may not very helpful for personalization or individualized support. In case of mispredictions, the explanations show that algorithms decide based on the “wrong predictors” which underscores the fact that a full data-driven approach cannot be fully trusted with generating plausible recommendations completely on its own and may require human assistance.</t>
  </si>
  <si>
    <t>Development of an escape room to educate about hate speech against migrants</t>
  </si>
  <si>
    <t>ILEDA</t>
  </si>
  <si>
    <t>https://sites.uef.fi/learning-analytics/projects/ileda/</t>
  </si>
  <si>
    <t>Yasir Mustafa M., Tlili A., Lampropoulos G., Huang R., Jandrić P., Zhao J.; Salha S., Xu, L., Panda S., Kinshuk, López-Pernas S., Saqr M.</t>
  </si>
  <si>
    <t>A systematic review of literature reviews on Artificial Intelligence in Education (AIED): A roadmap to a future research agenda</t>
  </si>
  <si>
    <t>10.1186/s40561-024-00350-5</t>
  </si>
  <si>
    <t>Despite the increased adoption of Artificial Intelligence in Education (AIED), several concerns are still associated with it. This has motivated researchers to conduct (systematic) reviews aiming at synthesizing the AIED findings in the literature. However, these AIED reviews are diversified in terms of focus, stakeholders, educational level and region, and so on. This has made the understanding of the overall landscape of AIED challenging. To address this research gap, this study proceeds one step forward by systematically meta-synthesizing the AIED literature reviews. Specifically, 143 literature reviews were included and analyzed according to the technology-based learning model. It is worth noting that most of the AIED research has been from China and the U.S. Additionally, when discussing AIED, strong focus was on higher education, where less attention is paid to special education. The results also reveal that AI is used mostly to support teachers and students in education with less focus on other educational stakeholders (e.g. school leaders or administrators). The study provides a possible roadmap for future research agenda on AIED, facilitating the implementation of effective and safe AIED.</t>
  </si>
  <si>
    <t>Artificial intelligence; Generative AI; Education; Smart learning; Literature review; Meta-synthesis; Future research</t>
  </si>
  <si>
    <t>Pope N., Kahila J., Vartiainen H., Saqr M., López-Pernas S., Roos T., Laru J., Tedre M.</t>
  </si>
  <si>
    <t>An XAI Social Media Platform for Teaching K-12 Students AI-Driven Profiling, Clustering, and Engagement-Based Recommending</t>
  </si>
  <si>
    <t>Proceedings of the AAAI Conference on Artificial Intelligence</t>
  </si>
  <si>
    <r>
      <rPr>
        <rFont val="Arial, sans-serif"/>
        <b/>
        <color rgb="FF000000"/>
        <sz val="10.0"/>
      </rPr>
      <t>ILEDA</t>
    </r>
    <r>
      <rPr>
        <rFont val="Arial, sans-serif"/>
        <color rgb="FF000000"/>
        <sz val="10.0"/>
      </rPr>
      <t xml:space="preserve"> is an Erasmus+ funded project with three main goals: (1) to design a framework for developing and integrating existing learning environments with digital tools in order to support online and blended learning with learning analytics, (2) to identify Learning analytics data that can be used to monitor learning performance, with the goal to identify at risk students of dropping out, and (3) to develop a software tool that collects and provides analysis on student learning activities.</t>
    </r>
  </si>
  <si>
    <t>29203</t>
  </si>
  <si>
    <t>29211</t>
  </si>
  <si>
    <r>
      <rPr>
        <color rgb="FF1155CC"/>
        <u/>
      </rPr>
      <t>10.1609/aaai.v39i28.35194</t>
    </r>
  </si>
  <si>
    <t>SmarTerp</t>
  </si>
  <si>
    <t>https://iptc.upm.es/smarterp-and-me-activa</t>
  </si>
  <si>
    <t>In the fast-growing field of K–12 AI education, there is an urgent need for accessible, hands-on tools that introduce AI concepts and workflows to novice learners. In recent years, a variety of AI education tools have been introduced, ranging from coding environments to physical kits and robots. To provide an alternative to existing AI education tools, this paper presents a low-cost robotics kit (&lt;50C) designed to teach modern ML concepts through a no-code approach. The kit is grounded in maker pedagogy and designed for easy customizability to different materials commonly found in classrooms, like cardboard, wood, metal, and plastic builder kits without the need for specialized tools. For programming the robot’s actions, the kit features an all-in-one development studio that is compatible with most phone, laptop, and tablet platforms and can operate with or without an Internet connection, making it applicable to a wide range of educational contexts, including ICT4D.</t>
  </si>
  <si>
    <t>EIT Digital</t>
  </si>
  <si>
    <t>SmarTerp addresses inefficiencies in interpreting by developing AI-powered tools embedded in a Remote Simultaneous Interpreting system that automates the human human task of extracting information in real-time to prevent the mistakes and loss of quality derived from the adoption of remote technologies. The Remote Simultaneous Interpreting system is based on Licode.</t>
  </si>
  <si>
    <t>Paavilainen T., López-Pernas S., Väisänen S., Kontkanen S., Hirsto L.</t>
  </si>
  <si>
    <t>Using Learning Analytics to Support Self-Regulated Learning in Primary Education – A Learning Design Perspective</t>
  </si>
  <si>
    <t>Technology, Knowledge and Learning</t>
  </si>
  <si>
    <t>30</t>
  </si>
  <si>
    <t>1299</t>
  </si>
  <si>
    <t>1319</t>
  </si>
  <si>
    <t>10.1007/s10758-024-09808-4</t>
  </si>
  <si>
    <t>In digitalized learning processes, learning analytics (LA) can help teachers make pedagogically sound decisions and support pupils’ self-regulated learning (SRL). However, research on the role of the pedagogical dimensions of learning design (LD) in influencing the possibilities of LA remains scarce. Primary school presents a unique LA context characterized by blended learning environments and pupils’ various abilities to regulate their learning, underscoring teachers’ vital importance. This study explores how pedagogically diverse LDs influence pupils’ SRL behaviors and learning management system (LMS) usage, as well as how this is reflected in LA visualizations. Two LDs were designed and implemented in two primary school classes of fifth (n = 30) and sixth (n = 22) graders within authentic pedagogical and technological contexts. We used sequence analysis to examine the pupils’ SRL actions during LDs, using LMS log data and observation data to contextualize these actions. The results show that LA offers less accurate feedback in more open, collaborative LDs as pupils tend to rely less on the LMS to regulate their learning. Furthermore, the teacher powerfully influences LMS usage in blended primary school classrooms. To maximize the potential of using LA to support SRL, its design needs to be grounded in the LD through an understanding of how the regulation of learning is promoted in diverse learning processes.</t>
  </si>
  <si>
    <t>Learning analytics; Primary school; Learning design; Self-regulated learning; Pedagogical decision-making; Sequence analysis</t>
  </si>
  <si>
    <t>López-Pernas S., Misiejuk., Saqr M.</t>
  </si>
  <si>
    <t>Using BERT-like Language Models for Automated Discourse Coding: A Primer and Tutorial</t>
  </si>
  <si>
    <t>2020-2023</t>
  </si>
  <si>
    <t>YODA: Your Open DAta</t>
  </si>
  <si>
    <t>https://portal-yoda.dit.upm.es/</t>
  </si>
  <si>
    <t>235</t>
  </si>
  <si>
    <t>259</t>
  </si>
  <si>
    <t>10.1007/978-3-031-95365-1_10</t>
  </si>
  <si>
    <t>https://lamethods.org/book2/chapters/ch10-bert/ch10-bert.html</t>
  </si>
  <si>
    <t>Coding text data in qualitative research is a labor-intensive and error-prone process that requires meticulous attention to detail as well as consistency in the coding criteria. Large Language Models (LLMs) present a promising solution to alleviate some of these challenges by automating part of the coding process. This tutorial explores the application of LLMs for automated text classification using word embeddings through the R package text and different BERT-like large language models. We implement a machine learning pipeline that combines word embeddings with supervised machine learning algorithms to code text data with high accuracy. We present a case study on collaborative problem-solving in which we train a classification model on a small portion of manually coded data and then apply it to classify the remaining data. The tutorial also covers the evaluation of coding accuracy by comparing human and machine-coded data using classic machine learning performance metrics as well as Cohen’s kappa, Matthews’ correlation coefficient, and Gwet AC1, measures commonly used to assess interrater reliability in qualitative research. Lastly, we apply different learning analytics techniques to compare the findings obtained from human-coded data and automatically coded data.</t>
  </si>
  <si>
    <t>automatic coding; large language models; BERT; learning analytics; natural language processing; artificial intelligence</t>
  </si>
  <si>
    <t>European Commission</t>
  </si>
  <si>
    <t>YODA (Your Open DAta) provides a service for European citizens that allows them to create personalised dashboards binding several sources of data (including the European Data Portal) through a single application. In addition, the Action deploys a data processing infrastructure that, on the basis of real time and machine learning processing, will provide additional processed results and predictions to the developed personalised service.</t>
  </si>
  <si>
    <t>López-Pernas S., Oliveira E., Song Y., Saqr M.</t>
  </si>
  <si>
    <t>AI, Explainable AI and Evaluative AI: An Introduction to Informed Data-Driven Decision-Making in Education</t>
  </si>
  <si>
    <t>10.1007/978-3-031-95365-1_2</t>
  </si>
  <si>
    <t>https://lamethods.org/book2/chapters/ch02-AIxAI/ch02-aixai.html</t>
  </si>
  <si>
    <t>A-RPORTWIN</t>
  </si>
  <si>
    <t>https://www.fiware.org/2021/03/17/a-rportwin-fiware-powered-ar-tool-created-for-airport-operations/</t>
  </si>
  <si>
    <t>Artificial Intelligence (AI) has had an immense impact in education through its ability to facilitate personalized learning experiences. However, the increasing adoption of AI systems in education has raised concerns regarding transparency and fairness. Explainable AI (XAI) emerges as a solution to address these issues, offering methods to make AI models interpretable and their decisions understandable to learners, educators, and other stakeholders. This chapter provides an overview of AI applications in education, including adaptive learning systems, profiling, and predictive modeling. Moreover, it provides an introduction to the main XAI concepts and techniques designed to ensure trustworthiness and equity in AI-driven educational environments. Enabling users to scrutinize and refine AI decisions is a necessary step in aligning technological advancements with the ethical and practical needs of education. The chapter aims to provide readers with an understanding of AI in education and XAI’s potential, serving as a foundation for the tutorials presented in the book. The chapter also discusses evaluative AI as a new perspective on XAI for decision-making in which evidence is provided against and in favor of human-made hypotheses, rather than providing explanations for the single most-likely AI outcome.</t>
  </si>
  <si>
    <t>artificial intelligence; explainable AI; education; learning analytics</t>
  </si>
  <si>
    <t>López-Pernas S., Song, Y., Oliveira, E., Saqr M.</t>
  </si>
  <si>
    <t>LLMs for Explainable Artificial Intelligence: Automating Natural Language Explanations of Predictive Analytics Models</t>
  </si>
  <si>
    <t>A/RporTWIN is a new generation management platform focused on Airport Management and Airport’s operations. It acts a single-source of truth for different airport related operators. Some of its features are VR/AR and Mixed technologies compatibility, third party data integration and rich information representation. The data management core is based on FIWARE.</t>
  </si>
  <si>
    <t>286</t>
  </si>
  <si>
    <t>10.1007/978-3-031-95365-1_11</t>
  </si>
  <si>
    <t>https://lamethods.org/book2/chapters/ch11-llmsxai/ch11-llmsxai.html</t>
  </si>
  <si>
    <t>This chapter explores the integration of LLMs into the Explainable AI (XAI) pipeline within the field of Learning Analytics (LA). The focus of the chapter is on how to automate the transformation of XAI outputs into accessible, natural language explanations using LLMs. Namely, we demonstrate how LLMs can contextualize feature importance, partial dependence profiles, and local explanations, making predictive model outputs more interpretable and actionable for non-technical stakeholders. We illustrate this process making use of an open source language model through the LM studio software. However, the model used shares the API definition with some widely used commercial models, such as those implemented by OpenAI, making the portability almost immediate. This work contributes to advancing the intersection of generative AI, XAI, and learning analytics to promote transparency, inclusivity, and fairness.</t>
  </si>
  <si>
    <t>learning analytics; explainable artificial intelligence; LM studio; generative AI; automated feedback; large language models</t>
  </si>
  <si>
    <t>López-Pernas S., Tikka S., Saqr M.</t>
  </si>
  <si>
    <t>Mining Patterns and Clusters with Transition Network Analysis: A Heterogeneity Approach</t>
  </si>
  <si>
    <t>447</t>
  </si>
  <si>
    <t>468</t>
  </si>
  <si>
    <t>10.1007/978-3-031-95365-1_17</t>
  </si>
  <si>
    <t>https://lamethods.org/book2/chapters/ch17-tna-clusters/ch17-tna-clusters.html</t>
  </si>
  <si>
    <t>In this chapter, we demonstrate how we can identify and study clusters within Transition Network Analysis (TNA) to reveal the underlying heterogeneity in learners’ behavioral patterns. Specifically, we rely on mixture Markov Models (MMM) to identify latent subgroups characterized by unique transition probabilities, a method that can also incorporate covariates to explain the identified clusters. We employ the tna R package to understand the distinct transition dynamics between states or events in each cluster through the study of centrality measures, communities and cliques. Lastly, we exemplify how to implement other forms of clustering (e.g., distance based) and grouping, as well as other types of transition networks (e.g., frequency-based transition networks).</t>
  </si>
  <si>
    <t>BOOST 4.0</t>
  </si>
  <si>
    <t>learning analytics; transition network analysis; mixture Markov models; heterogeneity; clustering</t>
  </si>
  <si>
    <t>https://www.fiware.org/project/boost-4-0.html</t>
  </si>
  <si>
    <t>López-Pernas S., Tlili, A., Majumdar, R., Heikkinen, S., Saqr M.</t>
  </si>
  <si>
    <t>Unpacking learning in the age of AI: Bridging AI, Complexity, and Precision Education</t>
  </si>
  <si>
    <t>10.1007/978-3-031-95365-1_1</t>
  </si>
  <si>
    <t>https://lamethods.org/book2/chapters/ch01-intro/ch01-intro.html</t>
  </si>
  <si>
    <t>Boost 4.0 is the biggest European initiative in Big Data for Industry 4.0. With a 20M€ budget and leveraging 100M€ of private investment, Boost 4.0 will lead the construction of the European Industrial Data Space to improve the competitiveness of Industry 4.0 and will guide the European manufacturing industry in the introduction of Big Data in the factory, providing the industrial sector with the necessary tools to obtain the maximum benefit of Big Data.</t>
  </si>
  <si>
    <t>2018-2019</t>
  </si>
  <si>
    <t>eID4U</t>
  </si>
  <si>
    <t>This chapter serves as an introduction to the book Advanced Learning Analytics Methods: AI, Precision, and Complexity. In a previous volume —Learning Analytics Methods and Tutorials: A Practical Guide Using R—, we introduced the foundational methods of learning analytics, required to bring researchers up to speed with the state of the art. Since then, recent advances in artificial intelligence and complexity science have permeated the field of learning analytics and education research as a whole. As a response, this new book aims to provide researchers with the resources needed to address the methodological expansion required to meet the demands of these advancements. In this new book, we introduce cutting-edge methods at the intersection of learning analytics, artificial intelligence and complexity science, with the hope that this initiative will drive significant advancements in the field.</t>
  </si>
  <si>
    <t>https://iptc.upm.es/eid4u</t>
  </si>
  <si>
    <t>learning analytics; idiographic analysis; complex systems; explainable artificial intelligence</t>
  </si>
  <si>
    <t>Oliveira, E., Song, Y., Saqr M., López-Pernas S.</t>
  </si>
  <si>
    <t>An Introduction to Large Language Models in Education</t>
  </si>
  <si>
    <t>205</t>
  </si>
  <si>
    <t>10.1007/978-3-031-95365-1_8</t>
  </si>
  <si>
    <t>https://lamethods.org/book2/chapters/ch08-llms/ch08-llms.html</t>
  </si>
  <si>
    <t>Large language models (LLMs) have become central to contemporary advancements in education. LLMs facilitate applications such as automated feedback, question generation, sentiment analysis, and multilingual accessibility. This chapter examines the mechanisms that underpin LLMs —namely, transformer architecture, pre-training, and generative abilities. Moreover, we present the diverse applications of LLMs in education, some of which will be covered in subsequent tutorial chapters in the present book. Lastly, we explore tools for interacting with LLMs, from beginner-friendly web interfaces to more advanced tools like APIs and frameworks such as the OpenAI API and Hugging Face’s Transformers.</t>
  </si>
  <si>
    <t>large language models; artificial intelligence; learning analytics</t>
  </si>
  <si>
    <t>This project integrates the eIDAS-compliant national eIDs in services offered by the European academic world. We created a virtual student card based on the standard eIDAS attributes for physical persons, extended with those new attributes required for the academic environment. We integrated the solution in several services of the universities taking part in the consortium (UPM, POLITO, ULISBOA, JSI and University of Graz).</t>
  </si>
  <si>
    <t>2017-2019</t>
  </si>
  <si>
    <t>eID-FIWARE</t>
  </si>
  <si>
    <t>https://iptc.upm.es/index.php/cef-connecting-europe-facility-eid-fiware</t>
  </si>
  <si>
    <t>Saqr M., Dever, D., López-Pernas S.</t>
  </si>
  <si>
    <t>Idiographic Networks: A tutorial on Graphical Vector Autoregression and Unified Structural Equation Modeling</t>
  </si>
  <si>
    <t>521</t>
  </si>
  <si>
    <t>545</t>
  </si>
  <si>
    <t>10.1007/978-3-031-95365-1_20</t>
  </si>
  <si>
    <t>https://lamethods.org/book2/chapters/ch20-var/ch20-var.html</t>
  </si>
  <si>
    <t>This tutorial introduces the application of advanced network analysis methods, specifically Graphical Vector Autoregression (graphicalVAR) and Unified Structural Equation Modeling (uSEM), to model learning processes as complex, dynamic systems. These approaches allow exploring both temporal and contemporaneous relationships among variables within individual learners over time. The chapter begins by conceptualizing learning as a networked system and reviewing relevant literature, discussing the advantages of probabilistic network models in education. Then, a step-by-step tutorial in the R programming language is presented so readers can learn to estimate idiographic models, visualize dynamic relationships, and interpret. As such, this tutorial aims to provide researchers with tools to analyze multivariate time-series data, which is a necessary step for truly personalized interventions in educational research</t>
  </si>
  <si>
    <t>learning analytics; network analysis; idiographic analysis; complex systems; graphical vector autoregression; unified structural equation modeling</t>
  </si>
  <si>
    <t>Saqr M., Dever, D., López-Pernas S., Gernigon, C., Marchand, G., Kaplan, A.</t>
  </si>
  <si>
    <t>Complex Dynamic Systems in Education: Beyond the Static, the Linear and the Causal Reductionism</t>
  </si>
  <si>
    <t>289</t>
  </si>
  <si>
    <t>10.1007/978-3-031-95365-1_12</t>
  </si>
  <si>
    <t>This project integrates the eID DSI in the FIWARE platform, which provides a set of APIs (Application Programming Interfaces) for the development of Smart Applications in sectors oriented to the Future Internet. It will develop FIWARE Identity Manager – eIDAS authentication gateway joining both eIDAS and FIWARE Identity Manager. After the integration of eID DSI with FIWARE Identity Management and Access Control General Enabler, it is possible to access FIWARE ecosystem services with eIDAS eIDs of EU citizens.</t>
  </si>
  <si>
    <t>https://lamethods.org/book2/chapters/ch12-cds/ch12-cds.html</t>
  </si>
  <si>
    <t>Traditional methods in educational research often fail to capture the complex and evolving nature of learning processes. This chapter examines the use of complex systems theory in education to address these limitations. The chapter covers the main characteristics of complex systems such as non-linear relationships, emergent properties, and feedback mechanisms to explain how educational phenomena unfold. Some of the main methodological approaches are presented, such as network analysis and recurrence quantification analysis to study relationships and patterns in learning. These have been operationalized by existing education research to study self-regulation, engagement, and academic emotions, among other learning-related constructs. Lastly, the chapter describes data collection methods that are suitable for studying learning processes from a complex systems’ perspective.</t>
  </si>
  <si>
    <t>learning analytics; complex systems; network analysis; recurrence quantification analysis</t>
  </si>
  <si>
    <t>Saqr M., Ito, H., López-Pernas S.</t>
  </si>
  <si>
    <t>Individualized Analytics: Within-Person and Idiographic Analysis</t>
  </si>
  <si>
    <t>471</t>
  </si>
  <si>
    <t>10.1007/978-3-031-95365-1_18</t>
  </si>
  <si>
    <t>https://lamethods.org/book2/chapters/ch18-idio/ch18-idio.html</t>
  </si>
  <si>
    <t>Two research paradigms are commonly used: between-person (often known as nomothetic or group-based) and within-person analysis. The between-person approach captures data across different people and gathers their variations, hence the name of between-person. Within-person research captures data within the same person, gathering these variations across times or occasions and thus the name. These two approaches converge if and only if ergodicity holds. Ergodicity claims that people are similar (so that it does not matter whom to measure) and they do not change over time (so that it does not matter when to measure). However, this is often not the case in education research. Thus, the within-person approach is needed. When within-person analysis is conducted on a single person (N=1), it is known as idiographic analysis. In this chapter, we describe the main characteristics of each approach, as well as common data sources and methods used in within-person and idiographic analysis.</t>
  </si>
  <si>
    <t>learning analytics; idiographic analysis; within-person analysis; nomothetic; N=1</t>
  </si>
  <si>
    <t>2014-2018</t>
  </si>
  <si>
    <t>Explainable Artificial Intelligence: Evaluating Individual And Local Machine Learning Predictions In R</t>
  </si>
  <si>
    <t>FIWARE: FI-CORE + FI-NEXT</t>
  </si>
  <si>
    <t>https://cordis.europa.eu/project/id/732851/results</t>
  </si>
  <si>
    <t>135</t>
  </si>
  <si>
    <t>164</t>
  </si>
  <si>
    <t>10.1007/978-3-031-95365-1_6</t>
  </si>
  <si>
    <t>https://lamethods.org/book2/chapters/ch07-xai-local/ch07-xai-local.html</t>
  </si>
  <si>
    <t>In the context of explainable artificial intelligence, global explanations provide aggregate insights about the performance and factors influencing a machine learning model, as we have seen in the previous chapter. However, local explanations are needed to understand the factors influencing a specific decision that affect an individual. For instance, local explanations could help teachers understand why a certain student was flagged as at-risk of dropping out a course, fostering transparency and trust. This chapter highlights the need for local explanations in educational contexts and explores three key techniques: Break Down plots, SHAP (SHapley Additive exPlanations), and LIME (Local Interpretable Model-agnostic Explanations)—implemented. Practical examples demonstrate how these methods address prediction interpretability, identify critical features, and support targeted interventions</t>
  </si>
  <si>
    <t>learning analytics; explainable artificial intelligence; machine learning; SHAP; LIME; DALEX</t>
  </si>
  <si>
    <t>Individualized Explainable Artificial Intelligence: A Tutorial For Identifying Local and individual Prediction</t>
  </si>
  <si>
    <t>187</t>
  </si>
  <si>
    <t>10.1007/978-3-031-95365-1_7</t>
  </si>
  <si>
    <t>https://lamethods.org/book2/chapters/ch06-xai-global/ch06-xai-global.html</t>
  </si>
  <si>
    <t>Despite the potential of integrating machine learning (ML) and artificial intelligence capabilities into educational settings, there are several challenges that hamper their widespread use and adoption. Among these challenges is that these technologies often function as an “opaque-box” models. This lack of transparency can undermine trust, fairness, and accountability. To address this, explainability methods are essential for understanding how models, e.g., predict at-risk students, grade essays, or identify plagiarism. This chapter demonstrates the use of several techniques to explain ML models in educational contexts through a tutorial covering both regression (predicting student grades) and classification (identifying high versus low achievers). We describe how variable-importance measures, partial dependence plots, and accumulated local effects may help educators interpret the outcomes of predictive models, increasing transparency and trust.</t>
  </si>
  <si>
    <t>learning analytics; explainable artificial intelligence; machine learning; DALEX</t>
  </si>
  <si>
    <t>FIWARE brings a curated framework of open source platform components which can be assembled together and with other third-party platform components to build Smart Solutions faster, easier and cheaper. We have participated in several projects related with FIWARE: FICORE, FINEXT and XIFI.</t>
  </si>
  <si>
    <t>López-Pernas S., Kayaduman H., Vogelsmeier L.V.D.E., Saqr M.</t>
  </si>
  <si>
    <t>The Three Levels of Analysis: Variable-centered, Person-centered and Person-specific Analysis in Education</t>
  </si>
  <si>
    <t>493</t>
  </si>
  <si>
    <t>10.1007/978-3-031-95365-1_19</t>
  </si>
  <si>
    <t>https://lamethods.org/book2/chapters/ch19-three-levels/ch19-three-levels.html</t>
  </si>
  <si>
    <t>This chapter explores three analytical approaches —variable-centered, person-centered, and person-specific— that span a spectrum of generalizability and individualization. The variable-centered approach emphasizes generalizable insights by analyzing relationships across a population, often overlooking individual heterogeneity. The person-centered approach identifies distinct subgroups within populations to reveal shared patterns and characteristics among similar individuals. The person-specific or idiographic approach shifts focus entirely to the individual, offering a detailed examination of intra-individual variability and processes over time. The chapter includes a tutorial using R, demonstrating how these methods can be applied to educational data using Experience Sampling Method (ESM) data on students’ task value and happiness, we illustrate the strengths and limitations of each approach in understanding the relationship between these two variables.</t>
  </si>
  <si>
    <t>learning analytics; nomothetic; person-centered; heterogeneity; idiographic</t>
  </si>
  <si>
    <t>Saqr M., López-Pernas S., Tikka S.</t>
  </si>
  <si>
    <t>Capturing The Breadth and Dynamics of the Temporal Process with Frequency Transition Network Analysis: An Introduction and Tutorial</t>
  </si>
  <si>
    <t>413</t>
  </si>
  <si>
    <t>446</t>
  </si>
  <si>
    <t>10.1007/978-3-031-95365-1_16</t>
  </si>
  <si>
    <t>https://lamethods.org/book2/chapters/ch16-ftna/ch16-ftna.html</t>
  </si>
  <si>
    <t>This chapter presents Frequency-Based Transition Network Analysis (FTNA), a novel method to model the relational dynamics and the transitions between states or events based on the frequency of occurrence of transitions. Compared to TNA based on Markov models, FTNA is well-suited when the research focus is on describing, summarizing, or visually analyzing the observed data without the probabilistic assumptions and constraints. Compared to process mining, FTNA leverages statistical techniques such as pruning, bootstrapping and permutation to validate and compare models. Moreover, FTNA employs networks as a lens to represent and analyze transitions, which provides a rich family of metrics and analyses such as centrality measures, communities and patterns. In this chapter, we offer an introduction to the method and its main features, along with a step-by-step tutorial in R using a case study in group collaboration.</t>
  </si>
  <si>
    <t>learning analytics; transition network analysis; stochastic process mining</t>
  </si>
  <si>
    <t>Mapping Relational Dynamics with Transition Network Analysis: A Primer and Tutorial</t>
  </si>
  <si>
    <t>371</t>
  </si>
  <si>
    <t>411</t>
  </si>
  <si>
    <t>10.1007/978-3-031-95365-1_15</t>
  </si>
  <si>
    <t>https://lamethods.org/book2/chapters/ch15-tna/ch15-tna.html</t>
  </si>
  <si>
    <t>This chapter presents Transition Network Analysis (TNA) that captures the full breadth of the relational dynamics of a temporal process. TNA models transitions between events as a weighted directed network. In doing so, TNA brings the wealth of network analysis to the modeled process which include graph, node and edge level metrics. TNA also enables the detection of recurring patterns such as dyads or triads, and communities and clusters. More importantly, TNA allows researchers to statistically validate the findings using bootstrapping, permutation, and case dropping techniques to verify if and when the research conclusions are correct. Furthermore, TNA allows researchers to include covariates that would explain why certain patterns emerge or examine the differences across subgroups. Such statistical rigor that brings validation and hypothesis testing at each step of the analysis offers a method for researchers to build, verify and advance existing theories and develop new ones on the basis of a robust scientific approach. This chapter offers a step-by-step tutorial using the tna R package, illustrating all the TNA features in a case study about group regulation.</t>
  </si>
  <si>
    <t>learning analytics; transition network analysis; stochastic process mining; Markov models</t>
  </si>
  <si>
    <t>Saqr M., Misiejuk K., Tikka S., López-Pernas S.</t>
  </si>
  <si>
    <t>Artificial Intelligence: Using Machine Learning to Predict Students’ Performance</t>
  </si>
  <si>
    <t>78</t>
  </si>
  <si>
    <t>10.1007/978-3-031-95365-1_3</t>
  </si>
  <si>
    <t>https://lamethods.org/book2/chapters/ch03-prediction/ch03-prediction.html</t>
  </si>
  <si>
    <t>Being able to predict students’ performance has been a primary driver for the adoption of learning analytics and has attracted many scientists to the field. Predictive modeling focuses on using students’ data to forecast outcomes such as student grades, enabling teachers and administrators to offer just-in-time support to students at risk. This chapter uses advanced predictive methods, namely machine learning, where the goal is to predict continuous variables like grades. The chapter uses advanced and popular AI/machine learning algorithms like Random Forest, K-Nearest Neighbor, Linear Regression, Neural Networks, and Support Vector Machines. The chapter provides a practical guide to building and evaluating predictive models with R using two approaches: one is the classic approach for predictive modeling with R, and the other more modern approach using the tidymodels suite.</t>
  </si>
  <si>
    <t>learning analytics; predictive modeling; artificial intelligence; regression</t>
  </si>
  <si>
    <t>Saqr M., Tlili A., López-Pernas S.</t>
  </si>
  <si>
    <t>Automating Individualized Machine Learning and AI Prediction using AutoML: The Case of Idiographic Predictions</t>
  </si>
  <si>
    <t>565</t>
  </si>
  <si>
    <t>593</t>
  </si>
  <si>
    <t>10.1007/978-3-031-95365-1_22</t>
  </si>
  <si>
    <t>https://lamethods.org/book2/chapters/ch22-automl/ch22-automl.html</t>
  </si>
  <si>
    <t>This chapter introduces a tutorial on using Automated Machine Learning (AutoML) to automate and scale predictive modeling in education. In particular, we illustrate the usefulness of AutoML for idiographic analysis, where each individual student has their own particular model fitted from their own individual data. We demonstrate how AutoML simplifies the ML pipeline, enabling the creation of individually optimized models for multiple datasets Moreover, we illustrate how to apply explainable artificial intelligence techniques to automate the interpretation of the main model predictors, offering a view of the variables that matter. The complete pipeline demonstrated in this tutorial holds potential to provide automated real-time insights based on idiographic analysis in a transparent and trustable way.</t>
  </si>
  <si>
    <t>learning analytics; automated machine learning; precision education; idiographic analysis; explainable artificial intelligence</t>
  </si>
  <si>
    <t>Artificial Intelligence: Using Machine Learning to Classify Students and Predict Low Achievers</t>
  </si>
  <si>
    <t>10.1007/978-3-031-95365-1_4</t>
  </si>
  <si>
    <t>https://lamethods.org/book2/chapters/ch04-classification/ch04-classification.html</t>
  </si>
  <si>
    <t>This chapter addresses the classification of at-risk students in educational settings using machine learning approaches in R. Transitioning from regression-based predictions of students’ grades covered by the previous chapter, the focus here shifts to identifying broader categories of academic performance, such as low achievers or potential dropouts. Early identification of such students enables timely interventions, one of the main goals of learning analytics. The process is first illustrated through a Random Forest classifier, using engagement indicators to classify students into high and low achievers. The chapter demonstrates the complete modeling workflow, including data preparation, model training, and evaluation using performance metrics. Additionally, the tidymodels framework is explored as a more modern alternative that enables easy comparison with other AI / machine learning algorithms like Naive Bayes or Support Vector Machine.</t>
  </si>
  <si>
    <t>learning analytics; predictive modeling; classification; machine learning; artificial intelligence</t>
  </si>
  <si>
    <t>Conde M. Á., Garcia Esteban J. Á., Roman-Gallego  J. Á., López-Pernas S.</t>
  </si>
  <si>
    <t>Analysing student engagement through the Definition of Educational Escape Rooms</t>
  </si>
  <si>
    <t>Proceedings of the 27th International Conference on Human-Computer Interaction</t>
  </si>
  <si>
    <t>15808</t>
  </si>
  <si>
    <t>10.1007/978-3-031-93746-0_1</t>
  </si>
  <si>
    <t>Engaging stakeholders is crucial in designing effective educational activities. Research shows that when students are motivated and actively involved in the learning process outcomes improve. Game-Based Learning has emerged as a key approach, using games with specific learning objectives to enhance skills and boost engagement. One notable application of Game-Based Learning is Educational Escape Rooms, which develop soft skills such as communication, creative thinking, and teamwork while fostering knowledge and achieving targeted objectives. This study examines how student engagement can be increased through escape rooms, particularly through the involvement of students in their creation. In an experiment, students designed and participated in escape rooms created by their peers. Engagement was assessed using structured instruments and qualitative feedback. Results showed that escape rooms enhance teaching and learning, significantly boosting engagement. However, while virtual platforms can aid implementation, producing high-quality escape rooms often requires technical expertise that not all educators possess.</t>
  </si>
  <si>
    <t>Educational Escape Rooms; Engagement; Game-Based Learning; Active Learning</t>
  </si>
  <si>
    <t>Saqr M., López-Pernas S., Törmänen T., Kaliisa R., Misiejuk K., Tikka S.</t>
  </si>
  <si>
    <t>Transition Network Analysis: A Novel Framework for Modeling, Visualizing, and Identifying the Temporal Patterns of Learners and Learning Processes</t>
  </si>
  <si>
    <t>Proceedings of the 15th International Learning Analytics and Knowledge Conference (LAK'25)</t>
  </si>
  <si>
    <t>351</t>
  </si>
  <si>
    <t>361</t>
  </si>
  <si>
    <r>
      <rPr>
        <rFont val="Arial"/>
        <color rgb="FF1155CC"/>
        <sz val="10.0"/>
        <u/>
      </rPr>
      <t>10.1145/3706468.3706513</t>
    </r>
  </si>
  <si>
    <t>This paper introduces Frequency-based Transition Network Analysis (FTNA), a novel method to model transitions between learning states. FTNA provides a framework for analyzing the relational dynamics, enabling researchers to uncover dominant events and notable patterns, compare different processes, and gain deeper insights into how events unfold over time. Moreover, FTNA’s capability to use statistical techniques like bootstrapping and permutation tests allows for rigorous validation of the observed interactions to establish the reliability of the identified patterns and transitions. This helps ensure that the findings are not just artifacts of the data but reflect genuine interaction dynamics. This paper presents FTNA’s theoretical grounding, compares it to existing methods with a large-scale simulation study across 10,000 datasets</t>
  </si>
  <si>
    <t>Transition Network Analysis; Process Mining; Social Network Analysis; Learning process; Learning analytics</t>
  </si>
  <si>
    <t>Kaliisa R., López-Pernas S., Misiejuk K., Damşa C., Sobocinski M., Järvelä S., Saqr M.</t>
  </si>
  <si>
    <t>A Topical Review of Research in Computer-Supported Collaborative Learning: Questions and Possibilities</t>
  </si>
  <si>
    <t>Computers &amp; Education</t>
  </si>
  <si>
    <t>228</t>
  </si>
  <si>
    <t>105246</t>
  </si>
  <si>
    <t>10.1016/j.compedu.2025.105246</t>
  </si>
  <si>
    <t>This study maps the evolution and state of Computer-Supported Collaborative Learning (CSCL) research, analyzing 6388 documents published between 1990 and 2022. The findings highlight the sustained engagement of a core group of scholars and the field's geographic concentration in Western countries, particularly the USA and Europe. While the field remains productive and diverse, recent trends reflect a growing emphasis on integrating emerging technologies such as learning analytics, augmented and virtual reality, and artificial intelligence (AI) into collaborative learning contexts. The study uncovers a tension within CSCL between its epistemological and methodological diversity and the need for theoretical coherence. This diversity has allowed the field to adapt and innovate but raises concerns about fragmentation and the risk of losing a unified identity. For example, while scripting remains a foundational topic, debates persist on balancing instructional guidance with learner agency to foster productive collaboration. Looking ahead, the study underscores the need for CSCL to develop integrative theoretical frameworks that bridge its rich historical foundations with the challenges posed by large-scale, distributed, and technology-mediated collaboration. Addressing these challenges, such as aligning AI innovations with existing theories and ensuring cumulative knowledge-building, will be critical for the field's ability to sustain its relevance and influence in understanding collaborative learning in complex educational environments.</t>
  </si>
  <si>
    <t>Computer supported collaborative learningCSCLCollaborative learningCollaborative processesBibliometric analysis</t>
  </si>
  <si>
    <t>Saqr M., Misiejuk K., Törmänen T., Kaliisa R., Tikka S., López-Pernas S.</t>
  </si>
  <si>
    <t>Frequency Transition Network Analysis (FTNA)</t>
  </si>
  <si>
    <t>Proceedings of the International Conference on Computer-Supported Collaborative Learning (CSCL)</t>
  </si>
  <si>
    <t>276</t>
  </si>
  <si>
    <t>280</t>
  </si>
  <si>
    <r>
      <rPr>
        <color rgb="FF1155CC"/>
        <u/>
      </rPr>
      <t>10.22318/cscl2025.901997</t>
    </r>
  </si>
  <si>
    <t>As digital collaborative tools become increasingly adopted in computer-supported collaborative learning (CSCL) environments, novel modeling techniques are needed to provide insights into collaboration spaces' temporal and relational dynamics. This paper introduces Frequency-based Transition Network Analysis (FTNA), a novel method to model transition between learning states. FTNA provides a framework for analyzing the relational dynamics, enabling researchers to uncover dominant events and notable patterns, compare different processes, and gain deeper insights into how events unfold over time. Moreover, FTNA’s capability to use statistical techniques like bootstrapping and permutation tests allows for rigorous validation of the observed interactions to establish the reliability of the identified patterns and transitions. This helps ensure that the findings are not just artifacts of the data but reflect genuine interaction dynamics. This paper presents FTNA’s theoretical grounding, compares it to existing methods, and offers a case study.</t>
  </si>
  <si>
    <t>Transition network analysis; Network analysis; Learning process analytics; Self-regulation</t>
  </si>
  <si>
    <t>Kisić E., Raspopović Milić M., Saqr M., López-Pernas S., Conde M. Á., Pavlović O</t>
  </si>
  <si>
    <t>Large Language Models in Higher Education - Perspectives, Opportunities and Limitations</t>
  </si>
  <si>
    <t>Proceedings of the 15th International Conference on eLearning (eLearning 2024)</t>
  </si>
  <si>
    <t>3938</t>
  </si>
  <si>
    <t>https://ceur-ws.org/Vol-3938/Preface.pdf</t>
  </si>
  <si>
    <t>López-Pernas S., Misiejuk K., Jovanović J., Raspopović Milić M., Conde M.Á., Saqr M.</t>
  </si>
  <si>
    <t>chatgptscrapeR: A Tool for Retrieving Student-AI Interactions</t>
  </si>
  <si>
    <t>Proceedings - IEEE 25th International Conference on Advanced Learning Technologies, ICALT 2025</t>
  </si>
  <si>
    <t>134</t>
  </si>
  <si>
    <t>10.1109/ICALT64023.2025.00044</t>
  </si>
  <si>
    <t>The rapid adoption of ChatGPT and other large language models (LLMs) in education has created new op- portunities for human-AI collaboration research, e.g., studying interactions, automating support or implementing novel ways of assessment. However, existing methods for retrieving ChatGPT conversation data —either through OpenAI’s API or manual transcription— are limited by technical, financial, and scalability constraints. This paper introduces chatGPTscrapeR, an open- source R package and Shiny web application that can automate the extraction and structuring of ChatGPT conversation data from URLs. Designed to minimize barriers to data collection, the tool enables researchers and educators to efficiently retrieve, organize, and subsequently analyze interaction logs, and their metadata. The retrieved data are ready to be analyzed using different methods, assessed in case they are part of an assignment or efficient analysis of such interactions, and creating modern AI-enabled learning systems automated support system. In all such cases, automating the retrieval of human-AI interactions is instrumental for an efficient analysis of such interactions and for creating modern AI-enabled learning systems.</t>
  </si>
  <si>
    <t>ChatGPT; human-AI interaction; learning analytics; artificial intelligence in education; R package</t>
  </si>
  <si>
    <t>López-Pernas S., Belayachi I., Ahmed H., Elmoazen R., Saqr M.</t>
  </si>
  <si>
    <t>Augmenting AI with Curated Learning Analytics Literature: Building and Initial Exploration of a Local RAG for Supporting Teachers (LARAG)</t>
  </si>
  <si>
    <t>https://ceur-ws.org/Vol-3938/Paper_1.pdf</t>
  </si>
  <si>
    <t>Though LLMs have completely taken the world by storm, their use in academic settings still faces significant challenges. One of these challenges is that LLMs sometimes “hallucinate” when they do not have the necessary information to reply to the user prompt and, even when they do, they fail to provide a trusted source to back up their claims. In this article, we explore the use of retrieval-augmented generation (RAG) as a way to overcome the aforementioned limitation and enable evidence-based LLM-generated insights. Specifically, we provide the results of our initial exploration of LARAG, a RAG-based system aimed at providing learning analytics recommendations based on the existing literature. Our initial impressions about the system are that it may offer some benefits over traditional LLMs. However, these initial benefits are far from groundbreaking or very accurate.</t>
  </si>
  <si>
    <t>large language models (LLMs); retrieval-augmented generation (RAG); generative artificial intelligence; learning analytics</t>
  </si>
  <si>
    <t>Gordillo A., Santamaría A., López-Pernas S.,  Gutiérrez S., Milošević M., Ćosić M., Barra E., Elmoazen R.</t>
  </si>
  <si>
    <t>Best Practices for Creating and Conducting Educational Escape Rooms:  A Comprehensive Guide for Teachers</t>
  </si>
  <si>
    <r>
      <rPr>
        <rFont val="Arial"/>
        <color rgb="FF1155CC"/>
        <sz val="10.0"/>
        <u/>
      </rPr>
      <t>10.20868/UPM.book.88943</t>
    </r>
  </si>
  <si>
    <t>The objective of this document, titled “Best Practices for Creating and Conducting Educational Escape Rooms: A Comprehensive Guide for Teachers” (or “IGLUE Best Practices” for short), is to present guidelines and recommendations for helping teachers of any educational level and knowledge area to design, build, execute, and evaluate educational escape rooms considering different formats (physical, virtual, and hybrid) and delivery modes (face-to-face and remote). The guidelines and recommendations defined in this document (also referred to as practices) cover the whole life cycle of educational escape rooms and have been organised according to the phases of this cycle: design, build, execution, and evaluation. We do not intend for these guidelines and recommendations to be taken by teachers as fixed steps that must be followed in a specific order when adopting educational escape rooms; rather, the goal is to allow each teacher to choose which practices to follow and how and in what order to apply them. In this regard, we should mention that even though the practices described in this document can be applied to any level of education and field of knowledge, teachers are responsible for adapting them to their needs and those of their students</t>
  </si>
  <si>
    <t>D5</t>
  </si>
  <si>
    <t>Saqr M., Tikka S., López-Pernas S.</t>
  </si>
  <si>
    <t>tna: Transition Network Analysis (TNA)</t>
  </si>
  <si>
    <t>CRAN</t>
  </si>
  <si>
    <r>
      <rPr>
        <rFont val="Arial"/>
        <color rgb="FF1155CC"/>
        <sz val="10.0"/>
        <u/>
      </rPr>
      <t>10.32614/CRAN.package.tna</t>
    </r>
  </si>
  <si>
    <t>Category</t>
  </si>
  <si>
    <t>&lt;b&gt;IASLE Emerging Scholar Award&lt;/b&gt;</t>
  </si>
  <si>
    <t>Provides tools for performing Transition Network Analysis (TNA) to study relational dynamics, including functions for building and plotting TNA models, calculating centrality measures, and identifying dominant events and patterns. TNA statistical techniques (e.g., bootstrapping and permutation tests) ensure the reliability of observed insights and confirm that identified dynamics are meaningful. See (Saqr et al., 2025) &lt;doi:10.1145/3706468.3706513&gt; for more details on TNA.</t>
  </si>
  <si>
    <t>I2</t>
  </si>
  <si>
    <t>Mapping the Landscape of Generative Artificial Intelligence in Learning Analytics: A Systematic Literature Review</t>
  </si>
  <si>
    <t xml:space="preserve">10.18608/jla.2025.8591 </t>
  </si>
  <si>
    <t>Generative artificial intelligence (GenAI) has opened new possibilities for designing learning analytics (LA) tools, gaining new insights about student learning processes and their environment, and supporting teachers in assessing and monitoring students. This systematic literature review maps the empirical research of 41 papers utilizing GenAI and LA and interprets the results through the lens of the LA/EDM process cycle. Currently, GenAI is mostly implemented to automate discourse coding, scoring, or classification tasks. Few papers used GenAI to generate data or to summarize text. Classroom integrations of GenAI and LA mostly explore facilitating human–GenAI collaboration, rather than implementing automated feedback generation or GenAI-powered learning analytics dashboards. Most papers use Generative Adversarial Network models to generate synthetic data, BERT models for classification or prediction tasks, BERT or GPT models for discourse coding, and GPT models for tool integration. Although most studies evaluate the GenAI output, we found examples of using GenAI without the output validation, especially when its output feeds into an LA pipeline aiming to, for example, develop a dashboard. This review offers a comprehensive overview of the field to aid LA researchers in the design of research studies and a contribution to establishing best practices to integrate GenAI and LA.</t>
  </si>
  <si>
    <t>Generative artificial intelligence; GenAI; learning analytics; educational data mining; systematic review</t>
  </si>
  <si>
    <t>Career</t>
  </si>
  <si>
    <t>López-Pernas S., Misiejuk K., Kaliisa R., Saqr M.</t>
  </si>
  <si>
    <t>Capturing the Process of Students' AI Interactions when Creating and Learning Complex Network Structures</t>
  </si>
  <si>
    <t>&lt;b&gt;UEF Excellent Teaching Practitioner Award&lt;/b&gt;</t>
  </si>
  <si>
    <t>556</t>
  </si>
  <si>
    <t>568</t>
  </si>
  <si>
    <t>10.1109/TLT.2025.3568599</t>
  </si>
  <si>
    <t>Teaching-related</t>
  </si>
  <si>
    <t>Despite the growing use of large language models (LLMs) in educational contexts, there is no evidence on how these can be operationalized by students to generate custom datasets suitable for teaching and learning. Moreover, in the context of network science, little is known about whether LLMs can replicate real-life network properties. This study addresses these gaps by evaluating the use of generative artificial intelligence (AI), specifically LLMs, to create synthetic network datasets for educational use. The analyzed data include students’ AI-generated network datasets, their interactions with the LLMs, and their perceptions and evaluations of the task's value. The results indicate that the LLM-generated networks had properties closer to real-life networks, such as higher transitivity, network density, and smaller mean distances compared to randomly generated networks. Thus, our findings show that students can use LLMs to produce synthetic networks with realistic structures while tailoring to the individual preferences of each student. The analysis of students’ interactions (prompts) with the LLMs revealed a predominant use of direct instructions and output specifications, with less emphasis on providing contextual details or iterative refinement of the LLM's responses, which highlights the need for AI literacy training to optimize students’ use of generative AI. Students’ perceptions of the use of AI were overall positive; they found the use of LLMs time-saving and beneficial, although opinions on output relevance and quality varied, especially for assignments requiring replication of specific networks.</t>
  </si>
  <si>
    <t>Nominated to &lt;b&gt;best paper award&lt;/b&gt; at the &lt;b&gt;AIED 2026&lt;/b&gt; conference (Seoul, South Korea)</t>
  </si>
  <si>
    <t>Generative AI; Large Language Models; Synthetic Data Generation; Social Network Analysis; Learning Analytics; Sequence Analysis; Transition Network Analysis; AI in Education</t>
  </si>
  <si>
    <t>Best paper</t>
  </si>
  <si>
    <t>Valtonen T., Paavilainen T., López-Pernas S., Saqr M., Hirsto L.</t>
  </si>
  <si>
    <t>Elementary and Secondary School Teachers’ Perceptions of Learning Analytics: A Qualitative Approach</t>
  </si>
  <si>
    <t>&lt;b&gt;Best reviewer award&lt;/b&gt; at the &lt;b&gt;ICALT 2026&lt;/b&gt; conference (Hung Yen, Vietnam)</t>
  </si>
  <si>
    <t>601</t>
  </si>
  <si>
    <t>619</t>
  </si>
  <si>
    <t>Reviewing</t>
  </si>
  <si>
    <t>10.1007/s10758-025-09847-5</t>
  </si>
  <si>
    <t>This study focuses on learning analytics from the perspective of elementary and secondary classroom teachers (grades one to nine). The aim is to explore teachers’ perceptions about the use of learning analytics, the challenges and opportunities associated with the tools, and the future of the analytics. The research is based on qualitative data: open-ended responses from 144 teachers. Analysis was conducted using qualitative content analysis and latent class analysis. The results highlight the prominent role of simple drill and practice applications with dashboards and differing teacher perceptions of analytics. Learning analytics helps teachers better understand class learning activities, focus their attention and attain professional development goals. Challenges discussed include the need for new skill development, increased workloads and pedagogical limitations of the current technology. The study shows the necessity for more versatile learning analytic tools with diverse pedagogical practices. It also demonstrates that teachers’ skills must be enhanced to use analytics for pedagogically sound actions.</t>
  </si>
  <si>
    <t>Learning analytics; Teachers; Elementary level; Secondary level; Qualitative research; Classroom; Latent class analysis</t>
  </si>
  <si>
    <t>Vartiainen H., Kahila J., Pope N., López-Pernas S., Valtonen T., Tedre M.</t>
  </si>
  <si>
    <t>Long-Term Impacts of K-12 AI Education Interventions on Social Media Mechanisms</t>
  </si>
  <si>
    <t>10.1109/FIE63693.2025.11328565.</t>
  </si>
  <si>
    <t>&lt;b&gt;Best paper award&lt;/b&gt; at the &lt;b&gt;TEEM 2025&lt;/b&gt; conference (Salamanca, Spain). Track "Learning analytics"</t>
  </si>
  <si>
    <t>This full research paper presents a delayed post-test study on the effects of classroom activities and educational technologies in the context of engineering education, specifically AI education, using social media algorithms as a context. School projects were carried out with 12 regular classes of Finnish 5th and 8th grade students, using two newly developed educational apps designed for classroom use. Data were collected through a pre-test, post-test, and a delayed post-test administered six months after the intervention. This study investigated whether, and to what extent, did the conceptual improvements found immediately after the intervention persist. A logistic mixed model analysis of students' (N=142) responses in delayed post-test indicated an improved understanding of social media mechanisms compared to the pre-test, but a slight overall decrease compared to the post-test. The results suggest that children can gradually develop more sophisticated and scientifically grounded understandings of the opaque, data-driven systems they encounter in everyday life, but this requires systematic scaffolding and cumulative learning trajectories.</t>
  </si>
  <si>
    <t>AI education; XAI; AI; education; school; K-12; machine learning; social media; AI literacy; Data agency</t>
  </si>
  <si>
    <t>&lt;b&gt;Best paper award&lt;/b&gt; at the &lt;b&gt;ICSLE 2025&lt;/b&gt; conference (Joensuu, Finland)</t>
  </si>
  <si>
    <t>Changes in online engagement at the within-person level, profiles, dynamics and association with achievement</t>
  </si>
  <si>
    <t>101031</t>
  </si>
  <si>
    <t>10.1016/j.iheduc.2025.101031</t>
  </si>
  <si>
    <t>&lt;b&gt;Best reviewer award&lt;/b&gt; at the &lt;b&gt;ICALT 2025&lt;/b&gt; conference (Changhua, Taiwan)</t>
  </si>
  <si>
    <t>&lt;b&gt;SoLAR Emerging Scholar Award&lt;/b&gt; (Europe)</t>
  </si>
  <si>
    <t>&lt;b&gt;IEEE TCLT Early Career Researcher Award&lt;/b&gt; in Learning Technologies</t>
  </si>
  <si>
    <t>&lt;b&gt;Best paper award&lt;/b&gt; at the &lt;b&gt;LAK 2024&lt;/b&gt; conference (Kyoto, Japan)</t>
  </si>
  <si>
    <t>&lt;b&gt;Best paper award&lt;/b&gt; at the &lt;b&gt;TEEM 2024 &lt;/b&gt; conference (Alicante, Spain). Track "Unveiling Learning Analytics and Grey-Box Modelling: Bridging Theory and Data-Driven Insights"</t>
  </si>
  <si>
    <t>While the dominant population-based research is immensely useful in revealing the general trends, it falls short of capturing the intraindividual –or within-person – changes on the individual level. Capturing the individualized processes helps create personalized interventions and advance our understanding of the person in which the learning process takes place. This study aimed at modeling the within-person profiles of change in engagement and charting their temporal unfolding and transitions of 307 students, spanning 12 courses —3684 course enroll- ments in total—, across three years of education. We use a combination of mixture models, sequence and transition analysis, as well as multilevel repeated measures ANOVA to capture such changes, their longitudinal unfolding and how they relate to performance. Our results revealed three within-person profiles of change (up, down, and average). These profiles were plotted, their sequential unfolding was studied by sequence analysis and then we clustered the longitudinal trajectories of these profiles resulting in three distinct trajectories: an ascending, a descending, and a stable trajectory. We found that the baseline average profile represented an attractor state that was indicative of resilience, stability, and high achievement and students who did below their own average were at risk if they did not catch up. Therefore, our results suggest that tracking the within-person changes in engagement at the individual level opens the door for individualized tracking and intervention that require no constraints of samples or averaging across aggregate data</t>
  </si>
  <si>
    <t>Within-person; Changes; Complexity; Learning analytics; Longitudinal research; Transition network analysis; Idiographic; Sequence analysis; complex dynnamic systems</t>
  </si>
  <si>
    <t>&lt;b&gt;Best reviewer award&lt;/b&gt; at the &lt;b&gt;ICALT 2024&lt;/b&gt; conference (Nicosia, Cyprus)</t>
  </si>
  <si>
    <t>López-Pernas S., Tikka S., Misiejuk K., Saqr M.</t>
  </si>
  <si>
    <t>tna-web: Advanced Analytics Just a Few Clicks Away</t>
  </si>
  <si>
    <t>Nominated to &lt;b&gt;best poster award&lt;/b&gt; at the &lt;b&gt;EC-TEL 2024&lt;/b&gt; conference (Krems, Austria)</t>
  </si>
  <si>
    <t>Proceedings of TEEM 2025: Thirteenth International Conference on Technological Ecosystems for Enhancing Multiculturality. TEEM 2025. Lecture Notes in Educational Technology</t>
  </si>
  <si>
    <t>Nominated to &lt;b&gt;best paper award&lt;/b&gt; at the &lt;b&gt;ICALT 2024&lt;/b&gt; conference (Nicosia, Cyprus)</t>
  </si>
  <si>
    <t>Transition Network Analysis (TNA) is a promising method for modeling transitions in learners' behavior which can capture patterns and dynamics in processes such as self-regulated learning, collaboration, and problem-solving. This paper introduces tna-shiny, an interactive web application that provides a user-friendly interface for conducting TNA. Based on R Shiny, the app supports the estimation of transition networks, calculation of centrality measures, group comparisons through permutation testing, and model stability assessment via bootstrapping. As such, tna-shiny expands access to TNA methods ---before only accessible through an R package--- by enabling researchers to implement TNA without requiring programming expertise.</t>
  </si>
  <si>
    <t>transition network analysis; Shiny app; learning analytics</t>
  </si>
  <si>
    <t>Best paper award at TEMM 2025</t>
  </si>
  <si>
    <t>&lt;b&gt;Best paper award&lt;/b&gt; at the &lt;b&gt;TEEM 2023 &lt;/b&gt; conference (Bragança, Portugal). Track "Gamification and Games for Learning (GAMILEARN)"</t>
  </si>
  <si>
    <t>Kilanioti I., Saqr M., López-Pernas S.</t>
  </si>
  <si>
    <t>Exploring the Process of Students' Learning in the Laboratory with Transition Network Analysis</t>
  </si>
  <si>
    <t>&lt;b&gt;Best paper award&lt;/b&gt; at the &lt;b&gt;TEEM 2023 &lt;/b&gt; conference (Bragança, Portugal). Track "Data-Driven Education: Overcoming Hurdles for the Future of Learning Analytics"</t>
  </si>
  <si>
    <t xml:space="preserve">Transition Network Analysis (TNA) is a novel learning analytics method that integrates probabilistic graph representation with stochastic process mining, enabling the detection of significant transitions and network structures. This study presents the first application of TNA to Learning Management System (LMS) log data, offering a novel methodological approach to modeling the learning process as a network of action transitions. Using event logs from an undergraduate laboratory course, we modeled student interactions with LMS components as directed networks. We cluster students based on transition probabilities and apply statistical validation techniques such as bootstrapping and case-dropping to uncover and validate distinct behavioral profiles, ranging from repetitive browsing loops to goal-oriented task completion paths. Our findings demonstrate how TNA offers a rigorous and interpretable framework to analyze the temporal structure of student behavior in LMS environments, filling a gap in learning analytics methodologies that often lack inferential power.  </t>
  </si>
  <si>
    <t>learning analytics; transition network analysis; Markov models, LMS</t>
  </si>
  <si>
    <t>Award to the &lt;b&gt;most cited article&lt;/b&gt; from a PhD thesis at Universidad Politécnica de Madrid (Premios UPM 2022)</t>
  </si>
  <si>
    <t>Thesis</t>
  </si>
  <si>
    <t>&lt;b&gt;Research award&lt;/b&gt; to the best doctoral thesis (ex aequo) in the experimental and technological sciences by the &lt;b&gt;Royal Academy of Doctors of Spain (RADE)&lt;/b&gt;</t>
  </si>
  <si>
    <t>&lt;b&gt;Extraordinary PhD thesis&lt;/b&gt; award from Universidad Politécnica de Madrid</t>
  </si>
  <si>
    <t>Kayaduman H., Saqr M., López-Pernas S.</t>
  </si>
  <si>
    <t>Longitudinal Trajectories of Motivation and Self-Regulation in Student-Student Interactions in an Online Course</t>
  </si>
  <si>
    <t>&lt;b&gt;Best proyect award&lt;/b&gt; in the XV open source software contest (CUSL) for the development of Educational Data Virtual Lab</t>
  </si>
  <si>
    <t>Software</t>
  </si>
  <si>
    <t>&lt;b&gt;Best copyleft license project award&lt;/b&gt; in the XIV open source software contest (CUSL) for the development of Escapp</t>
  </si>
  <si>
    <t>This study explores the longitudinal progress of online students' self-regulation in student-student interactions, along with motivation variables. Exploring these variables concurrently and longitudinally can identify the states of students, model their temporal processes, and discover similar patterns or trajectories within the group. We included data from a total of 40 students enrolled in an online course. Students responded daily for 32 consecutive days to a questionnaire measuring intrinsic and extrinsic goal orientation toward the course, and self-regulation in student-student interaction. We analyzed the data using the VaSSTra method. Clustering of students’ responses revealed three distinct daily states from the variables: Partly Motivated Isolated, Motivated Collaborator, and Demotivated Participator. The sequence analysis indicated how students experienced these three states over time. Clustering the state sequences identified three trajectories within the group: Collaborative, Partially Collaborative, and Isolated. Based on the results, implications and recommendations for online learning are discussed.</t>
  </si>
  <si>
    <t>Motivation; Self-regulation; Peer interaction; Time-series data analysis; Complex dynamic systems</t>
  </si>
  <si>
    <t>&lt;b&gt;Best educational innovation group&lt;/b&gt; award at Universidad Politécnica de Madrid</t>
  </si>
  <si>
    <t>Oliveira E., Mohoni M., López-Pernas S., Saqr M.</t>
  </si>
  <si>
    <t>AI collaboration or cheating? Using explainable authorship verification to measure AI assistance in academic writing</t>
  </si>
  <si>
    <t>Educational Technology &amp; Society</t>
  </si>
  <si>
    <t>29</t>
  </si>
  <si>
    <t>100</t>
  </si>
  <si>
    <t>117</t>
  </si>
  <si>
    <t>10.30191/ETS.202604_29(2).RP06</t>
  </si>
  <si>
    <t>As human-AI collaboration becomes increasingly prevalent in educational contexts, understanding and measuring the extent and nature of such interactions pose significant challenges. This research investigates authorship verification (AV) techniques to quantify AI assistance in academic writing, focusing on transparency and interpretability. We structured our investigation into three stages: dataset selection and expansion, AV method development, and systematic evaluation. Using three datasets in Stage 1, including PAN-14 and two from University of Melbourne students, we expanded the data to include LLM-generated texts, totalling 1,889 documents and 540 authorship problems from 506 students. Next, we developed an adapted Feature Vector Difference (FVD) authorship verification method to construct academic writing profiles for students, capturing meaningful stylistic features. Lastly, our AV method was evaluated across multiple scenarios including distinguishing between student-authored and LLM-generated texts, and detecting AI mimicry using standard authorship verification metrics such as AUC, c@1, and F1. Results showed that our approach effectively distinguished between student-authored and AI-generated texts, even under mimicry scenarios, offering educators actionable insights into students’ writing progress.</t>
  </si>
  <si>
    <t>Human-AI collaboration; Authorship verification; Stylometry; Academic writing; AIED</t>
  </si>
  <si>
    <t>Törmänen T., Saqr M., López-Pernas S., Mänty K., Suoraniemi J., Heikkala N., Järvenoja H.</t>
  </si>
  <si>
    <t>Emotional Dynamics and Regulation in Collaborative Learning</t>
  </si>
  <si>
    <t>Learning and Instruction</t>
  </si>
  <si>
    <t>102188</t>
  </si>
  <si>
    <r>
      <rPr>
        <rFont val="Arial"/>
        <color rgb="FF1155CC"/>
        <sz val="10.0"/>
        <u/>
      </rPr>
      <t>10.1016/j.learninstruc.2025.102188</t>
    </r>
  </si>
  <si>
    <t>Background: Research has evidenced that students exhibit diverse and fluctuating emotional responses to various stimulus events during collaborative learning, but the empirical evidence on the connections between stimulus events, students’ emotional reactions, and implemented emotion regulation strategies in a collaborative learning context is still scarce. Aims: This study aims to explore how group members collaboratively construct emotion regulation in social interaction; specifically, it investigates students’ emotional reactions in various stimulus events and the related emotion regulation strategies. Sample: Ninety-five secondary school students performed a collaborative science task in 31 small groups. Methods: The groups' collaboration was videotaped to observe stimulus events, the valence of the students' related emotional reactions, and the emergence of emotion regulation strategies in group members' verbal interactions; students’ electrodermal activity was recorded to capture their emotional activation; temporal networks, Markov models, and sequence analysis were used to explore the dynamics between stimulus events, emotional reactions, and emotion regulation strategies. Results: The results showed that the groups’ emotional dynamics centered around three entities: regulating negative emotions caused by task-related and external stimuli by showing empathy and situation modification, supporting each other to manage emotional responses provoked by social stimuli, and enhancing positive emotions in the group using humor and reciprocal positive reactions. Conclusions: This study contributes to the understanding of emotions and emotion regulation in collaborative learning, with implications for educational practice; by employing multimodal multichannel data along with novel learning analytics methods, the study contributes to the advancement of methods used to investigate emotions in learning.</t>
  </si>
  <si>
    <t>Emotions; Emotion regulation; Socially shared regulation of learning; Collaborative learning; Multimodal data</t>
  </si>
  <si>
    <t>Vogelsmeier L.V.D.E., Oliveira E., Misiejuk K., López-Pernas S., Saqr M.</t>
  </si>
  <si>
    <r>
      <rPr>
        <rFont val="Arial"/>
        <i/>
        <color rgb="FF000000"/>
      </rPr>
      <t>Delving</t>
    </r>
    <r>
      <rPr>
        <rFont val="Arial"/>
        <color rgb="FF000000"/>
      </rPr>
      <t xml:space="preserve"> Into the Psychology of Machines: Exploring the Structure of Self-Regulated Learning via LLM-Generated Survey Responses</t>
    </r>
  </si>
  <si>
    <t>108769</t>
  </si>
  <si>
    <t>10.1016/j.chb.2025.108769</t>
  </si>
  <si>
    <t>Large language models (LLMs) offer the potential to simulate human-like responses and behaviors, creating new opportunities for psychological science. In the context of self-regulated learning (SRL), if LLMs can reliably simulate survey responses at scale and speed, they could be used to test intervention scenarios, refine theoretical models, augment sparse datasets, and represent hard-to-reach populations. However, the validity of LLM-generated survey responses remains uncertain, with limited research focused on SRL and existing studies beyond SRL yielding mixed results. Therefore, in this study, we examined LLM-generated responses to the 44-item Motivated Strategies for Learning Questionnaire (MSLQ; Pintrich \&amp; De Groot, 1990), a widely used instrument assessing students' learning strategies and academic motivation. Particularly, we used the LLMs GPT-4o, Claude 3.7 Sonnet, Gemini 2 Flash, LLaMA 3.1-8B, and Mistral Large. We analyzed item distributions, the psychological network of the theoretical SRL dimensions, and psychometric validity based on the latent factor structure. Our results suggest that Gemini 2 Flash was the most promising LLM, showing considerable sampling variability and producing underlying dimensions and theoretical relationships that align with prior theory and empirical findings. At the same time, we observed discrepancies and limitations, underscoring both the potential and current constraints of using LLMs for simulating psychological survey data and applying it in educational contexts.</t>
  </si>
  <si>
    <t>Artificial Intelligence; Psychometric Validation; Self-Regulated Learning; Survey Simulation; Educational Psychology</t>
  </si>
  <si>
    <t>Misiejuk K., Kaliisa R., López-Pernas S., Saqr M.</t>
  </si>
  <si>
    <t>Expanding the Quantitative Ethnography Toolkit with Transition Network Analysis: Exploring Methodological Synergies and Boundaries</t>
  </si>
  <si>
    <t>ICQE25 Proceedings</t>
  </si>
  <si>
    <t>2677</t>
  </si>
  <si>
    <t>147</t>
  </si>
  <si>
    <t>161</t>
  </si>
  <si>
    <t>10.1007/978-3-032-12229-2_10</t>
  </si>
  <si>
    <t>Integrating new methods into Quantitative Ethnography (QE) presents an ongoing challenge, as well-established techniques, such as Epistemic Network Analysis have primarily shaped the field. This paper introduces Transition Network Analysis (TNA), a quantitative network modeling technique, and explores how it can be implemented using QE’s unified mixed-methods approach. We outline the core features of TNA, present a structured workflow for its implementation using the QE approach, and demonstrate its application through an illustrative example using a sample dataset. We provide a concrete model for incorporating emerging modeling techniques, thereby supporting methodological expansion and inspiring further innovation within the QE research community.</t>
  </si>
  <si>
    <t>Quantitative Ethnography; Mixed Methods; Transition Network Analysis; Frequency Transition Network Analysis; Learning Analytics</t>
  </si>
  <si>
    <t>Kaliisa R., Misiejuk K., López-Pernas S., Saqr M.</t>
  </si>
  <si>
    <t>How does artificial intelligence compare to human feedback?: A meta-analysis of performance, feedback perception, and learning dispositions</t>
  </si>
  <si>
    <t>Educational Psychology</t>
  </si>
  <si>
    <t>10.1080/01443410.2025.2553639</t>
  </si>
  <si>
    <t>This exploratory meta-analysis synthesises current research on the effectiveness of Artificial Intelligence (AI)-generated feedback compared to traditional human-provided feedback. Drawing on 41 studies involving a total of 4813 students, the findings reveal no statistically significant differences in learning performance between students who received AI-generated feedback and those who received human-provided feedback. The pooled effect size was small and statistically insignificant (Hedge’s g = 0.25, CI [−0.11; 0.60]), indicating that AI feedback is potentially as effective as human feedback. A separate meta-analysis focusing exclusively on studies in the domain of language and writing confirmed similar findings, with high heterogeneity persisting (I2 = 95%). The study further explored differences in feedback perception and found a small, negative, and statistically insignificant effect size (Hedge’s g = −0.20, CI [−0.67; 0.27]). The study advocates for a hybrid approach, leveraging the scalability of AI while retaining the deep, empathetic, and contextual features of human feedback.</t>
  </si>
  <si>
    <t>Artificial Intelligence; Human Feedback; Learning Analytics; Meta-analysis</t>
  </si>
  <si>
    <t>Malmi L., López-Pernas S., Apiola M., Nguyen H., Saqr M.</t>
  </si>
  <si>
    <t>Topical Analysis of Programming Education Research Literature</t>
  </si>
  <si>
    <t>ACM Transactions on Computing Education</t>
  </si>
  <si>
    <r>
      <rPr>
        <color rgb="FF1155CC"/>
        <u/>
      </rPr>
      <t>10.1145/3767734</t>
    </r>
  </si>
  <si>
    <t>Programming is taught globally in universities and in a large number of countries, also in schools, often associated with learning computational thinking. It is therefore natural that programming education research is the widest research area within Computing Education Research. Much of this research has taken place and published in conferences and journals associated with the ACM SIGCSE community. However, research related to teaching and learning programming is also published in numerous other venues, which are associated, for example, with the IEEE Computer or IEEE Education societies and other organizations within the fields of engineering education, science education and educational sciences. Previous general reviews in programming education research have largely focused on the introductory programming level. However, there is much work published addressing more advanced topical areas, too. In this paper, the goal is to look at the global situation covering programming education research at different levels. Based on the analysis of over 30,000 papers from the Scopus database addressing computing education and computing education research, we identified 9,865 papers focusing on programming education, published between 1967 and 2023. We describe this filtered dataset and report the results of topic modelling based on titles, abstracts and keywords in this dataset. We identified 27 topical areas, which form seven broader themes of research: CS1 &amp; CS2, computing in schools, advanced topics, pedagogy &amp; objectives, evaluation, digital and physical facilities, as well as investigation. We describe work in each of these areas, how research activity has developed in the areas over the decades, how the topics are related to each other, and how work in different areas is more likely to be published in specific conferences and journals/magazines in the field.</t>
  </si>
  <si>
    <t>computing education; computing education research; literature; research topics; topic modelling, publication venues</t>
  </si>
  <si>
    <t>Ahmed H., Kayaduman H., López-Pernas S., Tukiainen M., Saqr M.</t>
  </si>
  <si>
    <t>User-centric Evaluation of GenAI Alignment and Recommendations based on Predictive Learning Analytics</t>
  </si>
  <si>
    <t>Proceedings of the Second International Workshop on Generative AI for Learning Analytics co-located with the 15th International Conference on Learning Analytics and Knowledge (LAK 2025)</t>
  </si>
  <si>
    <t>3994</t>
  </si>
  <si>
    <t>https://ceur-ws.org/Vol-3994/paper1.pdf</t>
  </si>
  <si>
    <t>Predictive models are one of the hallmarks of learning analytics research, relying on learner data to predict academic achievement and dropouts, enabling targeted interventions. Using a user-centric evaluation framework, we assessed the recommendations generated by ChatGPT based on the results of 136 studies that used student data for predictive modeling. The evaluation considered general attributes (accuracy, coherence, justification) as well as education-specific criteria (alignment with learning theories, ethics, learner-centeredness). The results indicate that, while LLM-generated recommendations are generally accurate, coherent and useful, they often lack alignment with diverse learning theories and fail to address inclusivity and higher-order cognitive skills effectively. Therefore, to operationalize LLMs to provide automated feedback to students, these aspects should be explicitly considered in the prompt design.</t>
  </si>
  <si>
    <t>Generative AI; Predictive Learning Analytics; Large Language Models; User-centric Evaluation</t>
  </si>
  <si>
    <t>López-Pernas S., Misiejuk K., Oliveira E., Saqr M.</t>
  </si>
  <si>
    <t>The dynamics of the self-regulation process in student-AI interactions: The case of problem-solving in programming education</t>
  </si>
  <si>
    <t>Proceedings of the 25th Koli Calling International Conference on Computing Education Research</t>
  </si>
  <si>
    <t>10.1145/3769994.3770043</t>
  </si>
  <si>
    <t>Generative Artificial Intelligence (AI) has demonstrated significant value in code generation and support for programming tasks, leading to its widespread adoption in both industry and academia. This proliferation has introduced new opportunities and risks for learning, teaching, and the broader landscape of computer science education. Despite this rapid integration, there remains limited understanding of how students engage with these tools, particularly in terms of collaboration, dependence, and delegation. More critically, little is known about how students regulate their interactions with AI tools over time, and how such processes contribute to problem-solving. In this case study, we coded 2,376 interactions from 120 undergraduate students with ChatGPT in a web programming course using a theoretically grounded self-regulated learning (SRL) in problem-solving coding scheme. To move beyond static counts and capture the temporal and structural dynamics of these interactions, we employed novel process-oriented learning analytics: Transition Network Analysis and Sequence Analysis. Our findings reveal that while students frequently employed regulatory prompts aimed at process monitoring and problem-solving, they rarely engaged in deeper metacognitive strategies such as reflection or evaluation. This suggests a prevailing focus on surface-level regulation over deeper learning processes in student-AI interactions. Our results serve as a critical warning, highlighting a tendency towards 'cognitive offloading' that could undermine the development of independent, lifelong learners in computer science.</t>
  </si>
  <si>
    <t>generative artificial intelligence; large language models; human-AI interactions; web programming; learning analytics; computer science education; transition network analysis</t>
  </si>
  <si>
    <t>López-Pernas S., Conde M.Á., Saqr M.</t>
  </si>
  <si>
    <t>Three shades of self‐regulation with unique complex dynamics, drivers and targets for intervention</t>
  </si>
  <si>
    <t>10.1111/bjet.70032</t>
  </si>
  <si>
    <t>Self-regulated learning (SRL) is an active process involving multiple interacting components that evolve over time, exhibiting characteristics of complex systems such as non-linearity, emergent behavior, self-organization,, hierarchy. These interactions unfold at different temporal levels, each warranting a dedicated lens to capture their distinct dynamics. In this study, we apply a complex dynamic systems lens to analyze the longitudinal dynamics of SRL. We map how different SRL processes interact with each other across time, scales: (1) the stable between-person level, which represents the dominant approach to learning, or roughly the trait of SRL, (2) the contemporaneous level, which maps how SRL processes influence each other within the same time,, (3) the temporal level, which captures how processes predict or influence each other in the future. Data were collected through a weekly survey administered over four weeks in five courses at two institutions, complemented by LMS behavioral engagement data. A panel vector autoregression model was employed to examine the structure, dynamics of SRL, LMS behavioral engagement at the three levels. The findings suggest that central SRL processes, such as planning, adapting, take place in separate stages, in accordance with the classic SRL models, whereas other processes, like effort regulation, are more pervasive, co-occurring with most other regulatory processes. At the aggregate level, adjusting was the most central process that drove students’ SRL. As such, our results align with the main characteristics of complex systems, including non-linearity, hierarchy. These findings have implications for the design of SRL interventions, where effort can benefit from real-time prompts, whereas metacognitive processes might require long-term scaffolding. Furthermore, the weak association between LMS engagement, SRL processes across all levels highlights the limitations of relying solely on behavioral trace data to infer regulation.</t>
  </si>
  <si>
    <t>Self-regulated learning; Complex systems; Graphical Gaussian models; Panel VAR; Learning analytics; Psychological networks</t>
  </si>
  <si>
    <t>Arriaga C., López-Pernas S., Barra E., Alonso A., Pozo A., Saqr M.</t>
  </si>
  <si>
    <t>Capturing the self-regulation process of students’ AI interactions while using formative assessment .</t>
  </si>
  <si>
    <t>Proceedings of the 2025 International Conference on Smart Learning Environments (ICSLE 2025)</t>
  </si>
  <si>
    <t>Oliveira E., Misiejuk K., López-Pernas S., Saqr M.</t>
  </si>
  <si>
    <t>Writing under pressure: How time-induced stress, cognitive load shape student writing style</t>
  </si>
  <si>
    <t>Best paper award at ICSLE 2025</t>
  </si>
  <si>
    <t>López-Pernas S., Cheung L., Strauss L., Pesonen U., Niskanen E.A., Isaksson J., Nedveckyte I., Fisher R., Elmoazen R.</t>
  </si>
  <si>
    <t>Designing an Educational Escape Room in Biomedical Sciences using Text-to-Image Generative AI</t>
  </si>
  <si>
    <t>https://www.researchgate.net/publication/396974410_Designing_an_Educational_Escape_Room_in_Biomedical_Sciences_using_Text-to-Image_Generative_AI</t>
  </si>
  <si>
    <t>Educational escape rooms (EERs) have become an increasingly popular form of serious game across disciplines, but their development remains resource-intensive. This paper reports on the development of a digital EER using a technological stack that integrates generative AI and open-source tools: Midjourney to generate consistent visual scenes, Ediphy to add interactivity, and Escapp to manage gameplay and analytics. The design process followed the escapED framework and was piloted with 27 master students during a Summer School titled “Human Health and Environment by the Baltic Sea”. Evaluation through the GAMEX scale revealed high levels of engagement and immersion. Moreover, students reported positive perceptions of AI-generated visuals and perceived learning gains. Our findings demonstrate that generative AI can lower technical barriers for educators while producing effective and immersive learning experiences. To the authors’ knowledge, this is the first study to provide an application of text-to-image generative AI models in EER design, as well as the first instance of a digital EER in biomedicine.</t>
  </si>
  <si>
    <t xml:space="preserve">Educational Escape Rooms; Generative Artificial Intelligence; Game-based Learning; Biomedical Sciences Education; Content Generation </t>
  </si>
  <si>
    <t>Elmoazen R., López-Pernas S., Emara M., Belayachi I., Saqr M.</t>
  </si>
  <si>
    <t>Assessing AI-Driven Learning Analytics Recommendations: Comparative Analysis of RAG, vanilla LLaMA</t>
  </si>
  <si>
    <t>López-Pernas S., Girault D., Tikka S., Saqr M.</t>
  </si>
  <si>
    <t>JTNA: A Desktop Software for Transition Network Analysis</t>
  </si>
  <si>
    <t>https://www.researchgate.net/publication/397373099_JTNA_A_Desktop_Software_for_Transition_Network_Analysis</t>
  </si>
  <si>
    <t>In this article, we present JTNA, an open-source desktop software for implementing transition network analysis (TNA), a novel analytical method for the modelling of relational and temporal dynamics in education and behavioral sciences. Advanced statistical methods are often accessible only to technical users, or are confined as part of costly software suites, which hinders their widespread uptake. In turn, we have made JTNA available as part of the open-source platform Jamovi, and therefore embedded within its wide catalog of analytical tools. We showcase the main features of JTNA and present a pilot evaluation in an introductory course to learning analytics using the Technology Acceptance Model (TAM) questionnaire (n = 25). Perceived usefulness was high across items, with 92% agreeing that JTNA is a valuable tool for TNA. Attitudes and intentions were favorable (80% intend to use JTNA; 84% would recommend it). Ease-of-use was positive overall but indicated an onboarding curve (52% agreed that learning to use JTNA was easy). Integration benefits were clear: 92% agreed that having JTNA embedded in Jamovi makes it more convenient and efficient.</t>
  </si>
  <si>
    <t>Transition Network Analysis; Jamovi; JTNA; Learning Analytics</t>
  </si>
  <si>
    <t>Arpacık Ö., Kayaduman H., Kurşun E., López-Pernas S., Saqr M.</t>
  </si>
  <si>
    <t>Student-AI interactions when Seeking Feedback on Programming Assignments</t>
  </si>
  <si>
    <t>Saqr M., Misiejuk K., Oliveira E., Saqr C., Vogelsmeier L.V.D.E., López-Pernas S.</t>
  </si>
  <si>
    <t>Correction, Overcorrection or New Reality: AI Portrays Girls as Better Learners, Self-regulated, on par with Boys in STEM Fields</t>
  </si>
  <si>
    <t>Saqr M., Spitzer M., Tlili A., Saqr C., López-Pernas S.</t>
  </si>
  <si>
    <t>No Gender Differences in Math Performance, Perception, Feeling of Difficulty or the Interplay Between Them in Czech Kids</t>
  </si>
  <si>
    <t>López-Pernas S., Misiejuk K., Griskova-Bulanova I., Emara M., Siddika A.N.M., Saqr M.</t>
  </si>
  <si>
    <t>A Process-oriented View of Human-AI Interactions: Comparing Argumentative vs. Creative Writing</t>
  </si>
  <si>
    <t>Siddika A.N.M., López-Pernas S., Arriaga C., Zhang C., Wang W., Ren R., Gurung R.P., Gebremichael Y., Saqr M.</t>
  </si>
  <si>
    <t>Working with Generative AI: Longitudinal Evolution of Cognitive Effort, Critical Thinking across Time</t>
  </si>
  <si>
    <t>Wang W., Zhang C., López-Pernas S., Saqr M.</t>
  </si>
  <si>
    <t>Exploring the Application, Power of Artificial Intelligence in Smart Learning Environments: A Systematic Review</t>
  </si>
  <si>
    <t>Ugo C.C., López-Pernas S., Gordillo A, Tukiainen M.</t>
  </si>
  <si>
    <t>Escape rooms for learning programming: A systematic literature review</t>
  </si>
  <si>
    <t>Review of Education</t>
  </si>
  <si>
    <t>e70123</t>
  </si>
  <si>
    <t>10.1002/rev3.70123</t>
  </si>
  <si>
    <t>This article presents a systematic literature review on escape rooms as a didactic tool for teaching and learning programming. The review examined the programming topics and languages addressed, the educational levels targeted, evaluation methods used and key design elements such as format, duration, location and narrative structure. Methodological quality was assessed using the MMAT and GRADE frameworks to determine the strength and reliability of the included studies. Findings indicate that while educational escape rooms show strong potential to support programming education through active, experiential learning, the current body of research is relatively small and still developing. The topics covered included basic programming concepts, web development and data analysis. Most escape rooms were implemented in higher education contexts and delivered in various formats (physical, fully virtual or hybrid), often incorporating digital tools and physical elements to enhance immersion. Although motivational and engagement benefits were consistently reported across studies, the majority relied heavily on post-activity perception surveys for evaluation. Only a few studies used more objective assessments such as pre/post-tests or learning analytics. Notably, no study included delayed post-tests or longitudinal follow-ups, and only a small number explored teamwork, collaboration or problem-solving strategies in depth. Consequently, the overall certainty of evidence on measurable learning outcomes remains low to moderate.</t>
  </si>
  <si>
    <t>computer science education; computing education; educational escape rooms; game-based learning; programming</t>
  </si>
  <si>
    <t>Oliveira E, Fu M., Thongtanunam P., López-Pernas S., Saqr M.</t>
  </si>
  <si>
    <t>AI-Assisted Code Review as a Scaffold for Code Quality and  Self-Regulated Learning: An Experience Report</t>
  </si>
  <si>
    <t>International Conference on Software Engineering</t>
  </si>
  <si>
    <t>Liu Y., Nawaz S., Saqr M., López-Pernas S., Alfredo R., Mejia-Domenzain P., Rahayu D., &amp; Martinez-Maldonado R.</t>
  </si>
  <si>
    <t>Behavioural transitions in team teaching: Comparing low and high experience teachers via Transition Network Analysis</t>
  </si>
  <si>
    <t>ASCILITE Publications</t>
  </si>
  <si>
    <t>138</t>
  </si>
  <si>
    <t>149</t>
  </si>
  <si>
    <t>10.65106/apubs.2025.2634</t>
  </si>
  <si>
    <t>As team teaching becomes increasingly common in higher education, understanding how teams of teachers coordinate their behaviours in the classroom is critical for effective instruction and instructional design. While prior research has examined teaching behaviours through classroom observations, much of this work has tended to treat behaviours as isolated categories. This is, focusing on what occurs rather than how behaviours transition over time. Moreover, whether teachers with different levels of teaching experience exhibit distinct behavioural transitions in team teaching remains underexplored. This study addresses this gap by investigating how teaching behavioural transitions differ between high and low experience teachers working as a team in the classroom. Drawing on human-coded observations from 36 team-taught university sessions, and analysed using Transition Network Analysis (TNA), we visualised and compared patterns of behavioural transitions. The results revealed significant differences in behavioural transitions between teachers of varying experience levels. High experience teachers were more likely to transition directly from lecturing into interactions with students, and subsequently into real-time instructional adjustments, demonstrating instructional responsiveness and adaptability. In contrast, low experience teachers demonstrated a stronger reliance on peer coordination. This finding highlights the role of teaching experience in shaping team teaching dynamics and offers implications for teacher pairing and professional development.</t>
  </si>
  <si>
    <t>Team Teaching; Teaching Behaviour; Teaching Experience; Classroom Analytics; Transition Network Analysis; Learning Analytics</t>
  </si>
  <si>
    <t>Pope N., López-Pernas S., Saqr M., Tedre M.</t>
  </si>
  <si>
    <t>How to Train Your Own Language Model in the Browser: Learning by Doing</t>
  </si>
  <si>
    <t>López-Pernas S., Santamaría-Urbieta A., Gordillo A., Barra E., López-Fernández D., Saqr M.</t>
  </si>
  <si>
    <t>From Play to Pedagogy: A Structured Topic Modeling Analysis of Escape Rooms Research</t>
  </si>
  <si>
    <t>IEEE Transactions on Games</t>
  </si>
  <si>
    <t>10.1109/TG.2026.3654896</t>
  </si>
  <si>
    <t xml:space="preserve">Escape rooms have evolved from recreational activities to engaging educational tools, combining storytelling, puzzle-solving, and teamwork. Despite their popularity, research on escape rooms remains highly decentralized with no clear focus or pathway. To shed some light on this growing field, this study analyzes 1,051 published articles on escape rooms using natural language processing, specifically keyword analysis and structured topic modeling. Our study addresses four key research questions related to (1) commonly used phrases, (2) research topics, (3) the evolution of these topics, and (4) their interconnections. We identified 24 distinct topics categorized into design and development, field of application, participants, and technology. The analysis reveals an almost exclusive focus on educational applications (&gt;90%), particularly in healthcare and STEM education, highlighting soft skills and practical knowledge development. Based on our findings, we provide a research agenda where we highlight future research opportunities which include expanding research methods, incorporating generative artificial intelligence and easing the barriers to adoption for teachers. </t>
  </si>
  <si>
    <t>escape rooms; game-based learning; structured topic modeling; review</t>
  </si>
  <si>
    <t>Saqr M., López-Pernas S., Tikka M., Spitzer M.</t>
  </si>
  <si>
    <t>Early Warning Signals Appear Long Before Dropping Out: An Idiographic Approach Grounded in Complex Dynamic Systems Theory</t>
  </si>
  <si>
    <t>Proceedings of the Sixteenth International Conference on Learning Analytics &amp; Knowledge (LAK'26)</t>
  </si>
  <si>
    <r>
      <rPr>
        <color rgb="FF1155CC"/>
        <u/>
      </rPr>
      <t>10.1145/3785022.3785050</t>
    </r>
  </si>
  <si>
    <t>The ability to sustain engagement and recover from setbacks (i.e., resilience) -- is fundamental for learning. When resilience weakens, students are at risk of disengagement and may drop out and miss on opportunities. Therefore, predicting disengagement long before it happens during the window of hope is important. In this article, we test whether early warning signals of resilience loss, grounded in the concept of critical slowing down (CSD) can forecast disengagement before dropping out. CSD has been widely observed across ecological, climate, and neural systems, where it precedes tipping points into catastrophic failure (dropping out in our case). Using 1.67 million practice attempts from 9,401 students who used a digital math learning environment, we computed CSD indicators: autocorrelation, return rate, variance, skewness, kurtosis, and coefficient of variation. We found that 88.2% of students exhibited CSD signals prior to disengagement, with warnings clustering late in activity and before practice ceased (dropping out). Our results provide the first evidence of CSD in education, suggesting that universal resilience dynamics also govern social systems such as human learning. These findings offer a practical indicator for early detection of vulnerability and supporting learners across different applications and contexts long before critical events happen. Most importantly, CSD indicators arise universally, independent of the mechanisms that generate the data, offering new opportunities for portability across contexts, data types, and learning environments.</t>
  </si>
  <si>
    <t>engagement; complex systems; learning analytics; mathematics; early warning signs; prediction; critical slowing down</t>
  </si>
  <si>
    <t>Conde M., Roman-Gallego J.A., Garcia-Esteban J.A., López-Pernas S.</t>
  </si>
  <si>
    <t>Design and Expert Validation of a Virtual Escape Room for Teaching SQL</t>
  </si>
  <si>
    <t>Proceedings of the 28th International Conference on Human-Computer Interaction</t>
  </si>
  <si>
    <t>16733</t>
  </si>
  <si>
    <t>10.1007/978-3-032-30784-2_22</t>
  </si>
  <si>
    <t>This study presents the design and expert validation of a virtual educational escape room developed to support the learning of Structured Query Language (SQL) in higher education. Teaching SQL poses significant challenges due to its abstract nature and the need to integrate conceptual understanding with practical problem-solving skills, particularly in degree programs where students may have heterogeneous technological backgrounds. To address this issue, a game-based learning resource was designed by the teaching team and integrated into a Databases course of the Bachelor’s Degree in Interactive 3D Applications and Video Games. The escape room embeds SQL-related challenges within an immersive narrative and requires students to interact with a real database to progress through the activity. A multimethod evaluation was conducted involving academic experts and advanced students with experience in game design. Quantitative data were collected using the GAMEX scale and a set of ad-hoc items assessing pedagogical alignment and design quality, while qualitative data were gathered through open-ended questions. Descriptive results indicate high levels of enjoyment, engagement, and perceived pedagogical suitability, along with low levels of negative affect. Qualitative findings highlight the value of using a real database and a coherent narrative to enhance SQL learning, while also identifying minor usability and presentation issues. Overall, the results support the suitability of virtual educational escape rooms as effective and motivating resources for teaching SQL in technology-oriented higher education programs.</t>
  </si>
  <si>
    <t>Educational Escape Rooms; Virtual Escape Rooms; Validation; SQL Teaching</t>
  </si>
  <si>
    <t>Venäläinen K., Sointu E., Väisänen S., López-Pernas S., Tuominen V., Valtonen T, Saqr M., Virtanen J., Hirsto L.</t>
  </si>
  <si>
    <t>eleed</t>
  </si>
  <si>
    <t>10.57813/ELEED.V1ISE2026.260</t>
  </si>
  <si>
    <t>Despite the growing awareness of students’ needs for support in higher education, research in this area is still lacking. Here, we investigated the self-regulated learning of students in Finnish higher education – those with and without a history of pedagogical support from their previous school levels – in flipped courses using both dispositional learning analytics and learning analytics data. Specifically, self-regulated learning was investigated before and after course participation across the entire sample (N=217), and possible differences were compared within a limited subset of participants (N=108). We found that self-regulation of process and results, lack of regulation and shared regulation increased, while task avoidance decreased, for all students between two measurement points. When comparing the groups using dispositional learning analytics, students with a history of pedagogical support (N=38) had more positive experiences with the learning management system than the group without a history of pedagogical support (N=179). Interestingly, more differences between groups with and without a history of pedagogical support were found using learning analytics data.</t>
  </si>
  <si>
    <t>e-learning; higher education; self-regulated learning; learning analytics; dispositional learning analytics; flipped learning; flipped classroom</t>
  </si>
  <si>
    <t>Digitally Enhanced Reflection to Support Primary School Pupils' Self-Regulated Learning</t>
  </si>
  <si>
    <t>10.57813/eleed.v1ise2026.263</t>
  </si>
  <si>
    <t>Self-regulated learning (SRL) is a critical skill that should be fostered from the early stages of education. The ability to metacognitively reflect plays a central role in supporting SRL, yet its practical implementation in primary education remains underexplored. This case study explores how structured reflection can support SRL in primary education during a phenomenon-based study module. Reflection was prompted in different phases of the SRL process using a learning management system that provided question prompts and learning analytics visualisations. Pupils’ written answers to reflection prompts were first analysed using a qualitative content analysis. Three specific reflection profiles were identified using a latent class analysis: Reluctant, Nascent and Active reflectors. Differences between the profiles were found in the goal setting and monitoring phases. The associations between the profiles and study grades were analysed using a Chi-square test. Pupils with the lowest grades were more likely to belong to the Reluctant reflectors profile. These findings suggest that as primary pupils’ skills to reflect their SRL are heterogeneous and this may also contribute to learning outcomes in primary education, the design of the reflection support is critical.</t>
  </si>
  <si>
    <t>e-learning; self-regulated learning; reflection; primary school pupils; learning analytics</t>
  </si>
  <si>
    <t>Saqr M., López-Pernas S., Törmänen T.</t>
  </si>
  <si>
    <t>A temporal network approach to reveal the longitudinal dynamics of CSCL group regulation and productive collaboration</t>
  </si>
  <si>
    <t xml:space="preserve">International Journal of Computer-Supported Collaborative Learning </t>
  </si>
  <si>
    <t>237</t>
  </si>
  <si>
    <t>10.1007/s11412-025-09464-5</t>
  </si>
  <si>
    <t>Research on online problem-based learning—and computer-supported collaborative learning at large—has mostly focused on either the order of group members’ interactions (using time-oriented methods) or the co-occurrence of interactions (using network methods) within the same collaborative episode, while work on longitudinal dynamics has so far been lagging. In this study, we implement a novel method that combines the advantages of both approaches: the relational and temporal dimensions, which is temporal network analysis. Additionally, to capture changes at different temporal scales, we use sequence analysis and multilevel growth models to study how interactions and patterns unfold across time. Our results showed that students who used interactive socioemotional or regulated constructive patterns were more productive in terms of cognitive and knowledge productivity. Explicit group regulation was infrequent and emerged in response to challenges, questions, or disagreements, often with teacher support. Most groups settled into stable regulatory patterns early on, with limited change over time, and transitions—when they occurred—were usually between similar patterns. Our results also suggest that regulation does not naturally improve with time alone, underscoring the importance of early, targeted instructional support to foster more productive regulatory approaches.</t>
  </si>
  <si>
    <t>Learning analytics; Temporal networks; Problem-based learning; Social network analysis; Transition network analysis; Sequence analysis</t>
  </si>
  <si>
    <t>Wu J., Tlili A., Salha S., Mizza D., Saqr M., López-Pernas S., Huang R.</t>
  </si>
  <si>
    <t>Unlocking the potential of artificial intelligence in improving learning achievement in blended learning: a meta-analysis</t>
  </si>
  <si>
    <t>Frontiers in Psychology</t>
  </si>
  <si>
    <t>10.3389/fpsyg.2025.1691414</t>
  </si>
  <si>
    <t>Introduction: While several studies investigated the effect of blended learning on students’ learning achievement, scant information exists on whether using artificial intelligence (AI) in blended learning could further contribute to the obtained effect. Methods: To effectively address the challenges and opportunities presented by blended learning and AI, the present study conducts a meta-analysis to systematically examine the impact of AI-enhanced blended learning on students’ learning achievement, considering the significant role of multiple variables in shaping this achievement, including the type of AI technology, instruction duration, research design, and sample size as well as across different educational levels and subject areas. Specifically, 21 studies (N = 2,873 participants) were meta-analyzed. Results: The obtained results revealed that AI has a medium effect (g = 0.5) on students’ learning achievement in blended learning. Particularly, personalized systems in blended learning had the highest effect (i.e., large) compared to chatbots and intelligent tutoring systems. Finally, it is seen that the educational context (grade level and educational subject), as well as the experiment type (research design, intervention duration, and sample size), moderate the effect of AI on students’ learning achievement in blended learning. Discussion: The findings of this study can help researchers and practitioners better understand the effects of AI in blended learning, thereby contributing to a better design of teaching and learning experiences accordingly.</t>
  </si>
  <si>
    <t>blended learning; hybrid learning; artificial intelligence; smart learning; learning achievement; learning performance; meta-analysis; quantitative evidence</t>
  </si>
  <si>
    <t>Saqr M., Misiejuk K., López-Pernas S.</t>
  </si>
  <si>
    <t xml:space="preserve">Human-AI collaboration or obedient and often clueless AI in instruct, serve, repeat dynamics? </t>
  </si>
  <si>
    <t>70</t>
  </si>
  <si>
    <r>
      <rPr>
        <color rgb="FF1155CC"/>
        <u/>
      </rPr>
      <t>10.1016/j.iheduc.2026.101087</t>
    </r>
  </si>
  <si>
    <t>While research on human-AI collaboration exists, it mainly examined language learning and used traditional counting methods with little attention to evolution and dynamics of collaboration on cognitively demanding tasks. This study examines human-AI interactions while solving a complex problem. Student-AI interactions were qualitatively coded and analyzed with transition network analysis, sequence analysis and partial correlation networks as well as comparison of frequencies using chi-square and Person-residual shaded Mosaic plots to map interaction patterns, their evolution, and their relationship to problem complexity and student performance. Findings reveal a dominant Instructive pattern with interactions characterized by iterative ordering rather than collaborative negotiation. Oftentimes, students engaged in long threads that showed misalignment between their prompts and AI output that exemplified a lack of synergy that challenges the prevailing assumptions about LLMs as collaborative partners. We also found no significant correlations between assignment complexity, prompt length, and student grades suggesting a lack of cognitive depth, or effect of problem difficulty. Our study indicates that the tested LLM, optimized for instruction-following rather than cognitive partnership, compounds their capability to act as cognitively stimulating or aligned collaborators. Implications for designing AI systems that prioritize cognitive alignment and collaboration are discussed.</t>
  </si>
  <si>
    <t>Human-AI collaboration; Large Language Models (LLMs); Generative AI; Transition Network Analysis; Human AI interaction</t>
  </si>
  <si>
    <t>A Systematic Review of Idiographic Research in Education: Trends, Gaps and Future Directions</t>
  </si>
  <si>
    <t>10.57813/eleed.v1ise2026.266</t>
  </si>
  <si>
    <t>The past decade’s data surge has spurred interest in precision education, aiming to tailor educational interventions to individual learners based on robust evidence. Precision education is powered by the increasing availability of educational data and advancements in computational analytics, promising personalised learning experiences that can enhance learning outcomes and promote equity. However, traditional methods, which rely on group-level nomothetic approaches, have faced significant challenges in generalisability, as they often fail to capture individual learning processes and diverse contexts in which learning occurs. We argue that these limitations necessitate a shift towards idiographic approaches that focus on person-specific insights through longitudinal data collection from a single individual learner. The idiographic methodology also holds the potential to promote inclusion as it enables deep, fine-grained and learner-centric personalisation. This paper systematically reviews the existing application of idiographic approaches in educational research to address the gap in understanding how these methods have been used and their potential for future research. This review included 34 peer-reviewed articles that employed idiographic methods, revealing that idiographic approaches have been traditionally used to incorporate contextual factors and psychological dispositions unique to each learner. While idiographic research remains relatively scarce in education, the findings illustrate a growing trend that idiographic research is enriched by the increasingly available data and advanced computational techniques. Additionally, the findings highlight the need for future research to consider longitudinal within-person temporal processes, extend idiographic methodologies to K-12 education, and develop person-centred theories within educational psychology. These methods could also address inclusion by focusing on underrepresented populations such as learners with disabilities. In conclusion, idiographic approaches offer a promising complement to nomothetic approaches, providing personalisation that can enhance precision education and inclusion. Future research should explore the potential of idiographic methods to advance inclusive, personalised learning environments in the digital age.</t>
  </si>
  <si>
    <t>e-learning; data; idiographic; person-specific; within-person; learning analytics; scoping review; systematic literature review</t>
  </si>
  <si>
    <t>Implementing Learning Design with Learning Analytics to Scaffold the Regulation of Collaboration in Primary Education</t>
  </si>
  <si>
    <t>10.1186/s40561-026-00453-1</t>
  </si>
  <si>
    <t>The regulation of learning, including self-regulated learning (SRL) and socially shared regulation of learning (SSRL), is a key skill that should already be practiced in primary education. The shift toward student-centered, collaborative, and open-ended processes, such as phenomenon-based learning, increases the need for pupils to take charge of their own learning. However, due to the varying abilities of primary school pupils to regulate their learning, such processes can be challenging and require substantial scaffolding. To address this issue, this study explores how a learning design that indirectly scaffolds the regulation of collaboration can support regulation during the challenging phases of a collaborative blended learning process in primary school. Additionally, the potential of learning analytics (LA) to further support pupils’ processes is discussed. A specific study module on sustainable development was designed and implemented in a learning management system (LMS). Classroom observations and LMS log data were collected during the implementation with fifth- and sixth-grade pupils. The observation data show that the most challenging phases of the group work occurred at the beginning of the group process and again during the finalization of the group project. The log data further indicate that pupils used the LMS as a regulation support at the beginning of the process. Overall, the results highlight the need for more functional tools that help groups to metacognitively monitor and summarize their learning. In addition, LA could provide meaningful visualizations for teachers to further develop learning designs during learning processes.</t>
  </si>
  <si>
    <t>Self-regulated learning; Learning design; Collaborative learning; Learning analytics; Primary education; Scaffolding</t>
  </si>
  <si>
    <t>Vemuri, P., López-Pernas S., Poelmans S., Snoeck M., Saqr M.</t>
  </si>
  <si>
    <t>The worrisome dynamics of persistent disengagement: A longitudinal study of university freshmen</t>
  </si>
  <si>
    <t>Journal of Computer Assisted Learning</t>
  </si>
  <si>
    <t>e70250</t>
  </si>
  <si>
    <t>10.1002/jcal.70250</t>
  </si>
  <si>
    <t>Background: Engagement is an essential ingredient in achieving learning success. It can be understood as a dynamic process that unfolds over time, and is shaped by several factors related to the learner and the learning context. Understanding how learners fluctuate between engagement and disengagement is vital for many stakeholders. Especially in the case of first-year bachelor’s students who are prone to high attrition and low success rates, it is important to consider engagement or lack thereof longitudinally.
Objectives: This study aims to analyze the longitudinal engagement trajectories of first-year business students to inform interventions that can foster sustained engagement.
Methods: Using the VaSSTra methodology, we explore the longitudinal engagement of students in the first year of a Business bachelor’s program. A large dataset of 13 semester-length courses of 651 students and 8,463 student enrollments is examined.
Results and Conclusions: Three engagement states (active, average and disengaged) and three distinct longitudinal engagement trajectories (mostly engaged, mostly average and mostly disengaged) are identified. Stability and heterogeneity were explored using within-student and between-student entropy. The Mostly Engaged trajectory was stable with infrequent changes in engagement across courses and scored the highest. The Mostly Average trajectory was the most frequent with less stability and more transitions between states. The Mostly Disengaged trajectory became more disengaged in courses of the second semester. The results of our study show that interventions and support should be fortified in the first semester itself to support students.</t>
  </si>
  <si>
    <t>Engagement trajectories; Learning analytics; Longitudinal engagement; Sequence mining</t>
  </si>
  <si>
    <t>Cognitive offloading in student–AI collaboration: A longitudinal analysis of prompting strategies☆</t>
  </si>
  <si>
    <t>Computers in Human Behavior Reports</t>
  </si>
  <si>
    <t>10.1016/j.chbr.2026.101130</t>
  </si>
  <si>
    <t>Prompting an AI is not a neutral act: it reflects how students think, plan, and offload cognitive effort. As large language models (LLMs) become increasingly integrated into higher education, understanding how students engage with these tools is essential. This study examines cognitive offloading through students’ interactions with LLMs when generating social network datasets. A total of 281 prompts from 122 submissions in four assignments were analyzed using qualitatively coded prompts and Co-Occurrence Network Analysis. High-quality submissions demonstrated cohesive prompting patterns, integrating contextual details, instructions, and polite language, leading to fewer disagreements and more effective task guidance. Low-quality submissions were characterized by disagreement and direct instructions, with limited contextualization and little constructive engagement. The findings show how cognitive effort is distributed in the student–AI collaboration and how prompting strategies develop in multiple assignments.</t>
  </si>
  <si>
    <t>Human–AI collaborationCo-occurrence network analysisSynthetic dataCognitive offloading</t>
  </si>
  <si>
    <t>Stable Means, Shifting Patterns: Examining SRL Through a Complex Dynamic Systems Lens</t>
  </si>
  <si>
    <t>10.1016/j.chbr.2026.101038</t>
  </si>
  <si>
    <t>Self-regulated learning (SRL) involves a set of interdependent cognitive, motivational, emotional, and behavioral components that shift in time. The interplay of such components can be modeled as a complex dynamic system in which changes in one process can cascade through the rest, and create patterns that are difficult to capture with static or linear approaches. The present study examines these evolving patterns across four blended-learning courses in computer science across two European higher education institutions, involving 241 participants. We collected data weekly at the beginning of the first weekly lecture of each course using the Concise SRL survey, which was developed for ecological momentary assessment of SRL. We provide a multi-layered examination of SRL dynamics in which we combine cross-sectional, relational, and temporal perspectives. We apply two types of psychological network analysis —Regularized Gaussian Graphical Modeling and Dynamic Exploratory Graph Analysis— a computational approach designed to represent and explore complex systems through networks of mutually interacting variables. These methods allow us to visualize and quantify the relationships among SRL components and how they evolve over time. Our findings show shifts in the structure of students’ SRL processes, indicating that the system’s configuration changes as learners adapt to the course environment. Across the four courses, mean levels of SRL components remained largely stable where only motivation (ř=0.19) and task value (ř=0.15) reached statistical significance. Yet the psychological network analysis revealed meaningful reorganizations: early in the course, effort and motivation are tightly coupled (r = 0.43) and evaluation is the component that is most amenable to intervention (R2=0.52, EI = 0.82). Over time, the role of planning becomes slightly more central (ΔEI =1.27); motivation aligns more with efficacy (r = 0.43); and evaluation (R2=0.48, EI = 1.15) continues to integrate and guide SRL. The dynamic EGA results point to a tight temporal association between evaluation and effort (Δ=.46), which aligns with control–value theory.</t>
  </si>
  <si>
    <t>Learning analyticsSelf-regulated learningComplex dynamic systemsPsychological networksDynamic Exploratory Graph Analysis</t>
  </si>
  <si>
    <t>Elmoazen R., López-Pernas S., Saqr M.</t>
  </si>
  <si>
    <t>Mapping makerspaces in education: a meta-systematic review</t>
  </si>
  <si>
    <t>International Journal of Technology and Design Education</t>
  </si>
  <si>
    <t>10.1007/s10798-026-10093-8</t>
  </si>
  <si>
    <t>Over the past decade, makerspaces have gained prominence in education, prompting a surge in empirical studies and the development of diverse pedagogical frameworks to support hands-on, student-centered learning. In response to this growing body of work, numerous systematic reviews have emerged—each approaching makerspace education from different disciplinary, methodological, and thematic perspectives. This diversity calls for a meta-review to consolidate insights, identify common trends, and highlight gaps across the existing literature. This meta-review synthesizes findings from 17 reviews about makerspace education published between 2019 and 2024 to map research trends, theoretical foundations, pedagogical approaches, and implementation challenges. The study organizes findings into four categories: developing makerspace environments, learning purposes, social and economic impact, and challenges in makerspace education. Most studies are grounded in constructivism and constructionism and highlight benefits such as enhanced creativity, 21st-century skills, academic performance, and motivation. Moreover, the maker movement advances social responsiveness and digital literacy. However, challenges such as curriculum integration, educator training, and equitable access necessitate targeted strategies to address them.</t>
  </si>
  <si>
    <t>Makerspace; Maker Education; STEM education; Constructionism; Meta-Review</t>
  </si>
  <si>
    <t>Teuber Z., López-Pernas S., Jordan G., Weber A. M., Greiff S., Kim S. Y., &amp; Dicke T.</t>
  </si>
  <si>
    <t>Mapping Emotional Components in Daily Parent–Child Interactions: A Multilevel Psychological Network Approach</t>
  </si>
  <si>
    <t>Emotion</t>
  </si>
  <si>
    <r>
      <rPr>
        <color rgb="FF1155CC"/>
        <u/>
      </rPr>
      <t>10.1037/emo0001678</t>
    </r>
  </si>
  <si>
    <t>Daily parent–child interactions are emotionally rich and offer valuable insights into emotional processing and parenting functioning. To examine how key emotional components interact within and across individuals in everyday contexts, we combined an experience sampling method with a multilevel psychological network approach, grounded in several prominent emotion and parenting theories. The emotional components we examined were (a) parents’ own emotions, (b) their perceptions of their children’s emotions, and (c) their use of self- and child-focused reappraisal and rumination strategies. Data were collected from 121 U.S. parents (Mage = 43.18 years, SD = 8.54) over 28 days, preceded by a presurvey. Three psychological networks emerged, each offering distinct yet complementary insights. The within-person temporal network uncovered reciprocal spillover effects between self- and child-focused emotion regulation, with parents’ own emotions driving fluctuations in both. The contemporaneous network revealed that parents regulated emotions using congruent self- and child-focused strategies within a single interaction. The between-person network revealed that emotional patterns differed between mothers and fathers and were related to dispositional emotional reactivity. For this work, we adopted an integrative approach to unpacking parental emotional processing by incorporating both self-focused and child-focused emotion systems. Our findings underscore the importance of helping parents navigate parallel emotional processes to support both their own well-being and their children’s emotional development. However, because all measures relied on parents’ self-reports, including reports of children’s emotions, the findings may not fully capture children’s emotional experiences. Future studies incorporating children’s perspectives would provide a more comprehensive understanding of these processes. (PsycInfo Database Record (c) 2026 APA, all rights reserved)</t>
  </si>
  <si>
    <t>Khairat A., López-Pernas S., Zaalouk M., Saqr M.</t>
  </si>
  <si>
    <t>Teachers' Perceptions of Empowerment Through Servant Leadership Using Latent Profile Analysis: A Person-Centered Approach to Community-Based Education</t>
  </si>
  <si>
    <t xml:space="preserve">Technology, Knowledge and Learning </t>
  </si>
  <si>
    <t>10.1007/s10758-026-09985-4</t>
  </si>
  <si>
    <t>Community Education models follow Freire’s critical pedagogy of empowering marginalized communities through a transformative pedagogy, yet leadership practices enabling facilitator empowerment remain underexplored. This study investigates the extent to which community school facilitators perceive their leadership as aligned with servant leadership, with empowerment as the most extensively measured construct in the instrument alongside other servant leadership dimensions (humility, stewardship, accountability, authenticity, forgiveness, courage, and standing back). Using the Servant Leadership Survey (SLS) administered to 271 female facilitators across six governorates, we employed latent profile analysis (LPA) to identify distinct patterns of leadership perceptions. Descriptive statistics revealed that facilitators perceive high levels of empowerment (M = 4.19) and stewardship (M = 4.21), while courage showed the lowest mean (M = 2.55). The Partial Correlation Network analysis shows Humility and Empowerment as the most central and positively connected traits, with tentative links through Authenticity and Stewardship and a perceived tension between Forgiveness and Courage. LPA identified four distinct profiles: Compassionate Leadership (23%, high forgiveness, low accountability/courage), Enterprising Leadership (29%, high courage, low forgiveness), Empowering Leadership (38%, high on empowerment, stewardship, humility, accountability, forgiveness), and Visionary Leadership (13%, highest on courage, authenticity, standing back, accountability). Findings reveal that facilitators experience leadership heterogeneously, with empowerment manifesting differently across profiles. Results suggest that leadership development in community education should be profile-tailored rather than uniform, and that servant leadership provides a theoretically grounded framework for understanding the varied conditions through which facilitator empowerment is enabled.</t>
  </si>
  <si>
    <t>Empowerment; Servant Leadership; Latent Profile Analysis; Person-Centered: Learning Analytics; Community Education</t>
  </si>
  <si>
    <t>How AI‐Generated Feedback Hinders or Helps Learning: A Heterogeneous TNA Study of Learning Dynamics</t>
  </si>
  <si>
    <t>e70285</t>
  </si>
  <si>
    <t>10.1002/jcal.70285</t>
  </si>
  <si>
    <t>Background: Despite growing integration of generative AI in educational settings, little is known about whether and to what extent AI-generated real-time feedback can support first-grade students in solving multimodal mathematical tasks.  Objectives: Our study aims to examine student-AI feedback dynamics from a process-oriented perspective, focusing on how students interact with AI feedback after incorrectly solving multimodal mathematical tasks and which interaction patterns lead to successful re-attempts. Methods: We analyze data from 13,000 first-grade pupils across two countries who completed a single-session assessment of 16 foundational numeracy skills via multimodal tasks, where incorrect and correct responses triggered real-time feedback from a GPT-4.1-based system. All feedback instances were collected and qualitatively coded to investigate how student-AI interaction sequences differ between successful and unsuccessful re-attempts, and to what extent specific actions or interaction patterns predict successful attempts. Data were examined using Heterogeneous Transition Network Analysis and sequential pattern mining. Moreover, chi-squared tests and regression models were used to test the association between successful and unsuccessful attempts and interaction types and sequences thereof. Results: Findings revealed that feedback effectiveness depended not on type alone but on how it was embedded within broader interaction sequences. Successful re-attempts were more likely to follow clarification-oriented feedback, whereas unsuccessful ones were more commonly preceded by question-based prompts or direct orders, which reflect more highly anthropomorphic and authoritative forms of address. The absence of AI feedback was associated with poorer recovery.  Conclusions: These findings are situated within the broader concern that misaligned generative AI scaffolding and feedback may deepen confusion or reinforce misconceptions instead of supporting learning.</t>
  </si>
  <si>
    <t>Feedback; Mathematics Education; Heterogeneous Transition Network Analysis; Multimodal Tasks; Human-AI Interactions; Multimodal Tasks; Anthropomorphic AI feedback</t>
  </si>
  <si>
    <t>López-Pernas S., Barra E., Kostić M., Milošević M., Gordillo A., Saqr M.</t>
  </si>
  <si>
    <t>Escape Rooms for Media Literacy: A Systematic Literature Review</t>
  </si>
  <si>
    <t>Behaviour &amp; Information Technology</t>
  </si>
  <si>
    <t>10.1080/0144929X.2026.2699276</t>
  </si>
  <si>
    <t>Compelling evidence points to the fact that training media consumers, especially young people, in media literacy is critical for addressing global risks linked to mis/disinformation and cognitive manipulation. Insights from previous research on media literacy training suggest that educational escape rooms can be an effective way to deliver such training. However, the use of these novel game-based learning activities for media literacy training has not been systematically reviewed before. This article aims to review the existing literature on educational escape rooms for media literacy to synthesize current practices as well as existing evidence of their effectiveness. To achieve this goal, the article presents the findings of a systematic literature review conducted in accordance with the PRISMA (Preferred Reporting Items for Systematic Reviews and Meta-Analyses) guidelines. The following aspects were analyzed for each study included in the review: learning objectives, media literacy areas, and media platforms addressed by the escape room; escape room characteristics (storyline, final goal, puzzles, format, delivery mode, duration, and support mechanisms); and research design aspects (context, sample, research aims and findings, evaluation methods, and recommendations). Our findings indicate that educational escape rooms hold significant potential for developing media literacy competencies, particularly in areas of understanding and reflection. However, they also suggest that the design and evaluation of these activities require further refinement to fully realize their educational potential across media literacy areas. Moreover, findings indicate that escape rooms should be accompanied by other forms of instruction to be truly effective.</t>
  </si>
  <si>
    <t>media literacy; escape rooms; serious games; game-based learning; misinformation</t>
  </si>
  <si>
    <t>Ahmed H., López-Pernas S., Tukiainen M., Saqr M.</t>
  </si>
  <si>
    <t>An Instrument for Human-based Evaluation of GenAI Educational Alignment</t>
  </si>
  <si>
    <t>10.1007/s10758-026-10005-8</t>
  </si>
  <si>
    <t>Artificial Intelligence (AI) enables numerous educational tasks such as grading and providing feedback. The recent advancement in Large Language Models (LLMs) served as a catalyst to the adoption of such tools. However, before relying extensively on AI, we should carefully consider its long-term implications and ensure that its use aligns with ethical and educational principles. At present, there is no established framework to guide educators, administrators, and AI developers in assessing the alignment of AI in education with ethical and pedagogical standards. In this article, we bridge this gap by creating an instrument that can be used to evaluate the alignment of AI tools. We did so by, firstly, conducting a systematic search in databases WoS, Scopus, ACM, and IEEE Xplore attempting to find empirical literature and guidelines on AI alignment. The search process identified 409 relevant records, after applying inclusion criteria, 21 articles were chosen. 25 articles were additionally found through snowballing and search in Google Scholar and Google, raising the total to 46 articles. Secondly, utilizing the guidance of 4 comprehensive frameworks and guidelines, we extracted the criteria and concepts related to education from the identified literature to construct an evaluation instrument. Thirdly, we applied the instrument in a case study to evaluate educational recommendations by AI and then conducted an Exploratory Factor Analysis on the results to understand the relation between the criteria. We identified 4 categories to group 11 criteria. Category Clarity which include Accuracy, Presentability, and Justification. Category Feasibility which include Usefulness and Coherence. Category Pedagogical Value which include Implementability and Engagement with Higher-Order Cognitive Skills. Category Learner-Focused which include Learner-Centeredness, Diversity, Equity, and Inclusion. There are two additional criteria that were not identified with any category as their scales are not nominal—Privacy and Ethicality and Alignment with Learning Theories. This instrument can be used by different stakeholders in education to make sure AI usage meets the complex requirements of human needs.</t>
  </si>
  <si>
    <t>AI alignment; Education; Human-based evaluation; Instrument; Learning analytics; Artificial intelligence; AI ethics; AI safety</t>
  </si>
  <si>
    <t>Barra E., Pilicita A., Conde J., López-Pernas S., Reviriego P., Pozo A.</t>
  </si>
  <si>
    <t>Uso de generación de preguntas de opción múltiple basada en inteligencia artificial para el aprendizaje autorregulado</t>
  </si>
  <si>
    <t>Revista de Educación a Distancia</t>
  </si>
  <si>
    <t>84</t>
  </si>
  <si>
    <t>10.6018/red.711091</t>
  </si>
  <si>
    <t>This study examines the integration of generative AI in education, specifically evaluating  AI-generated  multiple-choice  questions  (MCQs) and  their  role  in supporting self-regulated learning (SRL). Using AIQUIZ, an open-source AI-driven platform, 325 of the 593 enrolled students (54.8%) across four computing courses (Web Technologies and Databases) used the platform and generated 38,752 MCQs over two years. An explanatory sequential mixed-methods design analysed student performance, error reports, survey insights, and expert evaluations. Results showed a 70.79% overall student performance (79.45% in Databases, 66.84% in Web Technologies). Only 0.85% of questions were flagged by students as potentially incorrect, a figure that reflects user perception rather than a verified error rate.Surveys indicated strong student acceptance, engagement, and motivation, which are vital for the forethought phase of SRL. However, error analysis of flagged items revealed recurring issues like incorrectly marked answers and flawed distractors. These findings suggestthat AI-generated MCQs maysupport the SRL cycle by facilitating forethought, performance control, and self-reflection. While Large Language Model (LLM) tools provide scalable opportunities for practice and self-assessment, our results confirm that human validation remains essential to ensure content quality and maximize learning benefits</t>
  </si>
  <si>
    <t>AI-Generated Multiple-Choice Questions; Generative AI in Education; Adaptive Learning; AI in Higher Education; Large Language Models</t>
  </si>
  <si>
    <t>Wu D., Misiejuk K., López-Pernas S., Chen G., Saqr M., Specht M., Oliveira E.</t>
  </si>
  <si>
    <t>From Writing Traces to Personalised Support: Guiding LLMs with Stylometric Fingerprints</t>
  </si>
  <si>
    <t>Artificial Intelligence in Education. AIED 2026. Lecture Notes in Computer Science</t>
  </si>
  <si>
    <t>16582</t>
  </si>
  <si>
    <t>10.1007/978-3-032-29755-6_34</t>
  </si>
  <si>
    <t>Generative AI holds great potential for personalised learning, yet its outputs often remain generic. A key barrier is the difficulty Large Language Models (LLMs) face in interpreting quantitative learner data. This study introduces StyloPrompt, a three-phase method that converts quantitative writing analytics (stylometric fingerprints) into structured natural language descriptors to enable interpretable conditioning of LLMs. In Phase 1, variance analysis of over 1,000 student essays validated 19 robust features that stably distinguish authors. Phase 2 operationalised these fingerprints in a controlled style transfer task—serving as a proxy for adaptive educational communication—comparing raw numerical prompts against two natural language encodings (NL-Binning and NL-Distribution). Phase 3 evaluated outcomes on held-out data using similarity metrics. Results indicate that the NL-Distribution method most effectively conditioned the LLM, achieving an 89% success rate when transferring between dissimilar writing profiles. This work contributes a reproducible framework for integrating writing analytics into LLMs, supporting AI-enabled educational systems that deliver controlled, learner-aligned communication.</t>
  </si>
  <si>
    <t>Artificial Intelligence in Education; Stylometry; Personalised Feedback; LLM Conditioning; Writing Analytics</t>
  </si>
  <si>
    <t>Rinja D., Oliveira E., López-Pernas S., Saqr M., Specht M., Misiejuk K.</t>
  </si>
  <si>
    <t>Unpacking Vibe Coding: Help-Seeking Processes in Student-AI Interactions While Programming</t>
  </si>
  <si>
    <t>16584</t>
  </si>
  <si>
    <t>10.1007/978-3-032-29763-1_35</t>
  </si>
  <si>
    <t>Generative AI is reshaping higher education programming through vibe coding, where students collaborate with AI via natural language rather than writing code line-by-line. We conceptualize this practice as help-seeking, analyzing 19,418 interaction turns from 110 undergraduate students. Using inductive coding and Heterogeneous Transition Network Analysis, we examined interaction sequences to compare top- and low-performing students. Results reveal that top performers engaged in instrumental help-seeking – inquiry and exploration – eliciting tutor-like AI responses. In contrast, low performers relied on executive help-seeking, frequently delegating tasks and prompting the AI to assume an executor role focused on ready-made solutions. These findings indicate that currently generative AI mirrors student intent (whether productive or passive) rather than optimizing for learning. To evolve from tools to teammates, AI systems must move beyond passive compliance. We argue for pedagogically aligned design that detect unproductive delegation and adaptively steer educational interactions toward inquiry, ensuring student-AI partnerships augment rather than replace cognitive effort.</t>
  </si>
  <si>
    <t>Student-AI Collaboration; Heterogeneous Transition Network Analysis; Help-Seeking Strategies; Learning Analytics</t>
  </si>
  <si>
    <t>Best paper award at AIED 2026</t>
  </si>
  <si>
    <t>Fine-tuning Large Language Models for Educational Applications: Use Cases, Architectures, and Techniques</t>
  </si>
  <si>
    <t>Open Educational Practices in the Artificial Intelligence Era</t>
  </si>
  <si>
    <t>10.1007/978-981-92-1792-2_18</t>
  </si>
  <si>
    <t>Large Language Models (LLMs) have significantly expanded the breadth of artificial intelligence applications in education by automating or facilitating complex tasks such as question generation and feedback provision. However, general-purpose LLMs may not meet the pedagogical and domain-specific demands of educational tasks. Fine-tuning has emerged as a possible solution to bridge this gap. This article provides an overview of how different LLM architectures and fine-tuning techniques have been applied to the full spectrum of educational tasks. We provide examples from recent literature to illustrate these methods, their effectiveness, the data available for training, and the evaluation methods. Our synthesis reveals that fine-tuning can enhance LLM performance in educational tasks. However, such improvement is constrained by technical, infrastructural, and theoretical limitations. We also conclude that current implementations have so far fallen short of providing personalized education at the individual level, and that there are difficulties keeping pace with the advancements of the industry.</t>
  </si>
  <si>
    <t>Large language models; Artificial intelligence in education; Fine-tuning</t>
  </si>
  <si>
    <t>Barra E., López-Pernas S., Conde J., Gordillo A.</t>
  </si>
  <si>
    <t>AI agents for scaling real-time support in educational escape rooms</t>
  </si>
  <si>
    <t>López-Pernas S., Oliveira E., Misiejuk K., Deriba M., Kaliisa R., Saqr M.</t>
  </si>
  <si>
    <t>Can AI deliver appropriate support for diverse student profiles?: A large-scale evaluation</t>
  </si>
  <si>
    <t>Computers in Human Behavior: Artificial Humans</t>
  </si>
  <si>
    <t>10.1016/j.chbah.2026.100357</t>
  </si>
  <si>
    <t>Large language models (LLMs) have the potential to offer a novel approach to student support through learning analytics (LA)–informed advising. This study examines such potential by exploring whether current LLMs can adaptively recommend appropriate support across student needs, characteristics, and contexts. To do that, we generated 4,500 synthetic student vignettes using three LLMs (GPT-5-mini, Mistral-Medium-2508, Qwen-Plus). Each vignette included a single behavioral student trait, classified as either high- or low-performing, and one positive or negative LA indicator describing student learning behavior. These were randomly selected from pre-defined literature-informed lists to provide the LLM with contextual information about the student. The LLMs then generated recommendations for support, including the level of support needed and timing. We examined whether the three LLMs behaved consistently with each other and whether they responded differentially to LA indicators and other learner and context characteristics. For this purpose, we analysed the generated data using Pearson correlations with False Discovery Rate correction and analyses of variance conducted separately for each LLM. Findings revealed limited sensitivity to student characteristics as indicated by LA indicators and the recommended support. In addition, we detected considerable inconsistencies in LLM-generated support recommendations across tested LLMs. These results suggest that current LLMs are not yet reliable as prescriptive models for providing student support at scale in an ethical, consistent, and reliable manner.</t>
  </si>
  <si>
    <t>Learning Analytics; Large Language Models; Student Support; Prescriptive Analytics; AI Feedback; Alignment</t>
  </si>
  <si>
    <t>Bobrowicz K., López-Pernas S., Saqr M.</t>
  </si>
  <si>
    <t>With Development and Parenting at Heart: Over 100 Years of Clinical Child and Adolescent Psychology</t>
  </si>
  <si>
    <t>Review of General Psychology</t>
  </si>
  <si>
    <t>10.1177/10892680261470677</t>
  </si>
  <si>
    <t>Misiejuk K., López-Pernas S., Oliveira E., Eagan B., Saqr M.</t>
  </si>
  <si>
    <t xml:space="preserve">Comparing human and LLM ordered coding of qualitative data: How coding differences cascade through temporal analysis   </t>
  </si>
  <si>
    <t>Computers in Education: Artificial Intelligence</t>
  </si>
  <si>
    <r>
      <rPr>
        <color rgb="FF1155CC"/>
        <u/>
      </rPr>
      <t>10.1016/j.caeai.2026.100649</t>
    </r>
  </si>
  <si>
    <t>López-Pernas S., Misiejuk K., Oliveira E., Saqr M</t>
  </si>
  <si>
    <t>Country</t>
  </si>
  <si>
    <t>A methodological toolkit for studying human-AI interaction</t>
  </si>
  <si>
    <t>Duration</t>
  </si>
  <si>
    <t>Research Perspectives on Human-Centered AI</t>
  </si>
  <si>
    <t>https://go.uef.fi/method-toolkit-hai</t>
  </si>
  <si>
    <t>Research visit</t>
  </si>
  <si>
    <t>Melbourne University</t>
  </si>
  <si>
    <t>Australia</t>
  </si>
  <si>
    <t>2 weeks</t>
  </si>
  <si>
    <t>Monash University</t>
  </si>
  <si>
    <t>1 week</t>
  </si>
  <si>
    <t>University of Technology Sydney</t>
  </si>
  <si>
    <t xml:space="preserve">Human-Artificial Intelligence Interaction (HAI) has evolved from static tool usage into a dynamic, co-adaptive partnership. However, dominant empirical paradigms frequently prioritize benchmarking AI outputs over modeling the interaction process itself. To address this methodological gap, this chapter introduces Dynalytics, an overarching framework and methodological ecosystem designed for the rigorous structural and temporal analysis of dynamic systems, which we apply to HAI. We demonstrate how three core network modalities—Transition Network Analysis, Heterogeneous Transition Network Analysis, and Multi-Cluster Multi-Level networks—can capture HAI across varying dimensions of relational and structural granularity. Using an empirical dataset of undergraduate students interacting with ChatGPT during a programming assignment, we showcase how these methods reveal behavioral feedback loops, role enactments, and self-regulated learning macro-phases. Moreover, the framework integrates a multi-level confirmatory testing battery—including bootstrapping, permutation testing, and centrality stability—to transition process-oriented HAI research from purely descriptive visualizations to robust statistical inference. </t>
  </si>
  <si>
    <t>Aalto University</t>
  </si>
  <si>
    <t>artificial intelligence; Dynalytics, transition network analysis; sequence analysis; large language models; human-AI interaction</t>
  </si>
  <si>
    <t>Finland</t>
  </si>
  <si>
    <t>Oulu University</t>
  </si>
  <si>
    <t>10 days</t>
  </si>
  <si>
    <t>Modeling Stability and Change from a Complex Systems Perspective</t>
  </si>
  <si>
    <t>Innovations in Analytics of Learning Dynamics: Proceedings of the 1st Workshop on Transition Network Analysis. CCIS</t>
  </si>
  <si>
    <t>Kassel University</t>
  </si>
  <si>
    <t>Germany</t>
  </si>
  <si>
    <t>University of Osnabruck</t>
  </si>
  <si>
    <t>10.1007/978-3-032-34157-0_4</t>
  </si>
  <si>
    <t>Post-doctoral research stay</t>
  </si>
  <si>
    <t>University of Eastern Finland</t>
  </si>
  <si>
    <t>Transition Network Analysis (TNA) provides a solid framework for studying the learning process and the dynamic changes across time in learning systems. TNA maps interactions among system states—including their occurrence or absence, sequential ordering, and the trajectories that unfold over time. Most importantly, TNA incorporates statistical significance testing for transitions and metrics. This study demonstrates how TNA can be used to study stability from a complex systems perspective. We demonstrate how stability can be studied via transition patterns (or the lack thereof), rates of transitions, durations, recurrence, and through state sequences (ordered transitions) via metrics such as entropy, complexity, and feedback loops. These capabilities are demonstrated via a case study where the stability of the engagement states of students across 15 sequential courses is studied.</t>
  </si>
  <si>
    <t>1 month</t>
  </si>
  <si>
    <t>Pre-doctoral research stay</t>
  </si>
  <si>
    <t>Misiejuk K., Oliveira E., Song Y., López-Pernas S., Saqr M.</t>
  </si>
  <si>
    <t>Modeling Observation Lens in Co-Occurrence Network Analysis: Four Window Approaches and Implementations</t>
  </si>
  <si>
    <t>KTH Royal Institute of Technology</t>
  </si>
  <si>
    <t>Sweden</t>
  </si>
  <si>
    <t>3 months</t>
  </si>
  <si>
    <t>10.1007/978-3-032-34157-0_3</t>
  </si>
  <si>
    <t>Modeling how collaboration unfolds in digital learning environments requires analytical approaches that account for both temporal structure and the local organization of learner actions. Co-occurrence Network Analysis (CNA) offers a flexible framework for representing these relationships; however, the choice of co-occurrence window remains an under-examined methodological decision with substantial interpretive consequences. We present a systematic comparison of four window implementations: single-message, multi-message, fixed-duration, and duration-gap. Using two simulated datasets that represent synchronous (dense) and asynchronous (sparse) collaboration patterns, we examine how each window approach shapes the resulting network structures, including co-occurrence patterns, self-connections, cross-actor links, and their sensitivity to different temporal dynamics. Our findings underscore that defining the co-occurrence window is not a neutral pre-processing step but a central modeling decision that directly shapes the interpretation and conceptualization of collaborative processes.</t>
  </si>
  <si>
    <t>López-Pernas S., Misiejuk K., Tikka S., Saqr M.</t>
  </si>
  <si>
    <t>Role Dynamics in Student–AI Collaboration: A Heterogeneous Transition Network Analysis Approach</t>
  </si>
  <si>
    <t>10.1007/978-3-032-34157-0_2</t>
  </si>
  <si>
    <t>In this study, we introduce Heterogeneous Transition Network Analysis (HTNA), a variant of Transition Network Analysis (TNA) that acknowledges different node classes within the same network. We propose this method as an analytical solution to model human-AI collaboration where humans take different intents and AI enacts appropriate roles in response. We exemplify the method in a case study examining the collaborative problem-solving process between students and AI through their dialogic exchanges. Our dataset includes 1,915 student-AI interactions from 95 unique students collected in a programming course which were annotated to capture the students’ intents as well as the role assumed by AI in its response. We used HTNA to model the iterative flow of these exchanges and identify recurring typed patterns that characterise how students and the AI respond to one another across multiple steps. The approach captures these higher-order structures while preserving core TNA features such as bootstrapping, and it can be extended with additional measures, including centrality measures, communities and cliques, to further examine the dynamics of human–AI collaboration.</t>
  </si>
  <si>
    <t>Ahmed H., Siddika A., López-Pernas S., Tukiainen M., Saqr M.</t>
  </si>
  <si>
    <t>The Longitudinal Dynamics of GenAI Roles: An Idiographic Approach</t>
  </si>
  <si>
    <t>10.1007/978-3-032-34157-0_11</t>
  </si>
  <si>
    <t>This study explores the longitudinal dynamics of how eight PhD students perceive the role of GenAI in the effort they put in doing research tasks. We employed Experience Sampling Methods (ESM) to collect their perceptions on GenAI in relation to their effort whenever they utilized it for tasks requiring critical thinking over a month. We captured six dimensions of cognitive effort (knowledge, analysis, application, evaluation, understanding, and regulation). We applied a parsimonious Gaussian Mixture of Experts model to cluster students’ effort-related variables, resulting in four perceived GenAI roles or states: Effortful, Cognitively Demanding, Facilitator, and Moderate. We then employed Transition Network Analysis with an Idiographic approach to understand how these states change longitudinally for every student. Our results reveal an inter-individual variability. Students exhibited different themes: some experienced unstable networks with no prominent patterns, others found GenAI interactions predominantly Effortful, while others viewed GenAI interactions solely as Moderate and Facilitator. These idiographic transitions outline the variable individual perceptions of GenAI roles and showcase the TNA’s ability to provide a granular view of how such a temporal process unfolds over time.</t>
  </si>
  <si>
    <t>Saqr M., López-Pernas S., Misiejuk.</t>
  </si>
  <si>
    <t>Dynalytics: The Birth of a Framework for Rigorous Analytics of Dynamical Systems</t>
  </si>
  <si>
    <t>10.1007/978-3-032-34157-0_1</t>
  </si>
  <si>
    <t>In this paper, we introduce Dynalytics, an overarching framework and methodological ecosystem designed for the analysis and rigorous validation of dynamics of and dynamical systems. The framework encompasses a diverse family of models, including transition networks, co-occurrence networks, psychological networks, and higher-order networks. Central to Dynalytics is the application of a multi-level confirmatory testing battery to validate the supported models and support any analytical claim: split-half reliability for internal consistency, bootstrapping for edge-level stability, case dropping for centrality stability, and permutation-based group comparisons. The framework is supported by an open-source software ecosystem including R, Python, and Javascript libraries, as well as web and desktop applications. More importantly, Dynalytics is grounded in a “scientific contract” in which every analytical claim must be matched by evidence appropriate to the structure, scope, and complexity of the inference being made.</t>
  </si>
  <si>
    <t>Saqr M., López-Pernas S., Misiejuk K.</t>
  </si>
  <si>
    <t>Nestimate: An R Package for dynamic, probabilistic, and high order network analysis</t>
  </si>
  <si>
    <t>Applied Psychological Measurement</t>
  </si>
  <si>
    <t>10.1177/01466216261472019</t>
  </si>
  <si>
    <t>Networks are often estimated from data such as psychometric scales, event data, and ecological momentary assessment data. We introduce the Nestimate R package, which offers a unified interface for estimating networks through a standardized workflow. First, Nestimate estimates psychological network models using correlation, partial-correlation, regularized (graphical lasso), Ising, and mixed graphical networks from both frequency and event data. Second, Nestimate introduces multi-cluster networks, which aggregate psychometric networks using, for example, factor loadings, principal components, or network connectivity. Third, higher-order network models represent dynamics whose probability depends on more than the immediately preceding state and offer a rich interface for measuring and evaluating higher-order behaviors such as critical thinking. Fourth, Nestimate provides functions for estimating dynamic networks, including transition, co-occurrence, and mixed networks, for capturing behavioral dynamics from event data. Every estimated network can be subjected to a unified validation pipeline, including non-parametric bootstrapping, permutation testing, split-half reliability, and case-dropping centrality stability analyses.</t>
  </si>
  <si>
    <t>Pande S., Song Y., Misiejuk K., López-Pernas S., Saqr M., Oliveira E.</t>
  </si>
  <si>
    <t>Profiling Writing Skills at Scale: A Hybrid Stylometry-LLM Pipeline for Formative Feedback</t>
  </si>
  <si>
    <t>Proceedings of the Thirteenth ACM Conference on Learning@ Scale</t>
  </si>
  <si>
    <t>10.1145/3774398.3811578</t>
  </si>
  <si>
    <t>Providing timely, personalised feedback in large-scale learning environments remains a persistent challenge. Generative artificial intelligence offers scalability, yet limited interpretability and concerns around ungrounded feedback constrain its use for formative assessment. This Work-in-Progress paper presents an early-stage hybrid pipeline that combines stylometric analysis with large language models (LLM) to support interpretable writing feedback at scale. Linguistic features are projected into low-dimensional, pedagogically interpretable indicators using Principal Component Analysis. Across two essay corpora comprising 2,828 student texts (PAN14 and ASAP), we observe stable patterns corresponding to two dominant dimensions of writing style: Syntactic Complexity and Lexical Richness. These dimensions are used to structure LLM-generated feedback and to support targeted diagnostic comments and cohort-level visualisation for instructor oversight in large classes. Ongoing work will examine how this approach informs instructional decision-making and student writing development in authentic learning contexts.</t>
  </si>
  <si>
    <t>Misiejuk K., Oliveira E., López-Pernas S., Saqr M.</t>
  </si>
  <si>
    <t>Modeling Dynamics of Learning and Learners with the Transition Network Analysis Toolkit</t>
  </si>
  <si>
    <t>Artificial Intelligence in Education. Late Breaking Results, WideAIED, Practitioners, Industry and Policies, Blue Sky, Doctoral Consortium, FoL Workshops and Tutorials, FoL Invited Papers. AIED 2026. Communications in Computer and Information Science</t>
  </si>
  <si>
    <t>3033</t>
  </si>
  <si>
    <t>10.1007/978-3-032-29794-5_2</t>
  </si>
  <si>
    <t>This workshop introduces participants to Transition Network Analysis (TNA), a comprehensive framework for modeling learning processes through rigorous statistical methods. Participants will explore how TNA enables rigorous analysis of learning dynamics—with or without coding expertise. TNA includes a rich repertoire of tools and techniques for examining interaction data, including methods for visualizing and identifying recurring structural patterns such as dyads, triads, communities, and clusters. A key focus is TNA’s integration of statistical validation techniques including bootstrapping, permutation testing, and case-dropping, allowing researchers to validate individual network edges with p-values and effect sizes, compare patterns across learner subgroups, and explain observed dynamics with edge-level significance. The workshop covers TNA’s theoretical foundations and key variants: Frequency-based TNA, Attention Network Analysis, Heterogeneous TNA, and Co-occurrence Network Analysis. Through guided instruction and hands-on practice, attendees will learn to identify suitable data and research questions, perform data preprocessing, and apply TNA using both the tna R package and no-code platforms (tna-web and JTNA).</t>
  </si>
  <si>
    <t>Bäckman J., Piispa-Hakala S., López-Pernas S., Paavilainen T., Hirsto L.</t>
  </si>
  <si>
    <t>Integrating Learning Analytics into a Blended Course: A Pilot Study</t>
  </si>
  <si>
    <t>EdMedia</t>
  </si>
  <si>
    <t>10.70725/826828jenbcq</t>
  </si>
  <si>
    <t>This mixed-methods study examines a blended university Moodle course and explores how learning analytics (LA) can be used in pedagogically meaningful ways to support students’ learning processes. The study was conducted in spring 2025 with twenty students. Log data were used to examine students’ learning within a weekly structured course design, while students’ experiences of LA dashboards were collected through a single survey conducted at the end of the course. The focus was on pedagogical design and how it structures and supports learning in a blended environment. The results show that pedagogical design structured students’ learning processes, although students adopted diverse learning strategies within the same course framework. In addition, learning analytics visualizations, particularly progress indicators and calendar tools, supported students in managing their learning. Overall, the findings highlight the central role of pedagogical design in integrating learning analytics and suggest that well-designed LA can meaningfully support students’ learning processes in blended learning environments.</t>
  </si>
  <si>
    <t>Zhang C., López-Pernas S., Wang W., Saqr M.</t>
  </si>
  <si>
    <t>Mapping the Clinical Reasoning Process in Medical Simulations Using Multi-cluster Multi-layer Transition Network Analysis</t>
  </si>
  <si>
    <t>Learning Technologies Shaped with Intention</t>
  </si>
  <si>
    <t>10.1007/978-3-032-37982-5_43</t>
  </si>
  <si>
    <t>Clinical reasoning (CR) is a foundational skill in medical education, where improving students’ CR skills remains a central objective for training programs. Achieving this goal requires an in-depth understanding of the dynamics of CR and how it unfolds in clinical interactions. In this study, we investigate the dynamics of students’ CR processes as they emerge during simulated patient–doctor conversations. We analyze a dataset comprising 213 clinical simulation dialogues. To capture the sequential and relational structure of these interactions, we employ Multi-Cluster Multi-Layer (MCML) Networks, an extension of Transition Network Analysis (TNA) that accounts for multiple-layer node classes (in our case, distinguishing between dialogue intent and clinical goals). In doing so, we model how reasoning-related actions evolve throughout the medical simulation from the initial history-taking to the diagnosis and treatment. Our findings provide insight into the interactional patterns that characterize CR and demonstrate the value of MCML for examining complex, multi-layer processes in medical education.</t>
  </si>
  <si>
    <t>Milesi M.E., Pammer-Schindler V., Echeverria V., López-Pernas S., Saqr M., Alfredo R., Jin Y., Fan J.X., Gasevic D., Tsai Y.-S., Martinez-Maldonado R.</t>
  </si>
  <si>
    <t>Designing Support for Written Reflections Using GenAI Summaries and Chatbots</t>
  </si>
  <si>
    <t>10.1007/978-3-032-37982-5_24</t>
  </si>
  <si>
    <t>Reflection is essential in healthcare education as it allows nursing students to assess their knowledge, skills, and understanding of learning material. Simulations allow students to build clinical and soft skills by reflecting on their decision-making and actions. Learning analytics (LA) dashboards can support reflection on simulation experiences by visualising multimodal data. However, the effectiveness of this information is limited by students’ ability to comprehend the data and derive actionable insights to improve their practice. Generative AI (GenAI) may address this challenge by providing simplified explanations of data, but little is known about how GenAI interventions (e.g., chatbots or AI-generated summaries) support reflections on LA data. To address this gap, we designed a LA dashboard augmented with either a chatbot or AI-generated summary to be used as a support tool by nursing students to reflect on clinical simulation experiences. Preliminary results show that AI-summaries lead nursing students to discuss plans of future actions in their written reflections, while chatbot-supported reflections tend to engage in self-assessment in addition to future planning and discussion of insights from the simulation.</t>
  </si>
  <si>
    <t>Idiographic, Aligned, and AI-Supported Learning Analytics Dashboard to Aid Student Self-Regulated Learning: Preliminary Design and Evaluation</t>
  </si>
  <si>
    <t>10.1007/978-3-032-37982-5_1</t>
  </si>
  <si>
    <t>There is a shortage of systems that are designed from the ground up to meet the idiographic principles while addressing the pedagogical and ethical misalignment. This work aims to bridge this gap by introducing a design of an aligned, idiographic, multi-source data dashboard to support students’ self-regulated learning. The app synthesizes multi-source data, namely: Learning management system (LMS) logs, sleep, screen time, and self-regulated learning (SRL) data to provide instantaneous and personalized recommendations to the students. The dashboard is supported by an AI-based companion (chatbot) that facilitates the interpretation of the student’s data. We also introduce a sophisticated mechanism for the context management to keep chats with the user relevant, ethical, and personal.</t>
  </si>
  <si>
    <t>Gónzalez V., Barra E., Salgado C., Kostić M., Milosevic M., López-Pernas S.</t>
  </si>
  <si>
    <t>Uses and Misuses of AI in Social Media: Designing the ECHO Escape Room for Media Literacy Training</t>
  </si>
  <si>
    <t>Proceedings of the 2026 International Conference on Smart Learning Environments (ICSLE 2026)</t>
  </si>
  <si>
    <t>10.13140/RG.2.2.30087.56485</t>
  </si>
  <si>
    <t>Artificial intelligence (AI) is increasingly embedded in social media platforms. However, evidence on the effectiveness of media literacy training tools that address its role is so far scarce. This paper presents the design and evaluation of ECHO, a digital educational escape room (EER) developed to raise awareness of the uses and misuses of AI in social media. Informed by a systematic literature review, participatory design workshops, and the EscapED framework, ECHO places players in the role of a moderator of a fictional social media platform, tasked with inspecting, controlling, and labelling AI-generated content. A pilot study with 86 high school students (68 with complete pre-post test data) showed significant knowledge gains (t(67) =-3.59, p &lt; .001, g = 0.43) and positive user experience ratings. Results suggest that EERs are a promising approach for AI literacy training. ECHO's modular architecture supports adaptation across languages and educational contexts, broadening its potential impact. Play the ECHO escape room in http://endgameproject.github.io/ECHO</t>
  </si>
  <si>
    <t>Gordillo A., López-Pernas S., Santamaría A., Milošević M., Barra E., Gutiérrez S.</t>
  </si>
  <si>
    <t>Applying the IGLUE Best Practices with Escapp</t>
  </si>
  <si>
    <r>
      <rPr>
        <rFont val="&quot;Inter Var&quot;, Inter, Roboto, Arial, sans-serif"/>
        <color rgb="FF1155CC"/>
        <sz val="11.0"/>
        <u/>
      </rPr>
      <t>10.20868/UPM.book.98085</t>
    </r>
  </si>
  <si>
    <t>This document, titled “Applying the IGLUE Best Practices with Escapp”, provides considerations, instructions, and recommendations for teachers on how to apply the IGLUE Best Practices when using Escapp. This document does not replace the IGLUE Best Practices guide, but it extends it by providing additional information and recommendations on how to apply these practices when a specific tool is employed. The target audience of the present document is teachers of any educational level and knowledge area who are interested in creating and conducting educational escape rooms using Escapp.</t>
  </si>
  <si>
    <t>Contribution to the understanding, creation and conduction of technology-enhanced educational escape rooms</t>
  </si>
  <si>
    <t>ETSI Telecomunicación (UPM). [Doctoral Thesis]</t>
  </si>
  <si>
    <t>10.20868/UPM.thesis.68657</t>
  </si>
  <si>
    <t>G4</t>
  </si>
  <si>
    <t>Desarrollo de un motor de creación de actividades autoevaluables con soporte del estándar de e-learning SCORM para una aplicación web de autoría de contenidos</t>
  </si>
  <si>
    <t>ETSI Telecomunicación (UPM). [Master Thesis]</t>
  </si>
  <si>
    <t>G2</t>
  </si>
  <si>
    <t>Diseño e implementación de un demostrador web de mejoras de prestaciones wi-fi</t>
  </si>
  <si>
    <t>2016</t>
  </si>
  <si>
    <t>ETSI Telecomunicación (UPM). [Bachelor Thesis]</t>
  </si>
  <si>
    <t>Las características de Wi-Fi en combinación con el protocolo TCP hacen que se produzca una reducción del caudal resultante, causada por el diseño del propio protocolo TCP, desaprovechando en gran medida la capacidad de la red. El objetivo del proyecto ABA-WIFI era elaborar una solución que permitiera corregir el comportamiento anómalo del protocolo de transporte TCP que sufren las redes de acceso de banda ancha a través de Wi-Fi. Para ello se presentaron una serie de mejoras destinadas a los puntos de acceso Wi-Fi basadas en técnicas de TCP Split y TCP Spoof que solucionan el problema identificado de manera notable. Este trabajo proporciona una herramienta web para probar y medir cuantitativamente en tiempo real el efecto de dichas mejoras sobre las prestaciones de la red para distintas condiciones de la misma, atendiendo a la posición del cliente respecto del punto de acceso, el tipo de tráfico cursado, las condiciones de carga de la red y la situación geográfica.</t>
  </si>
  <si>
    <t>G1</t>
  </si>
  <si>
    <t>Where</t>
  </si>
  <si>
    <t>General Chair of &lt;b&gt;Koli Calling 2026-2027&lt;/b&gt;</t>
  </si>
  <si>
    <t>Conferences</t>
  </si>
  <si>
    <t>Associate Editor at &lt;b&gt;IEEE Transactions on Learning Technologies&lt;/b&gt; (JCR Q1)</t>
  </si>
  <si>
    <t>Journals</t>
  </si>
  <si>
    <t>2025-Now</t>
  </si>
  <si>
    <t>Associate Editor at &lt;b&gt;Smart Learning Environments&lt;/b&gt; (JCR Q1)</t>
  </si>
  <si>
    <t>Chair of the Workshops track and Proceedings Editor of the &lt;b&gt;International Conference on Smart Learning Environments (ICSLE 2025)&lt;/b&gt;</t>
  </si>
  <si>
    <t>Chair of the Posters &amp; Demos Track at the &lt;b&gt;Learning Analytics and Knowledge Conference (LAK)&lt;/b&gt;</t>
  </si>
  <si>
    <t>Senior member of the Program Committee of the &lt;b&gt;Learning Analytics and Knowledge Conference (LAK)&lt;/b&gt;</t>
  </si>
  <si>
    <t>Member of the Program Committee of the Annual Meeting og the International Society of the Learning Sciences (ISLS)</t>
  </si>
  <si>
    <t>Editor of the book &lt;b&gt;“Advanced learning analytics methods: AI, precision and complexity”&lt;/b&gt; by Springer: &lt;a href="https://lamethods.org"&gt;https://lamethods.org&lt;/a&gt;</t>
  </si>
  <si>
    <t>Books</t>
  </si>
  <si>
    <t>2023-Now</t>
  </si>
  <si>
    <t>Associate Editor at &lt;b&gt;IEEE Transactions on Education&lt;/b&gt; (JCR Q2)</t>
  </si>
  <si>
    <t>2024-Now</t>
  </si>
  <si>
    <t>Associate Editor at &lt;b&gt;Frontiers in Education&lt;/b&gt; (JCR Q2)</t>
  </si>
  <si>
    <t>Academic Editor at &lt;b&gt;PLOS One&lt;/b&gt; (JCR Q2)</t>
  </si>
  <si>
    <t>Guest Editor of the Special Issue "From Chaos to Clarity: Unveiling the Dynamics of Learning Processes with Complexity Sciences" at the &lt;b&gt;British Journal of Educational Technology&lt;/b&gt; (JCR Q1)</t>
  </si>
  <si>
    <t>2026-*</t>
  </si>
  <si>
    <t>Director of the Master's Degree Programme in Information Technology (IMPIT) at UEF School of Computing</t>
  </si>
  <si>
    <t>Guest Editor of the Special Issue "Rethinking Blended Learning in Higher Education: Global Perspectives on Diversity, Equity, and Inclusion" at the &lt;b&gt;British Journal of Educational Technology&lt;/b&gt;(JCR Q1)</t>
  </si>
  <si>
    <t>Member of the “Koulutuksen kehittämisryhmä (KOUKE)” (Education Development Group) at UEF School of Computing</t>
  </si>
  <si>
    <t>Repo</t>
  </si>
  <si>
    <t>Member of the IEEE Standards Committee P3722 (EDU/SC) "Guide for Responsible Artificial Intelligence (AI) in Higher Education"</t>
  </si>
  <si>
    <t>Demo</t>
  </si>
  <si>
    <t>Web</t>
  </si>
  <si>
    <t>Member of the Data Engineering Program development Task Force at UEF School of Computing</t>
  </si>
  <si>
    <t>Logo</t>
  </si>
  <si>
    <t>Escapp</t>
  </si>
  <si>
    <t>Escapp is a web platform aimed at assisting teachers in the conduction of educational escape rooms, both face-to-face and remote.</t>
  </si>
  <si>
    <t>https://github.com/ging/escapp</t>
  </si>
  <si>
    <t>2021-2024</t>
  </si>
  <si>
    <t>Member of the Program Committee of the &lt;b&gt;International Conference on Computers in Education (ICCE)&lt;/b&gt;</t>
  </si>
  <si>
    <t xml:space="preserve">Member of the Program Committee of the International Conference on &lt;b&gt;Educational Data Mining (EDM)&lt;/b&gt; </t>
  </si>
  <si>
    <t>https://escapp.es</t>
  </si>
  <si>
    <t>Member of the Program Committee of the &lt;b&gt;IEEE International Conference on Advanced Learning (ICALT)&lt;/b&gt;. Tracks APTeL and BDELA</t>
  </si>
  <si>
    <t>Member of the Program Committee of the &lt;b&gt;Learning Analytics and Knowledge Conference (LAK)&lt;/b&gt;</t>
  </si>
  <si>
    <t>https://youtu.be/8lyekXZXs64</t>
  </si>
  <si>
    <t>Member of the Scientific Committee of the &lt;b&gt;Koli Calling&lt;/b&gt; conference</t>
  </si>
  <si>
    <t>https://escapp.es/images/puzzle.png</t>
  </si>
  <si>
    <t>Member of the Scientific Committee of the &lt;b&gt;Technological Ecosystems for Enhancing Multiculturality (TEEM)&lt;/b&gt; conference. Tracks LA and GamiLearn</t>
  </si>
  <si>
    <t>htna</t>
  </si>
  <si>
    <t>Heterogeneous Transition Network Analysis (HTNA) that models processes or interactions between a mix two or more actor groups (e.g.  Human and AI) as a single network. HTNA builds on the traditions of Transition Network Analysis (TNA) and Co-occurrence Network Analysis (CNA) and maintains the rigor of either method.</t>
  </si>
  <si>
    <t>https://github.com/sonsoleslp/htna/</t>
  </si>
  <si>
    <t>https://sonsoles.me/htna</t>
  </si>
  <si>
    <t>Guest editor of the Special Issue on "Individual differences, heterogeneity, and person-specific idiographic learning analytics" of the &lt;b&gt;Learning and Individual Differences&lt;/b&gt; journal (JCR Q1)</t>
  </si>
  <si>
    <t>Member of the organizing committee and proceedings editor of the &lt;b&gt;Technology-Enhanced Learning in Laboratories workshop (TELL 2023)&lt;/b&gt; in CEUR</t>
  </si>
  <si>
    <t>https://github.com/sonsoleslp/htna/raw/main/man/figures/logo.png</t>
  </si>
  <si>
    <t>Topic editor in “Education Reimagined: The Impact of Advanced Technologies on Learning” of the &lt;b&gt;Frontiers in Psychology&lt;/b&gt; journal (JCR Q1)</t>
  </si>
  <si>
    <t>tna</t>
  </si>
  <si>
    <t>An R package for Transition Network Analysis: a new method that combines network analysis with stochastic process mining.</t>
  </si>
  <si>
    <t>https://github.com/sonsoleslp/tna/</t>
  </si>
  <si>
    <t xml:space="preserve">Guest editor of the collection "Teaching and Learning Artificial Intelligence" at the &lt;b&gt;Discover Education&lt;/b&gt; journal by Springer </t>
  </si>
  <si>
    <t>https://sonsoleslp.shinyapps.io/tna-app/</t>
  </si>
  <si>
    <t>Member of the DC Program Committee of the &lt;b&gt;European Conference on Technology Enhanced Learning  (EC-TEL 2023)&lt;/b&gt;</t>
  </si>
  <si>
    <t>Editor of the book &lt;b&gt;“Learning analytics methods and tutorials: A practical guide using R”&lt;/b&gt; by Springer: &lt;a href="https://lamethods.org"&gt;https://lamethods.org&lt;/a&gt;</t>
  </si>
  <si>
    <t>https://sonsoles.me/tna</t>
  </si>
  <si>
    <t>Editor of the &lt;b&gt;“Past, Present and Future of Computing Education Research”&lt;/b&gt; book by Springer: &lt;a href="https://cerbook.org/"&gt;https://cerbook.org&lt;/a&gt;</t>
  </si>
  <si>
    <t>https://github.com/sonsoleslp/tna/raw/main/man/figures/logo.png</t>
  </si>
  <si>
    <t>cograph</t>
  </si>
  <si>
    <t>cograph is a modern R package for the analysis, visualization, and manipulation of complex networks. It provides publication-ready plotting with customizable layouts, node shapes, edge styles, and themes through an intuitive, pipe-friendly API. It includes first-class support for Transition Network Analysis (TNA), multilayer networks, and community detection.</t>
  </si>
  <si>
    <t>https://github.com/sonsoleslp/cograph</t>
  </si>
  <si>
    <t>Member of the Organizing Committee and proceedings editor of the &lt;b&gt;Networks and Learning Analytics Workshop (NetSciLA22)&lt;/b&gt; co-located with the &lt;b&gt;Learning Analytics and Knowledge conference (LAK 2022)&lt;/b&gt; in CEUR</t>
  </si>
  <si>
    <t>https://sonsoles.me/cograph</t>
  </si>
  <si>
    <t>https://sonsoles.me/cograph/reference/figures/logo.png</t>
  </si>
  <si>
    <t>Member of the Organizing Committee and proceedings editor of the &lt;b&gt;Finnish Learning Analytics and Artificial Intelligence in Education Conference (FLAIEC)&lt;/b&gt; in CEUR</t>
  </si>
  <si>
    <t>Senior member of the Program Committee of the &lt;b&gt;Artificial Intelligence in Education (AIED)&lt;/b&gt; Conference</t>
  </si>
  <si>
    <t>litReview</t>
  </si>
  <si>
    <t>litReview is an R package to summarize and visualize categorical data extracted during a literature review. Every plot function returns a standard ggplot that can be customized with +. Column names can be passed bare or quoted.</t>
  </si>
  <si>
    <t>https://github.com/sonsoleslp/litReview</t>
  </si>
  <si>
    <t>https://sonsoleslp.shinyapps.io/litReview/</t>
  </si>
  <si>
    <t>Topic editor in “Towards 2030: Sustainable Development Goal 10: Reduced Inequalities. An Educational Perspective” of the &lt;b&gt;Frontiers in Education&lt;/b&gt; journal</t>
  </si>
  <si>
    <t>2021-Now</t>
  </si>
  <si>
    <t>Academic Editor at &lt;b&gt;International Journal of Health Sciences (IJHS)&lt;/b&gt;</t>
  </si>
  <si>
    <r>
      <rPr>
        <color rgb="FF1155CC"/>
        <u/>
      </rPr>
      <t>https://sonsoles.me/litReview</t>
    </r>
    <r>
      <rPr/>
      <t xml:space="preserve"> </t>
    </r>
  </si>
  <si>
    <t>Guest editor in the Special Issue “The Future of Educational Technology” of the &lt;b&gt;Education Sciences&lt;/b&gt; journal</t>
  </si>
  <si>
    <t>https://sonsoles.me/litReview/logo.png</t>
  </si>
  <si>
    <t>2020-2021</t>
  </si>
  <si>
    <t>Guest editor in the Special Issue “E-learning Trends and Opportunities” of the &lt;b&gt;Education Sciences&lt;/b&gt; journal</t>
  </si>
  <si>
    <t>discord-ai-bot</t>
  </si>
  <si>
    <t>A Discord bot that integrates multiple LLM backends (OpenAI, Anthropic, Mistral) with xAPI Learning Record Store logging for learning analytics.</t>
  </si>
  <si>
    <t>https://github.com/sonsoleslp/discord-ai-bot</t>
  </si>
  <si>
    <t>On-going</t>
  </si>
  <si>
    <t>Reviewer for the several journals: British Journal of Educational Technology, Computers &amp; Education,  Computers in human behavior,  Education and information technologies, Computer Applications in Engineering Education, IEEE transactions on learning technologies,  Learning and individual differences, Journal of Learning Analytics, Frontiers in Education, Interactive Learning Environments, Australasian Journal of Educational Technology,  SAGE Open, Journal of Mathematical Behavior, ACM Transactions on Computing Education, and Journal of Learning Analytics,  Journal of computing in higher education, IEEE Access, PLoS One, among others</t>
  </si>
  <si>
    <t>Founding member of the WOFE (WOman FEmale) Community which aims to provide a safe and supportive space for students and staff to share their ideas, experiences, and challenges, with a special focus on fostering conversations around gender equality in STEM</t>
  </si>
  <si>
    <t>https://github.com/sonsoleslp/discord-ai-bot/blob/main/logo.png?raw=true</t>
  </si>
  <si>
    <t xml:space="preserve">Women in Engineering panelist at ICALT 2024 </t>
  </si>
  <si>
    <t>PhD Thesis pre-examiner at University of Helsinki</t>
  </si>
  <si>
    <t>Theses</t>
  </si>
  <si>
    <t>Developed an &lt;a target="_blank" href="https://escaperoom.maldita.es/"&gt;educational escape room&lt;/a&gt; to fight against misinformation about migrants. Done in the context of a collaboration with Maldita.es based on the Escapp platform</t>
  </si>
  <si>
    <t>PhD Thesis pre-examiner and defense committee member at Universidad de Salamanca (Spain)</t>
  </si>
  <si>
    <t>chatgptscrapeR</t>
  </si>
  <si>
    <t>An R package to scrape conversations from publicly shared ChatGPT links</t>
  </si>
  <si>
    <t>https://github.com/sonsoleslp/chatgptscrapeR</t>
  </si>
  <si>
    <t>Grant Reviewer for the Spanish Agencia Estatal de Investigación</t>
  </si>
  <si>
    <t>Grants</t>
  </si>
  <si>
    <t>https://github.com/sonsoleslp/chatgptscrapeR/blob/main/logo.png?raw=true</t>
  </si>
  <si>
    <t>Grant Reviewer for the Swiss National Science Foundation</t>
  </si>
  <si>
    <t>csv2xapi</t>
  </si>
  <si>
    <t>Webapp to send CSV data to an LRS in the xAPI format. The application takes both wide data and long data formats. It has been developed using R Shiny.</t>
  </si>
  <si>
    <t>https://github.com/sonsoleslp/csv2xAPI</t>
  </si>
  <si>
    <t>Grant Reviewer for the Latvian Council of Science</t>
  </si>
  <si>
    <t>https://youtu.be/OoPYZcQ5YEc</t>
  </si>
  <si>
    <t xml:space="preserve">Grant Reviewer for the French National Research Agency (ANR) </t>
  </si>
  <si>
    <t>Grant Reviewer for Novus-Living Lab-Experiential Classroom funding proposals at Tecnológico de Monterrey (Mexico)</t>
  </si>
  <si>
    <t>https://sonsoleslp.shinyapps.io/csv2xapi/</t>
  </si>
  <si>
    <t>Grant Reviewer for SOLAR ECR Research Grants</t>
  </si>
  <si>
    <t>Ediphy</t>
  </si>
  <si>
    <t>Ediphy is an online e-Learning authoring tool that allows you to create online educational resources with a wide variety of content.  It is developed in Javascript (ES6), along with tools such as Rect &amp; Redux.</t>
  </si>
  <si>
    <t>https://github.com/ging/ediphy</t>
  </si>
  <si>
    <t>Grant Reviewer for Discovery Grant funding proposals at Natural Sciences and Engineering Research Council of Canada</t>
  </si>
  <si>
    <t>IEEE P3722 Guide for Responsible Artificial Intelligence (AI) in Higher Education Working Group Member (IEEE Education Society)</t>
  </si>
  <si>
    <t>Scientific societies</t>
  </si>
  <si>
    <t>IEEE TCLT ExCom Member</t>
  </si>
  <si>
    <t>https://ging.github.io/ediphy/#/</t>
  </si>
  <si>
    <t>IEEE TCLT Award Committee Chair</t>
  </si>
  <si>
    <t>RESCORM generator</t>
  </si>
  <si>
    <t>Web application that allows to create web quizzes by providing a valid Moodle XML file containing the pool of questions. It has been developed using React.js.</t>
  </si>
  <si>
    <t>https://github.com/sonsoleslp/RESCORM-quiz-generator</t>
  </si>
  <si>
    <t>UEF DIGS Research Community Director</t>
  </si>
  <si>
    <t>https://sonsoleslp.github.io/RESCORM-quiz-generator/</t>
  </si>
  <si>
    <t>UEF DIGS Research Community Steering Group board member</t>
  </si>
  <si>
    <t>2024-2027</t>
  </si>
  <si>
    <t>IEEE TCLT Award Committee Member</t>
  </si>
  <si>
    <t>react-click-n-hold</t>
  </si>
  <si>
    <t>React.js library for long click events in the browser. The library has thousands of downloads in npm and tens of stars on Github.</t>
  </si>
  <si>
    <t>https://github.com/sonsoleslp/react-click-n-hold</t>
  </si>
  <si>
    <t>PhD Thesis pre-examiner and defense committee member at Universidad de Murcia (Spain)</t>
  </si>
  <si>
    <t>PhD Thesis pre-examiner at Universidad de Murcia (Spain)</t>
  </si>
  <si>
    <t>http://sonsoleslp.github.io/react-click-n-hold/</t>
  </si>
  <si>
    <t>PhD Thesis pre-examiner and defense committee member at Universidad de Cádiz (Spain)</t>
  </si>
  <si>
    <t>Aiken2MoodleXML</t>
  </si>
  <si>
    <t>PhD Thesis pre-examiner and defense committee member at Universidad de León (Spain)</t>
  </si>
  <si>
    <t>This application is available as a npm package and through a web UI. It allows to convert quiz questions from the Aiken format (almost like plaint text) into the MoodleXML format</t>
  </si>
  <si>
    <t>https://github.com/sonsoleslp/aiken-to-moodlexml</t>
  </si>
  <si>
    <t>2023-2025</t>
  </si>
  <si>
    <t xml:space="preserve">Grant Reviewer for funding proposals for the Swiss National Science Foundation (SNSF) </t>
  </si>
  <si>
    <t>https://cyberaula.github.io/quiz-converter/</t>
  </si>
  <si>
    <t>Grant Reviewer for Comenius Leadership Fellows 2023</t>
  </si>
  <si>
    <t>FIWARE Cosmos connector</t>
  </si>
  <si>
    <t>FIWARE Big data Generic Enabler. It allows to receive data coming from a subscription to the FIWARE Context Broker directly within an Apache Spark or Apache Flink program in Scala</t>
  </si>
  <si>
    <t>https://github.com/ging/fiware-cosmos</t>
  </si>
  <si>
    <t>https://www.youtube.com/watch?v=n6XN89VSZNg</t>
  </si>
  <si>
    <t>R</t>
  </si>
  <si>
    <t>NEW</t>
  </si>
  <si>
    <t>tsn</t>
  </si>
  <si>
    <t>needs update</t>
  </si>
  <si>
    <t>simulab</t>
  </si>
  <si>
    <t>hypernets</t>
  </si>
  <si>
    <t>idiographic</t>
  </si>
  <si>
    <t>vasstra</t>
  </si>
  <si>
    <t>dyna</t>
  </si>
  <si>
    <t>sbert</t>
  </si>
  <si>
    <t>dynarules</t>
  </si>
  <si>
    <t>stable</t>
  </si>
  <si>
    <t>multiLPA</t>
  </si>
  <si>
    <t>Nestimate</t>
  </si>
  <si>
    <t>Saqrmisc</t>
  </si>
  <si>
    <t>cooccure</t>
  </si>
  <si>
    <t>transitiontrees</t>
  </si>
  <si>
    <t>codyna</t>
  </si>
  <si>
    <t>lagdynamics</t>
  </si>
  <si>
    <t>bibnets</t>
  </si>
  <si>
    <t>snakeplot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</si>
</sst>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 [$€-1]"/>
    <numFmt numFmtId="165" formatCode="#,##0.00&quot;€&quot;"/>
  </numFmts>
  <fonts count="88">
    <font>
      <sz val="10.0"/>
      <color rgb="FF000000"/>
      <name val="Arial"/>
      <scheme val="minor"/>
    </font>
    <font>
      <b/>
      <color rgb="FF000000"/>
      <name val="Arial"/>
    </font>
    <font>
      <b/>
      <sz val="10.0"/>
      <color rgb="FF000000"/>
      <name val="Arial"/>
    </font>
    <font>
      <color rgb="FF000000"/>
      <name val="Arial"/>
    </font>
    <font>
      <color theme="1"/>
      <name val="Arial"/>
      <scheme val="minor"/>
    </font>
    <font>
      <b/>
      <sz val="10.0"/>
      <color theme="1"/>
      <name val="Arial"/>
    </font>
    <font>
      <b/>
      <color theme="1"/>
      <name val="Arial"/>
    </font>
    <font>
      <color rgb="FF6AA84F"/>
      <name val="Arial"/>
    </font>
    <font>
      <color rgb="FFFF0000"/>
      <name val="Arial"/>
      <scheme val="minor"/>
    </font>
    <font>
      <sz val="10.0"/>
      <color theme="1"/>
      <name val="Arial"/>
    </font>
    <font>
      <color theme="1"/>
      <name val="Arial"/>
    </font>
    <font>
      <sz val="10.0"/>
      <color rgb="FF000000"/>
      <name val="Arial"/>
    </font>
    <font>
      <u/>
      <sz val="10.0"/>
      <color theme="4"/>
      <name val="Arial"/>
    </font>
    <font>
      <color rgb="FFFF9900"/>
      <name val="Arial"/>
      <scheme val="minor"/>
    </font>
    <font>
      <u/>
      <sz val="13.0"/>
      <color rgb="FF000000"/>
      <name val="Arial"/>
    </font>
    <font>
      <sz val="13.0"/>
      <color rgb="FF000000"/>
      <name val="Arial"/>
    </font>
    <font>
      <color rgb="FF000000"/>
      <name val="Arial"/>
      <scheme val="minor"/>
    </font>
    <font>
      <color rgb="FF6AA84F"/>
      <name val="Arial"/>
      <scheme val="minor"/>
    </font>
    <font>
      <color rgb="FF38761D"/>
      <name val="Arial"/>
      <scheme val="minor"/>
    </font>
    <font>
      <color rgb="FF0000FF"/>
      <name val="Arial"/>
      <scheme val="minor"/>
    </font>
    <font>
      <b/>
      <color theme="1"/>
      <name val="Arial"/>
      <scheme val="minor"/>
    </font>
    <font>
      <strike/>
      <sz val="13.0"/>
      <color rgb="FF000000"/>
      <name val="'Open Sans'"/>
    </font>
    <font>
      <sz val="13.0"/>
      <color rgb="FF000000"/>
      <name val="'Open Sans'"/>
    </font>
    <font>
      <b/>
      <sz val="13.0"/>
      <color rgb="FF000000"/>
      <name val="'Open Sans'"/>
    </font>
    <font>
      <u/>
      <sz val="10.0"/>
      <color theme="4"/>
      <name val="Arial"/>
    </font>
    <font>
      <sz val="10.0"/>
      <color rgb="FF333333"/>
      <name val="Arial"/>
    </font>
    <font>
      <sz val="10.0"/>
      <color theme="4"/>
      <name val="Arial"/>
    </font>
    <font>
      <sz val="10.0"/>
      <color rgb="FF2E2E2E"/>
      <name val="Arial"/>
    </font>
    <font>
      <u/>
      <sz val="10.0"/>
      <color theme="4"/>
      <name val="Arial"/>
    </font>
    <font>
      <sz val="11.0"/>
      <color theme="1"/>
      <name val="Arial"/>
    </font>
    <font>
      <sz val="10.0"/>
      <color rgb="FF111111"/>
      <name val="Arial"/>
    </font>
    <font>
      <u/>
      <sz val="10.0"/>
      <color theme="4"/>
      <name val="Arial"/>
    </font>
    <font>
      <sz val="11.0"/>
      <color rgb="FF000000"/>
      <name val="Arial"/>
    </font>
    <font>
      <u/>
      <sz val="10.0"/>
      <color theme="4"/>
      <name val="Arial"/>
    </font>
    <font>
      <sz val="9.0"/>
      <color rgb="FF000000"/>
      <name val="&quot;Times New Roman&quot;"/>
    </font>
    <font>
      <u/>
      <sz val="10.0"/>
      <color rgb="FF000000"/>
      <name val="Arial"/>
    </font>
    <font>
      <sz val="10.0"/>
      <color rgb="FF222222"/>
      <name val="Arial"/>
    </font>
    <font>
      <sz val="10.0"/>
      <color rgb="FF242424"/>
      <name val="Arial"/>
    </font>
    <font>
      <sz val="10.0"/>
      <color theme="1"/>
      <name val="Arial"/>
      <scheme val="minor"/>
    </font>
    <font>
      <sz val="11.0"/>
      <color theme="1"/>
      <name val="Arial"/>
      <scheme val="minor"/>
    </font>
    <font>
      <u/>
      <sz val="10.0"/>
      <color rgb="FF0000FF"/>
      <name val="Arial"/>
    </font>
    <font>
      <sz val="10.0"/>
      <color rgb="FF1F1F1F"/>
      <name val="Arial"/>
    </font>
    <font>
      <sz val="10.0"/>
      <color rgb="FF131314"/>
      <name val="Arial"/>
    </font>
    <font>
      <sz val="10.0"/>
      <color rgb="FF000102"/>
      <name val="Arial"/>
    </font>
    <font>
      <sz val="10.0"/>
      <color rgb="FF1F1F1F"/>
      <name val="ElsevierSans"/>
    </font>
    <font>
      <u/>
      <sz val="10.0"/>
      <color rgb="FF0272B1"/>
      <name val="Arial"/>
    </font>
    <font>
      <sz val="10.0"/>
      <color rgb="FF1F1F1F"/>
      <name val="ElsevierGulliver"/>
    </font>
    <font>
      <u/>
      <sz val="10.0"/>
      <color theme="4"/>
      <name val="Arial"/>
    </font>
    <font>
      <u/>
      <sz val="10.0"/>
      <color rgb="FF008CBA"/>
      <name val="Arial"/>
    </font>
    <font>
      <sz val="10.0"/>
      <color rgb="FF1F1F1F"/>
      <name val="&quot;Google Sans&quot;"/>
    </font>
    <font>
      <u/>
      <sz val="10.0"/>
      <color rgb="FF0000FF"/>
      <name val="Arial"/>
    </font>
    <font>
      <u/>
      <sz val="10.0"/>
      <color rgb="FF00629B"/>
      <name val="Arial"/>
    </font>
    <font>
      <u/>
      <sz val="10.0"/>
      <color rgb="FF0000FF"/>
      <name val="Arial"/>
    </font>
    <font>
      <u/>
      <sz val="10.0"/>
      <color rgb="FF0000FF"/>
      <name val="Arial"/>
    </font>
    <font>
      <u/>
      <sz val="10.0"/>
      <color rgb="FF0000FF"/>
      <name val="Arial"/>
    </font>
    <font>
      <u/>
      <sz val="10.0"/>
      <color rgb="FF428BCA"/>
      <name val="Arial"/>
    </font>
    <font>
      <u/>
      <sz val="10.0"/>
      <color rgb="FF0272B1"/>
      <name val="Arial"/>
    </font>
    <font>
      <i/>
      <color theme="1"/>
      <name val="Arial"/>
      <scheme val="minor"/>
    </font>
    <font>
      <u/>
      <sz val="10.0"/>
      <color rgb="FF000000"/>
      <name val="Arial"/>
    </font>
    <font>
      <u/>
      <sz val="10.0"/>
      <color rgb="FF0000FF"/>
      <name val="Arial"/>
    </font>
    <font>
      <color rgb="FF000000"/>
      <name val="&quot;Lucida Grande&quot;"/>
    </font>
    <font>
      <color rgb="FF333333"/>
      <name val="Arial"/>
    </font>
    <font>
      <color rgb="FFFF0000"/>
      <name val="Arial"/>
    </font>
    <font>
      <u/>
      <sz val="10.0"/>
      <color rgb="FF006798"/>
      <name val="Arial"/>
    </font>
    <font>
      <sz val="9.0"/>
      <color theme="1"/>
      <name val="&quot;Google Sans&quot;"/>
    </font>
    <font>
      <color rgb="FF333333"/>
      <name val="&quot;Lucida Grande&quot;"/>
    </font>
    <font>
      <u/>
      <sz val="9.0"/>
      <color rgb="FF0000FF"/>
      <name val="&quot;Google Sans&quot;"/>
    </font>
    <font>
      <u/>
      <color rgb="FF0000FF"/>
    </font>
    <font>
      <sz val="10.0"/>
      <color rgb="FF000000"/>
      <name val="&quot;Open Sans&quot;"/>
    </font>
    <font>
      <u/>
      <sz val="10.0"/>
      <color rgb="FF000000"/>
      <name val="Arial"/>
    </font>
    <font>
      <sz val="12.0"/>
      <color rgb="FF000000"/>
      <name val="Arial"/>
    </font>
    <font>
      <u/>
      <color rgb="FF0000FF"/>
    </font>
    <font>
      <u/>
      <sz val="10.0"/>
      <color rgb="FF525254"/>
      <name val="Arial"/>
    </font>
    <font>
      <u/>
      <sz val="10.0"/>
      <color rgb="FF0000FF"/>
      <name val="Arial"/>
    </font>
    <font>
      <u/>
      <sz val="11.0"/>
      <color rgb="FF0000FF"/>
      <name val="&quot;Open Sans&quot;"/>
    </font>
    <font>
      <u/>
      <color rgb="FF000000"/>
    </font>
    <font>
      <u/>
      <color rgb="FF0000FF"/>
    </font>
    <font>
      <u/>
      <color rgb="FF1155CC"/>
      <name val="Arial"/>
      <scheme val="minor"/>
    </font>
    <font>
      <u/>
      <color rgb="FF000000"/>
    </font>
    <font>
      <u/>
      <sz val="11.0"/>
      <color rgb="FF525254"/>
      <name val="&quot;Inter Var&quot;"/>
    </font>
    <font>
      <sz val="14.0"/>
      <color rgb="FF000000"/>
      <name val="&quot;Open Sans&quot;"/>
    </font>
    <font>
      <color rgb="FF222222"/>
      <name val="&quot;Merriweather Sans&quot;"/>
    </font>
    <font>
      <sz val="11.0"/>
      <color rgb="FF242424"/>
      <name val="Arial"/>
    </font>
    <font>
      <u/>
      <color rgb="FF0000FF"/>
    </font>
    <font>
      <color theme="1"/>
      <name val="Anonymous Pro"/>
    </font>
    <font>
      <color rgb="FF0000FF"/>
    </font>
    <font>
      <color rgb="FF000000"/>
      <name val="Anonymous Pro"/>
    </font>
    <font>
      <b/>
      <u/>
      <color theme="1"/>
      <name val="Arial"/>
      <scheme val="minor"/>
    </font>
  </fonts>
  <fills count="10">
    <fill>
      <patternFill patternType="none"/>
    </fill>
    <fill>
      <patternFill patternType="lightGray"/>
    </fill>
    <fill>
      <patternFill patternType="solid">
        <fgColor rgb="FFFCFCFC"/>
        <bgColor rgb="FFFCFCFC"/>
      </patternFill>
    </fill>
    <fill>
      <patternFill patternType="solid">
        <fgColor rgb="FFFFFFFF"/>
        <bgColor rgb="FFFFFFFF"/>
      </patternFill>
    </fill>
    <fill>
      <patternFill patternType="solid">
        <fgColor rgb="FFF9F9E9"/>
        <bgColor rgb="FFF9F9E9"/>
      </patternFill>
    </fill>
    <fill>
      <patternFill patternType="solid">
        <fgColor rgb="FFF0FEFF"/>
        <bgColor rgb="FFF0FEFF"/>
      </patternFill>
    </fill>
    <fill>
      <patternFill patternType="solid">
        <fgColor rgb="FFD9D9D9"/>
        <bgColor rgb="FFD9D9D9"/>
      </patternFill>
    </fill>
    <fill>
      <patternFill patternType="solid">
        <fgColor rgb="FFE2EDE4"/>
        <bgColor rgb="FFE2EDE4"/>
      </patternFill>
    </fill>
    <fill>
      <patternFill patternType="solid">
        <fgColor rgb="FFDBF8F5"/>
        <bgColor rgb="FFDBF8F5"/>
      </patternFill>
    </fill>
    <fill>
      <patternFill patternType="solid">
        <fgColor rgb="FFC4F2EF"/>
        <bgColor rgb="FFC4F2EF"/>
      </patternFill>
    </fill>
  </fills>
  <borders count="2">
    <border/>
    <border>
      <bottom style="thin">
        <color rgb="FF000000"/>
      </bottom>
    </border>
  </borders>
  <cellStyleXfs count="1">
    <xf borderId="0" fillId="0" fontId="0" numFmtId="0" applyAlignment="1" applyFont="1"/>
  </cellStyleXfs>
  <cellXfs count="307">
    <xf borderId="0" fillId="0" fontId="0" numFmtId="0" xfId="0" applyAlignment="1" applyFont="1">
      <alignment readingOrder="0" shrinkToFit="0" vertical="bottom" wrapText="0"/>
    </xf>
    <xf borderId="0" fillId="0" fontId="1" numFmtId="49" xfId="0" applyAlignment="1" applyFont="1" applyNumberFormat="1">
      <alignment readingOrder="0" shrinkToFit="0" vertical="bottom" wrapText="0"/>
    </xf>
    <xf borderId="0" fillId="0" fontId="2" numFmtId="49" xfId="0" applyAlignment="1" applyFont="1" applyNumberFormat="1">
      <alignment horizontal="left" readingOrder="0" shrinkToFit="0" vertical="bottom" wrapText="0"/>
    </xf>
    <xf borderId="0" fillId="0" fontId="3" numFmtId="49" xfId="0" applyAlignment="1" applyFont="1" applyNumberFormat="1">
      <alignment readingOrder="0" shrinkToFit="0" vertical="bottom" wrapText="0"/>
    </xf>
    <xf borderId="0" fillId="0" fontId="2" numFmtId="49" xfId="0" applyAlignment="1" applyFont="1" applyNumberFormat="1">
      <alignment horizontal="center" readingOrder="0" shrinkToFit="0" vertical="bottom" wrapText="0"/>
    </xf>
    <xf borderId="0" fillId="0" fontId="2" numFmtId="49" xfId="0" applyAlignment="1" applyFont="1" applyNumberFormat="1">
      <alignment horizontal="left" readingOrder="0" shrinkToFit="0" vertical="bottom" wrapText="0"/>
    </xf>
    <xf borderId="0" fillId="0" fontId="4" numFmtId="0" xfId="0" applyAlignment="1" applyFont="1">
      <alignment readingOrder="0"/>
    </xf>
    <xf borderId="0" fillId="0" fontId="2" numFmtId="49" xfId="0" applyAlignment="1" applyFont="1" applyNumberFormat="1">
      <alignment horizontal="right" readingOrder="0" shrinkToFit="0" vertical="bottom" wrapText="0"/>
    </xf>
    <xf borderId="0" fillId="0" fontId="4" numFmtId="49" xfId="0" applyFont="1" applyNumberFormat="1"/>
    <xf borderId="0" fillId="0" fontId="2" numFmtId="49" xfId="0" applyAlignment="1" applyFont="1" applyNumberFormat="1">
      <alignment horizontal="left" readingOrder="0" shrinkToFit="0" vertical="bottom" wrapText="0"/>
    </xf>
    <xf borderId="0" fillId="0" fontId="5" numFmtId="49" xfId="0" applyAlignment="1" applyFont="1" applyNumberFormat="1">
      <alignment horizontal="left" readingOrder="0"/>
    </xf>
    <xf borderId="0" fillId="0" fontId="2" numFmtId="49" xfId="0" applyAlignment="1" applyFont="1" applyNumberFormat="1">
      <alignment horizontal="left" readingOrder="0" shrinkToFit="0" vertical="bottom" wrapText="0"/>
    </xf>
    <xf borderId="0" fillId="0" fontId="5" numFmtId="49" xfId="0" applyAlignment="1" applyFont="1" applyNumberFormat="1">
      <alignment horizontal="center" readingOrder="0"/>
    </xf>
    <xf borderId="0" fillId="0" fontId="6" numFmtId="49" xfId="0" applyAlignment="1" applyFont="1" applyNumberFormat="1">
      <alignment horizontal="center" readingOrder="0"/>
    </xf>
    <xf borderId="1" fillId="0" fontId="6" numFmtId="49" xfId="0" applyBorder="1" applyFont="1" applyNumberFormat="1"/>
    <xf borderId="0" fillId="0" fontId="6" numFmtId="49" xfId="0" applyFont="1" applyNumberFormat="1"/>
    <xf borderId="0" fillId="0" fontId="7" numFmtId="49" xfId="0" applyAlignment="1" applyFont="1" applyNumberFormat="1">
      <alignment horizontal="center" readingOrder="0"/>
    </xf>
    <xf borderId="0" fillId="0" fontId="8" numFmtId="0" xfId="0" applyAlignment="1" applyFont="1">
      <alignment readingOrder="0"/>
    </xf>
    <xf borderId="0" fillId="0" fontId="4" numFmtId="49" xfId="0" applyAlignment="1" applyFont="1" applyNumberFormat="1">
      <alignment horizontal="center" readingOrder="0"/>
    </xf>
    <xf borderId="0" fillId="0" fontId="9" numFmtId="49" xfId="0" applyAlignment="1" applyFont="1" applyNumberFormat="1">
      <alignment readingOrder="0" vertical="bottom"/>
    </xf>
    <xf borderId="0" fillId="0" fontId="9" numFmtId="49" xfId="0" applyAlignment="1" applyFont="1" applyNumberFormat="1">
      <alignment readingOrder="0" shrinkToFit="0" vertical="bottom" wrapText="0"/>
    </xf>
    <xf borderId="0" fillId="0" fontId="10" numFmtId="49" xfId="0" applyAlignment="1" applyFont="1" applyNumberFormat="1">
      <alignment horizontal="right"/>
    </xf>
    <xf borderId="0" fillId="0" fontId="9" numFmtId="49" xfId="0" applyAlignment="1" applyFont="1" applyNumberFormat="1">
      <alignment horizontal="right" readingOrder="0" vertical="bottom"/>
    </xf>
    <xf borderId="0" fillId="0" fontId="10" numFmtId="49" xfId="0" applyAlignment="1" applyFont="1" applyNumberFormat="1">
      <alignment readingOrder="0"/>
    </xf>
    <xf borderId="0" fillId="0" fontId="9" numFmtId="49" xfId="0" applyAlignment="1" applyFont="1" applyNumberFormat="1">
      <alignment vertical="bottom"/>
    </xf>
    <xf borderId="0" fillId="0" fontId="4" numFmtId="0" xfId="0" applyAlignment="1" applyFont="1">
      <alignment horizontal="center"/>
    </xf>
    <xf borderId="0" fillId="0" fontId="4" numFmtId="0" xfId="0" applyAlignment="1" applyFont="1">
      <alignment horizontal="center" readingOrder="0"/>
    </xf>
    <xf borderId="0" fillId="0" fontId="11" numFmtId="49" xfId="0" applyAlignment="1" applyFont="1" applyNumberFormat="1">
      <alignment readingOrder="0" shrinkToFit="0" vertical="bottom" wrapText="0"/>
    </xf>
    <xf borderId="0" fillId="0" fontId="12" numFmtId="49" xfId="0" applyAlignment="1" applyFont="1" applyNumberFormat="1">
      <alignment vertical="bottom"/>
    </xf>
    <xf borderId="0" fillId="0" fontId="11" numFmtId="49" xfId="0" applyAlignment="1" applyFont="1" applyNumberFormat="1">
      <alignment horizontal="left" readingOrder="0" shrinkToFit="0" vertical="bottom" wrapText="0"/>
    </xf>
    <xf borderId="0" fillId="0" fontId="9" numFmtId="49" xfId="0" applyAlignment="1" applyFont="1" applyNumberFormat="1">
      <alignment horizontal="left" readingOrder="0"/>
    </xf>
    <xf borderId="0" fillId="0" fontId="13" numFmtId="0" xfId="0" applyAlignment="1" applyFont="1">
      <alignment readingOrder="0"/>
    </xf>
    <xf borderId="0" fillId="0" fontId="9" numFmtId="49" xfId="0" applyAlignment="1" applyFont="1" applyNumberFormat="1">
      <alignment horizontal="center" readingOrder="0" vertical="bottom"/>
    </xf>
    <xf borderId="0" fillId="0" fontId="9" numFmtId="49" xfId="0" applyAlignment="1" applyFont="1" applyNumberFormat="1">
      <alignment horizontal="center" readingOrder="0"/>
    </xf>
    <xf borderId="0" fillId="0" fontId="14" numFmtId="49" xfId="0" applyAlignment="1" applyFont="1" applyNumberFormat="1">
      <alignment readingOrder="0" shrinkToFit="0" vertical="bottom" wrapText="1"/>
    </xf>
    <xf borderId="0" fillId="0" fontId="10" numFmtId="49" xfId="0" applyFont="1" applyNumberFormat="1"/>
    <xf borderId="0" fillId="0" fontId="15" numFmtId="49" xfId="0" applyAlignment="1" applyFont="1" applyNumberFormat="1">
      <alignment readingOrder="0" shrinkToFit="0" vertical="top" wrapText="1"/>
    </xf>
    <xf borderId="0" fillId="0" fontId="16" numFmtId="0" xfId="0" applyAlignment="1" applyFont="1">
      <alignment readingOrder="0"/>
    </xf>
    <xf borderId="0" fillId="0" fontId="17" numFmtId="0" xfId="0" applyAlignment="1" applyFont="1">
      <alignment readingOrder="0"/>
    </xf>
    <xf borderId="0" fillId="0" fontId="16" numFmtId="49" xfId="0" applyAlignment="1" applyFont="1" applyNumberFormat="1">
      <alignment horizontal="center" readingOrder="0"/>
    </xf>
    <xf borderId="0" fillId="0" fontId="16" numFmtId="0" xfId="0" applyFont="1"/>
    <xf borderId="0" fillId="0" fontId="9" numFmtId="49" xfId="0" applyAlignment="1" applyFont="1" applyNumberFormat="1">
      <alignment horizontal="right" vertical="bottom"/>
    </xf>
    <xf borderId="0" fillId="0" fontId="16" numFmtId="0" xfId="0" applyAlignment="1" applyFont="1">
      <alignment horizontal="center" readingOrder="0"/>
    </xf>
    <xf borderId="0" fillId="0" fontId="11" numFmtId="49" xfId="0" applyAlignment="1" applyFont="1" applyNumberFormat="1">
      <alignment shrinkToFit="0" vertical="bottom" wrapText="0"/>
    </xf>
    <xf borderId="0" fillId="0" fontId="3" numFmtId="49" xfId="0" applyAlignment="1" applyFont="1" applyNumberFormat="1">
      <alignment shrinkToFit="0" vertical="bottom" wrapText="0"/>
    </xf>
    <xf borderId="0" fillId="0" fontId="16" numFmtId="0" xfId="0" applyAlignment="1" applyFont="1">
      <alignment horizontal="center"/>
    </xf>
    <xf borderId="0" fillId="0" fontId="3" numFmtId="49" xfId="0" applyAlignment="1" applyFont="1" applyNumberFormat="1">
      <alignment shrinkToFit="0" vertical="bottom" wrapText="0"/>
    </xf>
    <xf borderId="0" fillId="0" fontId="4" numFmtId="49" xfId="0" applyAlignment="1" applyFont="1" applyNumberFormat="1">
      <alignment horizontal="center"/>
    </xf>
    <xf borderId="0" fillId="0" fontId="9" numFmtId="49" xfId="0" applyAlignment="1" applyFont="1" applyNumberFormat="1">
      <alignment shrinkToFit="0" vertical="bottom" wrapText="0"/>
    </xf>
    <xf borderId="0" fillId="0" fontId="9" numFmtId="49" xfId="0" applyAlignment="1" applyFont="1" applyNumberFormat="1">
      <alignment horizontal="center"/>
    </xf>
    <xf borderId="0" fillId="0" fontId="18" numFmtId="0" xfId="0" applyAlignment="1" applyFont="1">
      <alignment readingOrder="0"/>
    </xf>
    <xf borderId="0" fillId="0" fontId="19" numFmtId="0" xfId="0" applyAlignment="1" applyFont="1">
      <alignment readingOrder="0"/>
    </xf>
    <xf borderId="0" fillId="0" fontId="20" numFmtId="0" xfId="0" applyAlignment="1" applyFont="1">
      <alignment readingOrder="0"/>
    </xf>
    <xf borderId="0" fillId="0" fontId="21" numFmtId="0" xfId="0" applyAlignment="1" applyFont="1">
      <alignment readingOrder="0"/>
    </xf>
    <xf borderId="0" fillId="0" fontId="22" numFmtId="0" xfId="0" applyAlignment="1" applyFont="1">
      <alignment readingOrder="0"/>
    </xf>
    <xf borderId="0" fillId="0" fontId="23" numFmtId="0" xfId="0" applyAlignment="1" applyFont="1">
      <alignment readingOrder="0"/>
    </xf>
    <xf borderId="0" fillId="0" fontId="24" numFmtId="49" xfId="0" applyAlignment="1" applyFont="1" applyNumberFormat="1">
      <alignment readingOrder="0" vertical="bottom"/>
    </xf>
    <xf borderId="0" fillId="2" fontId="25" numFmtId="49" xfId="0" applyAlignment="1" applyFill="1" applyFont="1" applyNumberFormat="1">
      <alignment vertical="bottom"/>
    </xf>
    <xf borderId="0" fillId="2" fontId="25" numFmtId="49" xfId="0" applyAlignment="1" applyFill="1" applyFont="1" applyNumberFormat="1">
      <alignment readingOrder="0" shrinkToFit="0" vertical="bottom" wrapText="0"/>
    </xf>
    <xf borderId="0" fillId="3" fontId="9" numFmtId="49" xfId="0" applyAlignment="1" applyFill="1" applyFont="1" applyNumberFormat="1">
      <alignment horizontal="right" vertical="bottom"/>
    </xf>
    <xf borderId="0" fillId="0" fontId="11" numFmtId="49" xfId="0" applyAlignment="1" applyFont="1" applyNumberFormat="1">
      <alignment horizontal="left" readingOrder="0" shrinkToFit="0" vertical="bottom" wrapText="0"/>
    </xf>
    <xf borderId="0" fillId="0" fontId="26" numFmtId="49" xfId="0" applyAlignment="1" applyFont="1" applyNumberFormat="1">
      <alignment vertical="bottom"/>
    </xf>
    <xf borderId="0" fillId="2" fontId="25" numFmtId="49" xfId="0" applyAlignment="1" applyFill="1" applyFont="1" applyNumberFormat="1">
      <alignment horizontal="center" readingOrder="0" vertical="bottom"/>
    </xf>
    <xf borderId="0" fillId="0" fontId="9" numFmtId="49" xfId="0" applyAlignment="1" applyFont="1" applyNumberFormat="1">
      <alignment horizontal="center" vertical="bottom"/>
    </xf>
    <xf borderId="0" fillId="0" fontId="10" numFmtId="49" xfId="0" applyAlignment="1" applyFont="1" applyNumberFormat="1">
      <alignment vertical="bottom"/>
    </xf>
    <xf borderId="0" fillId="0" fontId="11" numFmtId="49" xfId="0" applyAlignment="1" applyFont="1" applyNumberFormat="1">
      <alignment horizontal="left" readingOrder="0" shrinkToFit="0" vertical="bottom" wrapText="0"/>
    </xf>
    <xf borderId="0" fillId="0" fontId="1" numFmtId="49" xfId="0" applyAlignment="1" applyFont="1" applyNumberFormat="1">
      <alignment horizontal="left" readingOrder="0" shrinkToFit="0" vertical="bottom" wrapText="0"/>
    </xf>
    <xf borderId="0" fillId="0" fontId="11" numFmtId="49" xfId="0" applyAlignment="1" applyFont="1" applyNumberFormat="1">
      <alignment horizontal="right" readingOrder="0" shrinkToFit="0" vertical="bottom" wrapText="0"/>
    </xf>
    <xf borderId="0" fillId="0" fontId="9" numFmtId="49" xfId="0" applyAlignment="1" applyFont="1" applyNumberFormat="1">
      <alignment horizontal="left" readingOrder="0" vertical="bottom"/>
    </xf>
    <xf borderId="0" fillId="0" fontId="27" numFmtId="49" xfId="0" applyAlignment="1" applyFont="1" applyNumberFormat="1">
      <alignment horizontal="left" readingOrder="0"/>
    </xf>
    <xf borderId="0" fillId="0" fontId="3" numFmtId="49" xfId="0" applyAlignment="1" applyFont="1" applyNumberFormat="1">
      <alignment horizontal="left" readingOrder="0" shrinkToFit="0" vertical="bottom" wrapText="0"/>
    </xf>
    <xf borderId="0" fillId="0" fontId="3" numFmtId="49" xfId="0" applyAlignment="1" applyFont="1" applyNumberFormat="1">
      <alignment readingOrder="0" shrinkToFit="0" vertical="bottom" wrapText="0"/>
    </xf>
    <xf borderId="0" fillId="0" fontId="26" numFmtId="49" xfId="0" applyAlignment="1" applyFont="1" applyNumberFormat="1">
      <alignment horizontal="left" readingOrder="0" shrinkToFit="0" vertical="bottom" wrapText="0"/>
    </xf>
    <xf borderId="0" fillId="0" fontId="11" numFmtId="49" xfId="0" applyAlignment="1" applyFont="1" applyNumberFormat="1">
      <alignment horizontal="center" readingOrder="0" shrinkToFit="0" vertical="bottom" wrapText="0"/>
    </xf>
    <xf borderId="0" fillId="0" fontId="9" numFmtId="49" xfId="0" applyAlignment="1" applyFont="1" applyNumberFormat="1">
      <alignment horizontal="left" vertical="bottom"/>
    </xf>
    <xf borderId="0" fillId="0" fontId="9" numFmtId="49" xfId="0" applyAlignment="1" applyFont="1" applyNumberFormat="1">
      <alignment horizontal="left" shrinkToFit="0" vertical="bottom" wrapText="0"/>
    </xf>
    <xf borderId="0" fillId="0" fontId="28" numFmtId="49" xfId="0" applyAlignment="1" applyFont="1" applyNumberFormat="1">
      <alignment horizontal="left" vertical="bottom"/>
    </xf>
    <xf borderId="0" fillId="0" fontId="9" numFmtId="49" xfId="0" applyAlignment="1" applyFont="1" applyNumberFormat="1">
      <alignment horizontal="left" readingOrder="0" shrinkToFit="0" vertical="bottom" wrapText="0"/>
    </xf>
    <xf borderId="0" fillId="0" fontId="29" numFmtId="49" xfId="0" applyAlignment="1" applyFont="1" applyNumberFormat="1">
      <alignment vertical="bottom"/>
    </xf>
    <xf borderId="0" fillId="0" fontId="4" numFmtId="49" xfId="0" applyAlignment="1" applyFont="1" applyNumberFormat="1">
      <alignment readingOrder="0"/>
    </xf>
    <xf borderId="0" fillId="3" fontId="30" numFmtId="49" xfId="0" applyAlignment="1" applyFill="1" applyFont="1" applyNumberFormat="1">
      <alignment horizontal="left" readingOrder="0" shrinkToFit="0" wrapText="0"/>
    </xf>
    <xf borderId="0" fillId="0" fontId="9" numFmtId="49" xfId="0" applyAlignment="1" applyFont="1" applyNumberFormat="1">
      <alignment horizontal="left" readingOrder="0" shrinkToFit="0" wrapText="0"/>
    </xf>
    <xf borderId="0" fillId="0" fontId="11" numFmtId="49" xfId="0" applyAlignment="1" applyFont="1" applyNumberFormat="1">
      <alignment horizontal="left" readingOrder="0" shrinkToFit="0" wrapText="0"/>
    </xf>
    <xf borderId="0" fillId="0" fontId="26" numFmtId="49" xfId="0" applyAlignment="1" applyFont="1" applyNumberFormat="1">
      <alignment horizontal="left" vertical="bottom"/>
    </xf>
    <xf borderId="0" fillId="0" fontId="9" numFmtId="49" xfId="0" applyAlignment="1" applyFont="1" applyNumberFormat="1">
      <alignment readingOrder="0" shrinkToFit="0" wrapText="0"/>
    </xf>
    <xf borderId="0" fillId="0" fontId="11" numFmtId="49" xfId="0" applyAlignment="1" applyFont="1" applyNumberFormat="1">
      <alignment readingOrder="0" shrinkToFit="0" wrapText="0"/>
    </xf>
    <xf borderId="0" fillId="3" fontId="3" numFmtId="49" xfId="0" applyAlignment="1" applyFill="1" applyFont="1" applyNumberFormat="1">
      <alignment horizontal="left" readingOrder="0" shrinkToFit="0" vertical="bottom" wrapText="0"/>
    </xf>
    <xf borderId="0" fillId="0" fontId="9" numFmtId="49" xfId="0" applyAlignment="1" applyFont="1" applyNumberFormat="1">
      <alignment horizontal="right" readingOrder="0"/>
    </xf>
    <xf borderId="0" fillId="0" fontId="9" numFmtId="49" xfId="0" applyAlignment="1" applyFont="1" applyNumberFormat="1">
      <alignment horizontal="left"/>
    </xf>
    <xf borderId="0" fillId="0" fontId="26" numFmtId="49" xfId="0" applyAlignment="1" applyFont="1" applyNumberFormat="1">
      <alignment horizontal="left"/>
    </xf>
    <xf borderId="0" fillId="0" fontId="9" numFmtId="0" xfId="0" applyAlignment="1" applyFont="1">
      <alignment horizontal="center" readingOrder="0"/>
    </xf>
    <xf borderId="0" fillId="0" fontId="10" numFmtId="0" xfId="0" applyFont="1"/>
    <xf borderId="0" fillId="0" fontId="10" numFmtId="0" xfId="0" applyAlignment="1" applyFont="1">
      <alignment readingOrder="0"/>
    </xf>
    <xf borderId="0" fillId="0" fontId="11" numFmtId="49" xfId="0" applyAlignment="1" applyFont="1" applyNumberFormat="1">
      <alignment horizontal="left" shrinkToFit="0" vertical="bottom" wrapText="0"/>
    </xf>
    <xf borderId="0" fillId="0" fontId="11" numFmtId="49" xfId="0" applyAlignment="1" applyFont="1" applyNumberFormat="1">
      <alignment horizontal="left" shrinkToFit="0" vertical="bottom" wrapText="0"/>
    </xf>
    <xf borderId="0" fillId="0" fontId="11" numFmtId="49" xfId="0" applyAlignment="1" applyFont="1" applyNumberFormat="1">
      <alignment horizontal="left" shrinkToFit="0" vertical="bottom" wrapText="0"/>
    </xf>
    <xf borderId="0" fillId="0" fontId="31" numFmtId="49" xfId="0" applyAlignment="1" applyFont="1" applyNumberFormat="1">
      <alignment horizontal="left" readingOrder="0" shrinkToFit="0" vertical="bottom" wrapText="0"/>
    </xf>
    <xf borderId="0" fillId="0" fontId="32" numFmtId="49" xfId="0" applyAlignment="1" applyFont="1" applyNumberFormat="1">
      <alignment readingOrder="0" vertical="bottom"/>
    </xf>
    <xf borderId="0" fillId="0" fontId="3" numFmtId="49" xfId="0" applyAlignment="1" applyFont="1" applyNumberFormat="1">
      <alignment horizontal="left" readingOrder="0" shrinkToFit="0" vertical="bottom" wrapText="0"/>
    </xf>
    <xf borderId="0" fillId="0" fontId="33" numFmtId="49" xfId="0" applyAlignment="1" applyFont="1" applyNumberFormat="1">
      <alignment horizontal="left" readingOrder="0" vertical="bottom"/>
    </xf>
    <xf borderId="0" fillId="0" fontId="11" numFmtId="49" xfId="0" applyAlignment="1" applyFont="1" applyNumberFormat="1">
      <alignment horizontal="right" readingOrder="0" shrinkToFit="0" vertical="bottom" wrapText="0"/>
    </xf>
    <xf borderId="0" fillId="0" fontId="10" numFmtId="49" xfId="0" applyAlignment="1" applyFont="1" applyNumberFormat="1">
      <alignment readingOrder="0" vertical="bottom"/>
    </xf>
    <xf borderId="0" fillId="0" fontId="1" numFmtId="49" xfId="0" applyAlignment="1" applyFont="1" applyNumberFormat="1">
      <alignment readingOrder="0" shrinkToFit="0" vertical="bottom" wrapText="0"/>
    </xf>
    <xf borderId="0" fillId="0" fontId="3" numFmtId="49" xfId="0" applyAlignment="1" applyFont="1" applyNumberFormat="1">
      <alignment readingOrder="0" shrinkToFit="0" vertical="bottom" wrapText="0"/>
    </xf>
    <xf borderId="0" fillId="0" fontId="9" numFmtId="49" xfId="0" applyAlignment="1" applyFont="1" applyNumberFormat="1">
      <alignment readingOrder="0"/>
    </xf>
    <xf borderId="0" fillId="0" fontId="10" numFmtId="49" xfId="0" applyAlignment="1" applyFont="1" applyNumberFormat="1">
      <alignment shrinkToFit="0" vertical="bottom" wrapText="0"/>
    </xf>
    <xf borderId="0" fillId="0" fontId="10" numFmtId="49" xfId="0" applyAlignment="1" applyFont="1" applyNumberFormat="1">
      <alignment readingOrder="0" shrinkToFit="0" vertical="bottom" wrapText="0"/>
    </xf>
    <xf borderId="0" fillId="0" fontId="9" numFmtId="49" xfId="0" applyAlignment="1" applyFont="1" applyNumberFormat="1">
      <alignment horizontal="right"/>
    </xf>
    <xf borderId="0" fillId="0" fontId="10" numFmtId="0" xfId="0" applyAlignment="1" applyFont="1">
      <alignment readingOrder="0" vertical="bottom"/>
    </xf>
    <xf borderId="0" fillId="0" fontId="9" numFmtId="49" xfId="0" applyFont="1" applyNumberFormat="1"/>
    <xf borderId="0" fillId="0" fontId="26" numFmtId="49" xfId="0" applyFont="1" applyNumberFormat="1"/>
    <xf borderId="0" fillId="0" fontId="10" numFmtId="0" xfId="0" applyAlignment="1" applyFont="1">
      <alignment vertical="bottom"/>
    </xf>
    <xf borderId="0" fillId="0" fontId="26" numFmtId="49" xfId="0" applyAlignment="1" applyFont="1" applyNumberFormat="1">
      <alignment readingOrder="0"/>
    </xf>
    <xf borderId="0" fillId="0" fontId="4" numFmtId="0" xfId="0" applyFont="1"/>
    <xf borderId="0" fillId="0" fontId="34" numFmtId="49" xfId="0" applyFont="1" applyNumberFormat="1"/>
    <xf borderId="0" fillId="0" fontId="34" numFmtId="49" xfId="0" applyAlignment="1" applyFont="1" applyNumberFormat="1">
      <alignment readingOrder="0"/>
    </xf>
    <xf borderId="0" fillId="4" fontId="35" numFmtId="49" xfId="0" applyAlignment="1" applyFill="1" applyFont="1" applyNumberFormat="1">
      <alignment readingOrder="0" shrinkToFit="0" wrapText="0"/>
    </xf>
    <xf borderId="0" fillId="3" fontId="36" numFmtId="49" xfId="0" applyAlignment="1" applyFill="1" applyFont="1" applyNumberFormat="1">
      <alignment shrinkToFit="0" vertical="bottom" wrapText="0"/>
    </xf>
    <xf borderId="0" fillId="3" fontId="37" numFmtId="49" xfId="0" applyAlignment="1" applyFill="1" applyFont="1" applyNumberFormat="1">
      <alignment readingOrder="0"/>
    </xf>
    <xf borderId="0" fillId="3" fontId="11" numFmtId="49" xfId="0" applyAlignment="1" applyFill="1" applyFont="1" applyNumberFormat="1">
      <alignment readingOrder="0" shrinkToFit="0" wrapText="0"/>
    </xf>
    <xf borderId="0" fillId="3" fontId="37" numFmtId="49" xfId="0" applyAlignment="1" applyFill="1" applyFont="1" applyNumberFormat="1">
      <alignment horizontal="center" readingOrder="0"/>
    </xf>
    <xf borderId="0" fillId="0" fontId="38" numFmtId="49" xfId="0" applyAlignment="1" applyFont="1" applyNumberFormat="1">
      <alignment horizontal="center" readingOrder="0" vertical="bottom"/>
    </xf>
    <xf borderId="0" fillId="0" fontId="38" numFmtId="49" xfId="0" applyAlignment="1" applyFont="1" applyNumberFormat="1">
      <alignment horizontal="center" vertical="bottom"/>
    </xf>
    <xf borderId="0" fillId="0" fontId="39" numFmtId="49" xfId="0" applyAlignment="1" applyFont="1" applyNumberFormat="1">
      <alignment vertical="bottom"/>
    </xf>
    <xf borderId="0" fillId="0" fontId="39" numFmtId="49" xfId="0" applyAlignment="1" applyFont="1" applyNumberFormat="1">
      <alignment readingOrder="0" vertical="bottom"/>
    </xf>
    <xf borderId="0" fillId="5" fontId="11" numFmtId="0" xfId="0" applyAlignment="1" applyFill="1" applyFont="1">
      <alignment readingOrder="0"/>
    </xf>
    <xf borderId="0" fillId="3" fontId="25" numFmtId="49" xfId="0" applyAlignment="1" applyFill="1" applyFont="1" applyNumberFormat="1">
      <alignment readingOrder="0"/>
    </xf>
    <xf borderId="0" fillId="5" fontId="11" numFmtId="49" xfId="0" applyAlignment="1" applyFill="1" applyFont="1" applyNumberFormat="1">
      <alignment readingOrder="0"/>
    </xf>
    <xf borderId="0" fillId="0" fontId="9" numFmtId="0" xfId="0" applyAlignment="1" applyFont="1">
      <alignment readingOrder="0"/>
    </xf>
    <xf borderId="0" fillId="0" fontId="40" numFmtId="49" xfId="0" applyAlignment="1" applyFont="1" applyNumberFormat="1">
      <alignment readingOrder="0" shrinkToFit="0" wrapText="0"/>
    </xf>
    <xf borderId="0" fillId="3" fontId="41" numFmtId="49" xfId="0" applyAlignment="1" applyFill="1" applyFont="1" applyNumberFormat="1">
      <alignment readingOrder="0"/>
    </xf>
    <xf borderId="0" fillId="3" fontId="11" numFmtId="49" xfId="0" applyAlignment="1" applyFill="1" applyFont="1" applyNumberFormat="1">
      <alignment horizontal="left" readingOrder="0" shrinkToFit="0" wrapText="0"/>
    </xf>
    <xf borderId="0" fillId="3" fontId="41" numFmtId="49" xfId="0" applyAlignment="1" applyFill="1" applyFont="1" applyNumberFormat="1">
      <alignment horizontal="center" readingOrder="0"/>
    </xf>
    <xf borderId="0" fillId="3" fontId="42" numFmtId="49" xfId="0" applyAlignment="1" applyFill="1" applyFont="1" applyNumberFormat="1">
      <alignment vertical="bottom"/>
    </xf>
    <xf borderId="0" fillId="0" fontId="11" numFmtId="49" xfId="0" applyAlignment="1" applyFont="1" applyNumberFormat="1">
      <alignment readingOrder="0" shrinkToFit="0" wrapText="0"/>
    </xf>
    <xf borderId="0" fillId="3" fontId="11" numFmtId="49" xfId="0" applyAlignment="1" applyFill="1" applyFont="1" applyNumberFormat="1">
      <alignment horizontal="left" readingOrder="0"/>
    </xf>
    <xf borderId="0" fillId="0" fontId="9" numFmtId="49" xfId="0" applyAlignment="1" applyFont="1" applyNumberFormat="1">
      <alignment readingOrder="0" shrinkToFit="0" wrapText="0"/>
    </xf>
    <xf borderId="0" fillId="0" fontId="38" numFmtId="0" xfId="0" applyAlignment="1" applyFont="1">
      <alignment readingOrder="0"/>
    </xf>
    <xf borderId="0" fillId="3" fontId="11" numFmtId="49" xfId="0" applyAlignment="1" applyFill="1" applyFont="1" applyNumberFormat="1">
      <alignment horizontal="center" readingOrder="0"/>
    </xf>
    <xf borderId="0" fillId="0" fontId="38" numFmtId="0" xfId="0" applyAlignment="1" applyFont="1">
      <alignment readingOrder="0" shrinkToFit="0" wrapText="0"/>
    </xf>
    <xf borderId="0" fillId="0" fontId="11" numFmtId="0" xfId="0" applyAlignment="1" applyFont="1">
      <alignment readingOrder="0" shrinkToFit="0" wrapText="0"/>
    </xf>
    <xf borderId="0" fillId="0" fontId="26" numFmtId="0" xfId="0" applyFont="1"/>
    <xf borderId="0" fillId="0" fontId="38" numFmtId="0" xfId="0" applyAlignment="1" applyFont="1">
      <alignment shrinkToFit="0" wrapText="0"/>
    </xf>
    <xf borderId="0" fillId="0" fontId="38" numFmtId="0" xfId="0" applyAlignment="1" applyFont="1">
      <alignment horizontal="center" readingOrder="0"/>
    </xf>
    <xf borderId="0" fillId="0" fontId="38" numFmtId="0" xfId="0" applyAlignment="1" applyFont="1">
      <alignment horizontal="center"/>
    </xf>
    <xf borderId="0" fillId="3" fontId="43" numFmtId="49" xfId="0" applyAlignment="1" applyFill="1" applyFont="1" applyNumberFormat="1">
      <alignment readingOrder="0" shrinkToFit="0" wrapText="0"/>
    </xf>
    <xf borderId="0" fillId="0" fontId="38" numFmtId="49" xfId="0" applyAlignment="1" applyFont="1" applyNumberFormat="1">
      <alignment readingOrder="0"/>
    </xf>
    <xf borderId="0" fillId="0" fontId="9" numFmtId="49" xfId="0" applyAlignment="1" applyFont="1" applyNumberFormat="1">
      <alignment shrinkToFit="0" wrapText="0"/>
    </xf>
    <xf borderId="0" fillId="0" fontId="38" numFmtId="49" xfId="0" applyAlignment="1" applyFont="1" applyNumberFormat="1">
      <alignment horizontal="center" readingOrder="0"/>
    </xf>
    <xf borderId="0" fillId="0" fontId="44" numFmtId="49" xfId="0" applyAlignment="1" applyFont="1" applyNumberFormat="1">
      <alignment vertical="bottom"/>
    </xf>
    <xf borderId="0" fillId="0" fontId="44" numFmtId="49" xfId="0" applyAlignment="1" applyFont="1" applyNumberFormat="1">
      <alignment horizontal="center" readingOrder="0"/>
    </xf>
    <xf borderId="0" fillId="0" fontId="45" numFmtId="49" xfId="0" applyAlignment="1" applyFont="1" applyNumberFormat="1">
      <alignment shrinkToFit="0" vertical="bottom" wrapText="0"/>
    </xf>
    <xf borderId="0" fillId="0" fontId="41" numFmtId="49" xfId="0" applyAlignment="1" applyFont="1" applyNumberFormat="1">
      <alignment vertical="bottom"/>
    </xf>
    <xf borderId="0" fillId="0" fontId="44" numFmtId="49" xfId="0" applyAlignment="1" applyFont="1" applyNumberFormat="1">
      <alignment horizontal="center" vertical="bottom"/>
    </xf>
    <xf borderId="0" fillId="0" fontId="46" numFmtId="49" xfId="0" applyAlignment="1" applyFont="1" applyNumberFormat="1">
      <alignment vertical="bottom"/>
    </xf>
    <xf borderId="0" fillId="0" fontId="47" numFmtId="49" xfId="0" applyAlignment="1" applyFont="1" applyNumberFormat="1">
      <alignment readingOrder="0"/>
    </xf>
    <xf borderId="0" fillId="0" fontId="46" numFmtId="49" xfId="0" applyAlignment="1" applyFont="1" applyNumberFormat="1">
      <alignment readingOrder="0"/>
    </xf>
    <xf borderId="0" fillId="0" fontId="10" numFmtId="49" xfId="0" applyAlignment="1" applyFont="1" applyNumberFormat="1">
      <alignment horizontal="right" vertical="bottom"/>
    </xf>
    <xf borderId="0" fillId="3" fontId="36" numFmtId="49" xfId="0" applyAlignment="1" applyFill="1" applyFont="1" applyNumberFormat="1">
      <alignment readingOrder="0"/>
    </xf>
    <xf borderId="0" fillId="3" fontId="11" numFmtId="49" xfId="0" applyAlignment="1" applyFill="1" applyFont="1" applyNumberFormat="1">
      <alignment readingOrder="0" shrinkToFit="0" wrapText="0"/>
    </xf>
    <xf borderId="0" fillId="0" fontId="48" numFmtId="49" xfId="0" applyAlignment="1" applyFont="1" applyNumberFormat="1">
      <alignment readingOrder="0" shrinkToFit="0" wrapText="0"/>
    </xf>
    <xf borderId="0" fillId="3" fontId="49" numFmtId="49" xfId="0" applyAlignment="1" applyFill="1" applyFont="1" applyNumberFormat="1">
      <alignment readingOrder="0" shrinkToFit="0" wrapText="0"/>
    </xf>
    <xf borderId="0" fillId="3" fontId="50" numFmtId="49" xfId="0" applyAlignment="1" applyFill="1" applyFont="1" applyNumberFormat="1">
      <alignment readingOrder="0" shrinkToFit="0" wrapText="0"/>
    </xf>
    <xf borderId="0" fillId="0" fontId="10" numFmtId="49" xfId="0" applyAlignment="1" applyFont="1" applyNumberFormat="1">
      <alignment readingOrder="0" shrinkToFit="0" wrapText="0"/>
    </xf>
    <xf borderId="0" fillId="0" fontId="10" numFmtId="49" xfId="0" applyAlignment="1" applyFont="1" applyNumberFormat="1">
      <alignment horizontal="center"/>
    </xf>
    <xf borderId="0" fillId="3" fontId="51" numFmtId="49" xfId="0" applyAlignment="1" applyFill="1" applyFont="1" applyNumberFormat="1">
      <alignment readingOrder="0" shrinkToFit="0" wrapText="0"/>
    </xf>
    <xf borderId="0" fillId="0" fontId="52" numFmtId="49" xfId="0" applyAlignment="1" applyFont="1" applyNumberFormat="1">
      <alignment readingOrder="0" shrinkToFit="0" wrapText="0"/>
    </xf>
    <xf borderId="0" fillId="0" fontId="53" numFmtId="49" xfId="0" applyAlignment="1" applyFont="1" applyNumberFormat="1">
      <alignment readingOrder="0" shrinkToFit="0" wrapText="0"/>
    </xf>
    <xf borderId="0" fillId="0" fontId="10" numFmtId="49" xfId="0" applyAlignment="1" applyFont="1" applyNumberFormat="1">
      <alignment horizontal="center" readingOrder="0"/>
    </xf>
    <xf borderId="0" fillId="0" fontId="10" numFmtId="49" xfId="0" applyAlignment="1" applyFont="1" applyNumberFormat="1">
      <alignment horizontal="right" readingOrder="0"/>
    </xf>
    <xf borderId="0" fillId="3" fontId="54" numFmtId="49" xfId="0" applyAlignment="1" applyFill="1" applyFont="1" applyNumberFormat="1">
      <alignment readingOrder="0" shrinkToFit="0" wrapText="0"/>
    </xf>
    <xf borderId="0" fillId="3" fontId="55" numFmtId="49" xfId="0" applyAlignment="1" applyFill="1" applyFont="1" applyNumberFormat="1">
      <alignment readingOrder="0" shrinkToFit="0" wrapText="0"/>
    </xf>
    <xf borderId="0" fillId="0" fontId="10" numFmtId="49" xfId="0" applyAlignment="1" applyFont="1" applyNumberFormat="1">
      <alignment shrinkToFit="0" wrapText="0"/>
    </xf>
    <xf borderId="0" fillId="0" fontId="56" numFmtId="49" xfId="0" applyAlignment="1" applyFont="1" applyNumberFormat="1">
      <alignment readingOrder="0" shrinkToFit="0" wrapText="0"/>
    </xf>
    <xf borderId="0" fillId="3" fontId="3" numFmtId="0" xfId="0" applyAlignment="1" applyFill="1" applyFont="1">
      <alignment horizontal="left" readingOrder="0"/>
    </xf>
    <xf borderId="0" fillId="0" fontId="57" numFmtId="49" xfId="0" applyAlignment="1" applyFont="1" applyNumberFormat="1">
      <alignment readingOrder="0"/>
    </xf>
    <xf borderId="0" fillId="6" fontId="2" numFmtId="49" xfId="0" applyAlignment="1" applyFill="1" applyFont="1" applyNumberFormat="1">
      <alignment horizontal="left" readingOrder="0" shrinkToFit="0" vertical="bottom" wrapText="0"/>
    </xf>
    <xf borderId="0" fillId="0" fontId="9" numFmtId="0" xfId="0" applyAlignment="1" applyFont="1">
      <alignment shrinkToFit="0" wrapText="0"/>
    </xf>
    <xf borderId="0" fillId="6" fontId="2" numFmtId="49" xfId="0" applyAlignment="1" applyFill="1" applyFont="1" applyNumberFormat="1">
      <alignment readingOrder="0" shrinkToFit="0" vertical="bottom" wrapText="0"/>
    </xf>
    <xf borderId="0" fillId="6" fontId="2" numFmtId="49" xfId="0" applyAlignment="1" applyFill="1" applyFont="1" applyNumberFormat="1">
      <alignment readingOrder="0" shrinkToFit="0" vertical="bottom" wrapText="0"/>
    </xf>
    <xf borderId="0" fillId="6" fontId="2" numFmtId="49" xfId="0" applyAlignment="1" applyFill="1" applyFont="1" applyNumberFormat="1">
      <alignment horizontal="right" readingOrder="0" shrinkToFit="0" vertical="bottom" wrapText="0"/>
    </xf>
    <xf borderId="0" fillId="6" fontId="4" numFmtId="0" xfId="0" applyAlignment="1" applyFill="1" applyFont="1">
      <alignment horizontal="right" readingOrder="0"/>
    </xf>
    <xf borderId="0" fillId="6" fontId="4" numFmtId="0" xfId="0" applyFill="1" applyFont="1"/>
    <xf borderId="0" fillId="0" fontId="11" numFmtId="49" xfId="0" applyAlignment="1" applyFont="1" applyNumberFormat="1">
      <alignment horizontal="left" readingOrder="0" shrinkToFit="0" vertical="bottom" wrapText="0"/>
    </xf>
    <xf borderId="0" fillId="0" fontId="11" numFmtId="49" xfId="0" applyAlignment="1" applyFont="1" applyNumberFormat="1">
      <alignment readingOrder="0" vertical="bottom"/>
    </xf>
    <xf borderId="0" fillId="0" fontId="11" numFmtId="49" xfId="0" applyAlignment="1" applyFont="1" applyNumberFormat="1">
      <alignment readingOrder="0" shrinkToFit="0" vertical="bottom" wrapText="1"/>
    </xf>
    <xf borderId="0" fillId="0" fontId="11" numFmtId="49" xfId="0" applyAlignment="1" applyFont="1" applyNumberFormat="1">
      <alignment shrinkToFit="0" wrapText="0"/>
    </xf>
    <xf borderId="0" fillId="0" fontId="58" numFmtId="49" xfId="0" applyAlignment="1" applyFont="1" applyNumberFormat="1">
      <alignment readingOrder="0" shrinkToFit="0" vertical="bottom" wrapText="1"/>
    </xf>
    <xf borderId="0" fillId="0" fontId="11" numFmtId="49" xfId="0" applyAlignment="1" applyFont="1" applyNumberFormat="1">
      <alignment readingOrder="0" shrinkToFit="0" vertical="bottom" wrapText="0"/>
    </xf>
    <xf borderId="0" fillId="0" fontId="11" numFmtId="164" xfId="0" applyAlignment="1" applyFont="1" applyNumberFormat="1">
      <alignment horizontal="right" readingOrder="0" shrinkToFit="0" vertical="bottom" wrapText="0"/>
    </xf>
    <xf borderId="0" fillId="0" fontId="4" numFmtId="165" xfId="0" applyAlignment="1" applyFont="1" applyNumberFormat="1">
      <alignment readingOrder="0"/>
    </xf>
    <xf borderId="0" fillId="0" fontId="4" numFmtId="0" xfId="0" applyAlignment="1" applyFont="1">
      <alignment readingOrder="0"/>
    </xf>
    <xf borderId="0" fillId="0" fontId="9" numFmtId="49" xfId="0" applyAlignment="1" applyFont="1" applyNumberFormat="1">
      <alignment readingOrder="0" shrinkToFit="0" vertical="bottom" wrapText="1"/>
    </xf>
    <xf borderId="0" fillId="0" fontId="59" numFmtId="49" xfId="0" applyAlignment="1" applyFont="1" applyNumberFormat="1">
      <alignment readingOrder="0" shrinkToFit="0" vertical="bottom" wrapText="1"/>
    </xf>
    <xf borderId="0" fillId="0" fontId="4" numFmtId="164" xfId="0" applyAlignment="1" applyFont="1" applyNumberFormat="1">
      <alignment horizontal="right" readingOrder="0"/>
    </xf>
    <xf borderId="0" fillId="7" fontId="60" numFmtId="49" xfId="0" applyAlignment="1" applyFill="1" applyFont="1" applyNumberFormat="1">
      <alignment readingOrder="0"/>
    </xf>
    <xf borderId="0" fillId="3" fontId="61" numFmtId="49" xfId="0" applyAlignment="1" applyFill="1" applyFont="1" applyNumberFormat="1">
      <alignment readingOrder="0"/>
    </xf>
    <xf borderId="0" fillId="0" fontId="62" numFmtId="164" xfId="0" applyAlignment="1" applyFont="1" applyNumberFormat="1">
      <alignment horizontal="right" vertical="bottom"/>
    </xf>
    <xf borderId="0" fillId="8" fontId="60" numFmtId="49" xfId="0" applyAlignment="1" applyFill="1" applyFont="1" applyNumberFormat="1">
      <alignment readingOrder="0"/>
    </xf>
    <xf borderId="0" fillId="0" fontId="11" numFmtId="49" xfId="0" applyAlignment="1" applyFont="1" applyNumberFormat="1">
      <alignment horizontal="right" readingOrder="0" shrinkToFit="0" vertical="bottom" wrapText="0"/>
    </xf>
    <xf borderId="0" fillId="3" fontId="63" numFmtId="49" xfId="0" applyAlignment="1" applyFill="1" applyFont="1" applyNumberFormat="1">
      <alignment readingOrder="0" shrinkToFit="0" wrapText="0"/>
    </xf>
    <xf borderId="0" fillId="0" fontId="4" numFmtId="0" xfId="0" applyAlignment="1" applyFont="1">
      <alignment horizontal="right"/>
    </xf>
    <xf borderId="0" fillId="3" fontId="64" numFmtId="49" xfId="0" applyAlignment="1" applyFill="1" applyFont="1" applyNumberFormat="1">
      <alignment readingOrder="0"/>
    </xf>
    <xf borderId="0" fillId="3" fontId="65" numFmtId="49" xfId="0" applyAlignment="1" applyFill="1" applyFont="1" applyNumberFormat="1">
      <alignment readingOrder="0"/>
    </xf>
    <xf borderId="0" fillId="3" fontId="66" numFmtId="49" xfId="0" applyAlignment="1" applyFill="1" applyFont="1" applyNumberFormat="1">
      <alignment readingOrder="0"/>
    </xf>
    <xf borderId="0" fillId="0" fontId="67" numFmtId="49" xfId="0" applyAlignment="1" applyFont="1" applyNumberFormat="1">
      <alignment readingOrder="0" shrinkToFit="0" wrapText="0"/>
    </xf>
    <xf borderId="0" fillId="0" fontId="68" numFmtId="49" xfId="0" applyAlignment="1" applyFont="1" applyNumberFormat="1">
      <alignment horizontal="left" readingOrder="0" shrinkToFit="0" wrapText="0"/>
    </xf>
    <xf borderId="0" fillId="0" fontId="68" numFmtId="49" xfId="0" applyAlignment="1" applyFont="1" applyNumberFormat="1">
      <alignment horizontal="right" readingOrder="0"/>
    </xf>
    <xf borderId="0" fillId="3" fontId="3" numFmtId="49" xfId="0" applyAlignment="1" applyFill="1" applyFont="1" applyNumberFormat="1">
      <alignment horizontal="right" shrinkToFit="0" vertical="bottom" wrapText="0"/>
    </xf>
    <xf borderId="0" fillId="3" fontId="3" numFmtId="49" xfId="0" applyAlignment="1" applyFill="1" applyFont="1" applyNumberFormat="1">
      <alignment horizontal="left" shrinkToFit="0" vertical="bottom" wrapText="0"/>
    </xf>
    <xf borderId="0" fillId="3" fontId="11" numFmtId="49" xfId="0" applyAlignment="1" applyFill="1" applyFont="1" applyNumberFormat="1">
      <alignment horizontal="left" readingOrder="0" shrinkToFit="0" vertical="bottom" wrapText="0"/>
    </xf>
    <xf borderId="0" fillId="0" fontId="11" numFmtId="49" xfId="0" applyAlignment="1" applyFont="1" applyNumberFormat="1">
      <alignment readingOrder="0"/>
    </xf>
    <xf borderId="0" fillId="3" fontId="3" numFmtId="49" xfId="0" applyAlignment="1" applyFill="1" applyFont="1" applyNumberFormat="1">
      <alignment horizontal="left" readingOrder="0" shrinkToFit="0" vertical="bottom" wrapText="0"/>
    </xf>
    <xf borderId="0" fillId="3" fontId="3" numFmtId="49" xfId="0" applyAlignment="1" applyFill="1" applyFont="1" applyNumberFormat="1">
      <alignment horizontal="center" readingOrder="0" shrinkToFit="0" vertical="bottom" wrapText="0"/>
    </xf>
    <xf borderId="0" fillId="3" fontId="3" numFmtId="49" xfId="0" applyAlignment="1" applyFill="1" applyFont="1" applyNumberFormat="1">
      <alignment horizontal="center" shrinkToFit="0" vertical="bottom" wrapText="0"/>
    </xf>
    <xf borderId="0" fillId="0" fontId="69" numFmtId="49" xfId="0" applyAlignment="1" applyFont="1" applyNumberFormat="1">
      <alignment readingOrder="0" vertical="bottom"/>
    </xf>
    <xf borderId="0" fillId="3" fontId="10" numFmtId="49" xfId="0" applyFill="1" applyFont="1" applyNumberFormat="1"/>
    <xf borderId="0" fillId="0" fontId="11" numFmtId="49" xfId="0" applyAlignment="1" applyFont="1" applyNumberFormat="1">
      <alignment readingOrder="0"/>
    </xf>
    <xf borderId="0" fillId="3" fontId="4" numFmtId="0" xfId="0" applyFill="1" applyFont="1"/>
    <xf borderId="0" fillId="0" fontId="68" numFmtId="49" xfId="0" applyAlignment="1" applyFont="1" applyNumberFormat="1">
      <alignment horizontal="left" readingOrder="0" shrinkToFit="0" wrapText="0"/>
    </xf>
    <xf borderId="0" fillId="0" fontId="68" numFmtId="49" xfId="0" applyAlignment="1" applyFont="1" applyNumberFormat="1">
      <alignment horizontal="right" readingOrder="0"/>
    </xf>
    <xf borderId="0" fillId="0" fontId="70" numFmtId="49" xfId="0" applyAlignment="1" applyFont="1" applyNumberFormat="1">
      <alignment horizontal="left" readingOrder="0" shrinkToFit="0" vertical="bottom" wrapText="0"/>
    </xf>
    <xf borderId="0" fillId="0" fontId="70" numFmtId="49" xfId="0" applyAlignment="1" applyFont="1" applyNumberFormat="1">
      <alignment readingOrder="0" shrinkToFit="0" vertical="bottom" wrapText="1"/>
    </xf>
    <xf borderId="0" fillId="0" fontId="70" numFmtId="49" xfId="0" applyAlignment="1" applyFont="1" applyNumberFormat="1">
      <alignment readingOrder="0" shrinkToFit="0" vertical="bottom" wrapText="0"/>
    </xf>
    <xf borderId="0" fillId="0" fontId="70" numFmtId="49" xfId="0" applyAlignment="1" applyFont="1" applyNumberFormat="1">
      <alignment shrinkToFit="0" vertical="bottom" wrapText="0"/>
    </xf>
    <xf borderId="0" fillId="0" fontId="70" numFmtId="49" xfId="0" applyAlignment="1" applyFont="1" applyNumberFormat="1">
      <alignment horizontal="right" shrinkToFit="0" vertical="bottom" wrapText="0"/>
    </xf>
    <xf borderId="0" fillId="0" fontId="4" numFmtId="0" xfId="0" applyAlignment="1" applyFont="1">
      <alignment shrinkToFit="0" wrapText="0"/>
    </xf>
    <xf borderId="0" fillId="0" fontId="4" numFmtId="0" xfId="0" applyAlignment="1" applyFont="1">
      <alignment horizontal="right"/>
    </xf>
    <xf borderId="0" fillId="3" fontId="10" numFmtId="49" xfId="0" applyAlignment="1" applyFill="1" applyFont="1" applyNumberFormat="1">
      <alignment readingOrder="0" shrinkToFit="0" wrapText="0"/>
    </xf>
    <xf borderId="0" fillId="3" fontId="10" numFmtId="49" xfId="0" applyAlignment="1" applyFill="1" applyFont="1" applyNumberFormat="1">
      <alignment horizontal="center"/>
    </xf>
    <xf borderId="0" fillId="3" fontId="10" numFmtId="49" xfId="0" applyAlignment="1" applyFill="1" applyFont="1" applyNumberFormat="1">
      <alignment horizontal="center" readingOrder="0"/>
    </xf>
    <xf borderId="0" fillId="3" fontId="36" numFmtId="49" xfId="0" applyAlignment="1" applyFill="1" applyFont="1" applyNumberFormat="1">
      <alignment readingOrder="0" shrinkToFit="0" wrapText="0"/>
    </xf>
    <xf borderId="0" fillId="0" fontId="9" numFmtId="0" xfId="0" applyFont="1"/>
    <xf borderId="0" fillId="0" fontId="11" numFmtId="49" xfId="0" applyAlignment="1" applyFont="1" applyNumberFormat="1">
      <alignment readingOrder="0"/>
    </xf>
    <xf borderId="0" fillId="0" fontId="71" numFmtId="49" xfId="0" applyAlignment="1" applyFont="1" applyNumberFormat="1">
      <alignment readingOrder="0"/>
    </xf>
    <xf borderId="0" fillId="3" fontId="11" numFmtId="49" xfId="0" applyFill="1" applyFont="1" applyNumberFormat="1"/>
    <xf borderId="0" fillId="3" fontId="72" numFmtId="49" xfId="0" applyAlignment="1" applyFill="1" applyFont="1" applyNumberFormat="1">
      <alignment horizontal="left" readingOrder="0" shrinkToFit="0" wrapText="0"/>
    </xf>
    <xf borderId="0" fillId="0" fontId="3" numFmtId="49" xfId="0" applyAlignment="1" applyFont="1" applyNumberFormat="1">
      <alignment horizontal="right" readingOrder="0" shrinkToFit="0" vertical="bottom" wrapText="0"/>
    </xf>
    <xf borderId="0" fillId="0" fontId="73" numFmtId="49" xfId="0" applyAlignment="1" applyFont="1" applyNumberFormat="1">
      <alignment readingOrder="0" shrinkToFit="0" vertical="top" wrapText="0"/>
    </xf>
    <xf borderId="0" fillId="3" fontId="11" numFmtId="49" xfId="0" applyAlignment="1" applyFill="1" applyFont="1" applyNumberFormat="1">
      <alignment vertical="top"/>
    </xf>
    <xf borderId="0" fillId="0" fontId="4" numFmtId="0" xfId="0" applyFont="1"/>
    <xf borderId="0" fillId="0" fontId="10" numFmtId="49" xfId="0" applyAlignment="1" applyFont="1" applyNumberFormat="1">
      <alignment horizontal="right" readingOrder="0" vertical="bottom"/>
    </xf>
    <xf borderId="0" fillId="0" fontId="3" numFmtId="49" xfId="0" applyAlignment="1" applyFont="1" applyNumberFormat="1">
      <alignment readingOrder="0" shrinkToFit="0" wrapText="0"/>
    </xf>
    <xf borderId="0" fillId="0" fontId="10" numFmtId="0" xfId="0" applyAlignment="1" applyFont="1">
      <alignment vertical="bottom"/>
    </xf>
    <xf borderId="0" fillId="0" fontId="11" numFmtId="49" xfId="0" applyAlignment="1" applyFont="1" applyNumberFormat="1">
      <alignment readingOrder="0" shrinkToFit="0" wrapText="0"/>
    </xf>
    <xf borderId="0" fillId="2" fontId="11" numFmtId="49" xfId="0" applyAlignment="1" applyFill="1" applyFont="1" applyNumberFormat="1">
      <alignment readingOrder="0" shrinkToFit="0" vertical="bottom" wrapText="0"/>
    </xf>
    <xf borderId="0" fillId="3" fontId="3" numFmtId="49" xfId="0" applyAlignment="1" applyFill="1" applyFont="1" applyNumberFormat="1">
      <alignment readingOrder="0"/>
    </xf>
    <xf borderId="0" fillId="3" fontId="60" numFmtId="49" xfId="0" applyAlignment="1" applyFill="1" applyFont="1" applyNumberFormat="1">
      <alignment readingOrder="0"/>
    </xf>
    <xf borderId="0" fillId="3" fontId="60" numFmtId="0" xfId="0" applyAlignment="1" applyFill="1" applyFont="1">
      <alignment readingOrder="0"/>
    </xf>
    <xf borderId="0" fillId="3" fontId="60" numFmtId="49" xfId="0" applyAlignment="1" applyFill="1" applyFont="1" applyNumberFormat="1">
      <alignment readingOrder="0"/>
    </xf>
    <xf borderId="0" fillId="5" fontId="60" numFmtId="49" xfId="0" applyAlignment="1" applyFill="1" applyFont="1" applyNumberFormat="1">
      <alignment readingOrder="0"/>
    </xf>
    <xf borderId="0" fillId="3" fontId="74" numFmtId="49" xfId="0" applyAlignment="1" applyFill="1" applyFont="1" applyNumberFormat="1">
      <alignment readingOrder="0" shrinkToFit="0" wrapText="0"/>
    </xf>
    <xf borderId="0" fillId="9" fontId="3" numFmtId="49" xfId="0" applyAlignment="1" applyFill="1" applyFont="1" applyNumberFormat="1">
      <alignment readingOrder="0"/>
    </xf>
    <xf borderId="0" fillId="0" fontId="4" numFmtId="0" xfId="0" applyAlignment="1" applyFont="1">
      <alignment readingOrder="0" shrinkToFit="0" wrapText="0"/>
    </xf>
    <xf borderId="0" fillId="0" fontId="3" numFmtId="49" xfId="0" applyAlignment="1" applyFont="1" applyNumberFormat="1">
      <alignment horizontal="right"/>
    </xf>
    <xf borderId="0" fillId="0" fontId="3" numFmtId="49" xfId="0" applyAlignment="1" applyFont="1" applyNumberFormat="1">
      <alignment readingOrder="0"/>
    </xf>
    <xf borderId="0" fillId="0" fontId="16" numFmtId="0" xfId="0" applyAlignment="1" applyFont="1">
      <alignment shrinkToFit="0" wrapText="0"/>
    </xf>
    <xf borderId="0" fillId="0" fontId="3" numFmtId="49" xfId="0" applyAlignment="1" applyFont="1" applyNumberFormat="1">
      <alignment shrinkToFit="0" wrapText="0"/>
    </xf>
    <xf borderId="0" fillId="0" fontId="3" numFmtId="49" xfId="0" applyFont="1" applyNumberFormat="1"/>
    <xf borderId="0" fillId="0" fontId="3" numFmtId="49" xfId="0" applyAlignment="1" applyFont="1" applyNumberFormat="1">
      <alignment horizontal="center" readingOrder="0"/>
    </xf>
    <xf borderId="0" fillId="0" fontId="3" numFmtId="49" xfId="0" applyAlignment="1" applyFont="1" applyNumberFormat="1">
      <alignment horizontal="center"/>
    </xf>
    <xf borderId="0" fillId="0" fontId="75" numFmtId="0" xfId="0" applyAlignment="1" applyFont="1">
      <alignment readingOrder="0"/>
    </xf>
    <xf borderId="0" fillId="0" fontId="3" numFmtId="49" xfId="0" applyAlignment="1" applyFont="1" applyNumberFormat="1">
      <alignment horizontal="left" readingOrder="0" shrinkToFit="0" wrapText="0"/>
    </xf>
    <xf borderId="0" fillId="0" fontId="16" numFmtId="0" xfId="0" applyAlignment="1" applyFont="1">
      <alignment readingOrder="0" shrinkToFit="0" wrapText="0"/>
    </xf>
    <xf borderId="0" fillId="0" fontId="3" numFmtId="49" xfId="0" applyAlignment="1" applyFont="1" applyNumberFormat="1">
      <alignment horizontal="right" readingOrder="0"/>
    </xf>
    <xf borderId="0" fillId="0" fontId="9" numFmtId="0" xfId="0" applyAlignment="1" applyFont="1">
      <alignment readingOrder="0" vertical="bottom"/>
    </xf>
    <xf borderId="0" fillId="0" fontId="3" numFmtId="0" xfId="0" applyAlignment="1" applyFont="1">
      <alignment readingOrder="0" shrinkToFit="0" wrapText="0"/>
    </xf>
    <xf borderId="0" fillId="0" fontId="3" numFmtId="0" xfId="0" applyAlignment="1" applyFont="1">
      <alignment readingOrder="0"/>
    </xf>
    <xf borderId="0" fillId="0" fontId="3" numFmtId="0" xfId="0" applyAlignment="1" applyFont="1">
      <alignment horizontal="center"/>
    </xf>
    <xf borderId="0" fillId="0" fontId="3" numFmtId="0" xfId="0" applyAlignment="1" applyFont="1">
      <alignment horizontal="center" readingOrder="0"/>
    </xf>
    <xf borderId="0" fillId="0" fontId="3" numFmtId="0" xfId="0" applyFont="1"/>
    <xf borderId="0" fillId="0" fontId="76" numFmtId="0" xfId="0" applyAlignment="1" applyFont="1">
      <alignment readingOrder="0"/>
    </xf>
    <xf borderId="0" fillId="0" fontId="9" numFmtId="0" xfId="0" applyAlignment="1" applyFont="1">
      <alignment vertical="bottom"/>
    </xf>
    <xf borderId="0" fillId="0" fontId="77" numFmtId="0" xfId="0" applyAlignment="1" applyFont="1">
      <alignment readingOrder="0" shrinkToFit="0" wrapText="0"/>
    </xf>
    <xf borderId="0" fillId="0" fontId="16" numFmtId="49" xfId="0" applyAlignment="1" applyFont="1" applyNumberFormat="1">
      <alignment readingOrder="0"/>
    </xf>
    <xf borderId="0" fillId="0" fontId="3" numFmtId="49" xfId="0" applyAlignment="1" applyFont="1" applyNumberFormat="1">
      <alignment horizontal="right" readingOrder="0" shrinkToFit="0" vertical="bottom" wrapText="0"/>
    </xf>
    <xf borderId="0" fillId="0" fontId="78" numFmtId="0" xfId="0" applyAlignment="1" applyFont="1">
      <alignment readingOrder="0" shrinkToFit="0" wrapText="0"/>
    </xf>
    <xf borderId="0" fillId="0" fontId="70" numFmtId="0" xfId="0" applyAlignment="1" applyFont="1">
      <alignment horizontal="left" readingOrder="0" shrinkToFit="0" vertical="bottom" wrapText="0"/>
    </xf>
    <xf borderId="0" fillId="0" fontId="70" numFmtId="0" xfId="0" applyAlignment="1" applyFont="1">
      <alignment readingOrder="0" shrinkToFit="0" vertical="bottom" wrapText="1"/>
    </xf>
    <xf borderId="0" fillId="0" fontId="70" numFmtId="0" xfId="0" applyAlignment="1" applyFont="1">
      <alignment readingOrder="0" shrinkToFit="0" vertical="bottom" wrapText="0"/>
    </xf>
    <xf borderId="0" fillId="0" fontId="70" numFmtId="0" xfId="0" applyAlignment="1" applyFont="1">
      <alignment readingOrder="0" vertical="bottom"/>
    </xf>
    <xf borderId="0" fillId="0" fontId="70" numFmtId="0" xfId="0" applyAlignment="1" applyFont="1">
      <alignment shrinkToFit="0" vertical="bottom" wrapText="0"/>
    </xf>
    <xf borderId="0" fillId="0" fontId="16" numFmtId="0" xfId="0" applyAlignment="1" applyFont="1">
      <alignment horizontal="left" readingOrder="0"/>
    </xf>
    <xf borderId="0" fillId="3" fontId="79" numFmtId="0" xfId="0" applyAlignment="1" applyFill="1" applyFont="1">
      <alignment horizontal="left" readingOrder="0"/>
    </xf>
    <xf borderId="0" fillId="0" fontId="4" numFmtId="0" xfId="0" applyAlignment="1" applyFont="1">
      <alignment shrinkToFit="0" wrapText="0"/>
    </xf>
    <xf borderId="0" fillId="3" fontId="80" numFmtId="0" xfId="0" applyAlignment="1" applyFill="1" applyFont="1">
      <alignment readingOrder="0"/>
    </xf>
    <xf borderId="0" fillId="3" fontId="81" numFmtId="0" xfId="0" applyAlignment="1" applyFill="1" applyFont="1">
      <alignment readingOrder="0"/>
    </xf>
    <xf borderId="0" fillId="3" fontId="80" numFmtId="49" xfId="0" applyFill="1" applyFont="1" applyNumberFormat="1"/>
    <xf borderId="0" fillId="3" fontId="81" numFmtId="49" xfId="0" applyAlignment="1" applyFill="1" applyFont="1" applyNumberFormat="1">
      <alignment readingOrder="0"/>
    </xf>
    <xf borderId="0" fillId="3" fontId="81" numFmtId="49" xfId="0" applyFill="1" applyFont="1" applyNumberFormat="1"/>
    <xf borderId="0" fillId="3" fontId="82" numFmtId="49" xfId="0" applyAlignment="1" applyFill="1" applyFont="1" applyNumberFormat="1">
      <alignment readingOrder="0"/>
    </xf>
    <xf borderId="0" fillId="0" fontId="2" numFmtId="49" xfId="0" applyAlignment="1" applyFont="1" applyNumberFormat="1">
      <alignment horizontal="left" readingOrder="0" shrinkToFit="0" vertical="bottom" wrapText="0"/>
    </xf>
    <xf borderId="0" fillId="0" fontId="20" numFmtId="49" xfId="0" applyAlignment="1" applyFont="1" applyNumberFormat="1">
      <alignment readingOrder="0"/>
    </xf>
    <xf borderId="0" fillId="0" fontId="9" numFmtId="49" xfId="0" applyAlignment="1" applyFont="1" applyNumberFormat="1">
      <alignment readingOrder="0" shrinkToFit="0" vertical="bottom" wrapText="0"/>
    </xf>
    <xf borderId="0" fillId="0" fontId="4" numFmtId="0" xfId="0" applyAlignment="1" applyFont="1">
      <alignment horizontal="left" readingOrder="0"/>
    </xf>
    <xf borderId="0" fillId="0" fontId="20" numFmtId="0" xfId="0" applyAlignment="1" applyFont="1">
      <alignment readingOrder="0" shrinkToFit="0" wrapText="1"/>
    </xf>
    <xf borderId="0" fillId="0" fontId="4" numFmtId="0" xfId="0" applyAlignment="1" applyFont="1">
      <alignment readingOrder="0" shrinkToFit="0" wrapText="1"/>
    </xf>
    <xf borderId="0" fillId="0" fontId="83" numFmtId="0" xfId="0" applyAlignment="1" applyFont="1">
      <alignment readingOrder="0"/>
    </xf>
    <xf borderId="0" fillId="0" fontId="84" numFmtId="0" xfId="0" applyAlignment="1" applyFont="1">
      <alignment readingOrder="0"/>
    </xf>
    <xf borderId="0" fillId="0" fontId="20" numFmtId="49" xfId="0" applyFont="1" applyNumberFormat="1"/>
    <xf borderId="0" fillId="0" fontId="85" numFmtId="0" xfId="0" applyAlignment="1" applyFont="1">
      <alignment readingOrder="0"/>
    </xf>
    <xf borderId="0" fillId="0" fontId="20" numFmtId="49" xfId="0" applyAlignment="1" applyFont="1" applyNumberFormat="1">
      <alignment readingOrder="0"/>
    </xf>
    <xf borderId="0" fillId="0" fontId="4" numFmtId="0" xfId="0" applyAlignment="1" applyFont="1">
      <alignment readingOrder="0" shrinkToFit="0" wrapText="1"/>
    </xf>
    <xf borderId="0" fillId="0" fontId="1" numFmtId="49" xfId="0" applyAlignment="1" applyFont="1" applyNumberFormat="1">
      <alignment horizontal="left" readingOrder="0" shrinkToFit="0" vertical="bottom" wrapText="0"/>
    </xf>
    <xf borderId="0" fillId="3" fontId="86" numFmtId="0" xfId="0" applyAlignment="1" applyFill="1" applyFont="1">
      <alignment readingOrder="0"/>
    </xf>
    <xf borderId="0" fillId="0" fontId="4" numFmtId="0" xfId="0" applyAlignment="1" applyFont="1">
      <alignment shrinkToFit="0" wrapText="1"/>
    </xf>
    <xf borderId="0" fillId="0" fontId="87"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21" Type="http://schemas.openxmlformats.org/officeDocument/2006/relationships/worksheet" Target="worksheets/sheet17.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lamethods.github.io/chapters/ch13-multichannel/ch13-multi.html" TargetMode="External"/><Relationship Id="rId84" Type="http://schemas.openxmlformats.org/officeDocument/2006/relationships/hyperlink" Target="https://www.researchgate.net/publication/397373099_JTNA_A_Desktop_Software_for_Transition_Network_Analysis" TargetMode="External"/><Relationship Id="rId83" Type="http://schemas.openxmlformats.org/officeDocument/2006/relationships/hyperlink" Target="https://www.researchgate.net/publication/396974410_Designing_an_Educational_Escape_Room_in_Biomedical_Sciences_using_Text-to-Image_Generative_AI" TargetMode="External"/><Relationship Id="rId42" Type="http://schemas.openxmlformats.org/officeDocument/2006/relationships/hyperlink" Target="https://lamethods.github.io/chapters/ch19-psychological-networks/ch19-psych.html" TargetMode="External"/><Relationship Id="rId86" Type="http://schemas.openxmlformats.org/officeDocument/2006/relationships/hyperlink" Target="https://doi.org/10.1016/j.iheduc.2026.101087" TargetMode="External"/><Relationship Id="rId41" Type="http://schemas.openxmlformats.org/officeDocument/2006/relationships/hyperlink" Target="https://lamethods.github.io/chapters/ch08-clustering/ch8-clus.html" TargetMode="External"/><Relationship Id="rId85" Type="http://schemas.openxmlformats.org/officeDocument/2006/relationships/hyperlink" Target="https://doi.org/10.1145/3785022.3785050" TargetMode="External"/><Relationship Id="rId44" Type="http://schemas.openxmlformats.org/officeDocument/2006/relationships/hyperlink" Target="https://lamethods.github.io/chapters/ch10-sequence-analysis/ch10-seq.html" TargetMode="External"/><Relationship Id="rId88" Type="http://schemas.openxmlformats.org/officeDocument/2006/relationships/hyperlink" Target="https://doi.org/10.1016/j.caeai.2026.100649" TargetMode="External"/><Relationship Id="rId43" Type="http://schemas.openxmlformats.org/officeDocument/2006/relationships/hyperlink" Target="https://lamethods.github.io/chapters/ch15-sna/ch15-sna.html" TargetMode="External"/><Relationship Id="rId87" Type="http://schemas.openxmlformats.org/officeDocument/2006/relationships/hyperlink" Target="https://psycnet.apa.org/doi/10.1037/emo0001678" TargetMode="External"/><Relationship Id="rId46" Type="http://schemas.openxmlformats.org/officeDocument/2006/relationships/hyperlink" Target="https://lamethods.github.io/chapters/ch09-model-based-clustering/ch9-model.html" TargetMode="External"/><Relationship Id="rId45" Type="http://schemas.openxmlformats.org/officeDocument/2006/relationships/hyperlink" Target="https://lamethods.github.io/chapters/ch22-conclusion/ch22-conclusion.html" TargetMode="External"/><Relationship Id="rId89" Type="http://schemas.openxmlformats.org/officeDocument/2006/relationships/hyperlink" Target="https://go.uef.fi/method-toolkit-hai" TargetMode="External"/><Relationship Id="rId80" Type="http://schemas.openxmlformats.org/officeDocument/2006/relationships/hyperlink" Target="https://doi.org/10.1080/01443410.2025.2553639" TargetMode="External"/><Relationship Id="rId82" Type="http://schemas.openxmlformats.org/officeDocument/2006/relationships/hyperlink" Target="https://ceur-ws.org/Vol-3994/paper1.pdf" TargetMode="External"/><Relationship Id="rId81" Type="http://schemas.openxmlformats.org/officeDocument/2006/relationships/hyperlink" Target="https://doi.org/10.1145/3767734" TargetMode="External"/><Relationship Id="rId1" Type="http://schemas.openxmlformats.org/officeDocument/2006/relationships/hyperlink" Target="https://ceur-ws.org/Vol-3383/FLAIEC22_paper_6676.pdf" TargetMode="External"/><Relationship Id="rId2" Type="http://schemas.openxmlformats.org/officeDocument/2006/relationships/hyperlink" Target="https://ceur-ws.org/Vol-3383/FLAIEC22_paper_7043.pdf" TargetMode="External"/><Relationship Id="rId3" Type="http://schemas.openxmlformats.org/officeDocument/2006/relationships/hyperlink" Target="https://ceur-ws.org/Vol-3383/FLAIEC22_paper_9625.pdf" TargetMode="External"/><Relationship Id="rId4" Type="http://schemas.openxmlformats.org/officeDocument/2006/relationships/hyperlink" Target="https://ceur-ws.org/Vol-3383/FLAIEC22_paper_9536.pdf" TargetMode="External"/><Relationship Id="rId9" Type="http://schemas.openxmlformats.org/officeDocument/2006/relationships/hyperlink" Target="https://doi-org.ezproxy.uef.fi:2443/10.1016/j.iheduc.2022.100902" TargetMode="External"/><Relationship Id="rId48" Type="http://schemas.openxmlformats.org/officeDocument/2006/relationships/hyperlink" Target="https://lamethods.github.io/chapters/ch05-basic-stats/ch5-stats.html" TargetMode="External"/><Relationship Id="rId47" Type="http://schemas.openxmlformats.org/officeDocument/2006/relationships/hyperlink" Target="https://lamethods.github.io/chapters/ch03-intro-r/ch3-intor.html" TargetMode="External"/><Relationship Id="rId49" Type="http://schemas.openxmlformats.org/officeDocument/2006/relationships/hyperlink" Target="https://lamethods.github.io/chapters/ch20-factor-analysis/ch20-factor.html" TargetMode="External"/><Relationship Id="rId5" Type="http://schemas.openxmlformats.org/officeDocument/2006/relationships/hyperlink" Target="https://ceur-ws.org/Vol-3383/FLAIEC22_paper_2583.pdf" TargetMode="External"/><Relationship Id="rId6" Type="http://schemas.openxmlformats.org/officeDocument/2006/relationships/hyperlink" Target="https://ceur-ws.org/Vol-3383/FLAIEC22_paper_8117.pdf" TargetMode="External"/><Relationship Id="rId7" Type="http://schemas.openxmlformats.org/officeDocument/2006/relationships/hyperlink" Target="https://doi.org/10.14742/ajet.8303" TargetMode="External"/><Relationship Id="rId8" Type="http://schemas.openxmlformats.org/officeDocument/2006/relationships/hyperlink" Target="http://dx.doi.org/10.1007/978-3-031-25336-2_20" TargetMode="External"/><Relationship Id="rId73" Type="http://schemas.openxmlformats.org/officeDocument/2006/relationships/hyperlink" Target="https://doi.org/10.22318/cscl2025.901997" TargetMode="External"/><Relationship Id="rId72" Type="http://schemas.openxmlformats.org/officeDocument/2006/relationships/hyperlink" Target="https://doi.org/10.1145/3706468.3706513" TargetMode="External"/><Relationship Id="rId31" Type="http://schemas.openxmlformats.org/officeDocument/2006/relationships/hyperlink" Target="https://lamethods.github.io/chapters/ch16-community/ch16-comm.html" TargetMode="External"/><Relationship Id="rId75" Type="http://schemas.openxmlformats.org/officeDocument/2006/relationships/hyperlink" Target="https://ceur-ws.org/Vol-3938/Paper_1.pdf" TargetMode="External"/><Relationship Id="rId30" Type="http://schemas.openxmlformats.org/officeDocument/2006/relationships/hyperlink" Target="https://lamethods.github.io/chapters/ch12-markov/ch12-markov.html" TargetMode="External"/><Relationship Id="rId74" Type="http://schemas.openxmlformats.org/officeDocument/2006/relationships/hyperlink" Target="https://ceur-ws.org/Vol-3938/Preface.pdf" TargetMode="External"/><Relationship Id="rId33" Type="http://schemas.openxmlformats.org/officeDocument/2006/relationships/hyperlink" Target="https://lamethods.github.io/chapters/ch07-prediction/ch7-pred.html" TargetMode="External"/><Relationship Id="rId77" Type="http://schemas.openxmlformats.org/officeDocument/2006/relationships/hyperlink" Target="https://doi.org/10.32614/CRAN.package.tna" TargetMode="External"/><Relationship Id="rId32" Type="http://schemas.openxmlformats.org/officeDocument/2006/relationships/hyperlink" Target="https://lamethods.github.io/chapters/ch21-sem/ch21-sem.html" TargetMode="External"/><Relationship Id="rId76" Type="http://schemas.openxmlformats.org/officeDocument/2006/relationships/hyperlink" Target="http://dx.doi.org/10.20868/UPM.book.88943" TargetMode="External"/><Relationship Id="rId35" Type="http://schemas.openxmlformats.org/officeDocument/2006/relationships/hyperlink" Target="https://lamethods.github.io/chapters/ch01-intro/intro.html" TargetMode="External"/><Relationship Id="rId79" Type="http://schemas.openxmlformats.org/officeDocument/2006/relationships/hyperlink" Target="https://doi.org/10.1016/j.learninstruc.2025.102188" TargetMode="External"/><Relationship Id="rId34" Type="http://schemas.openxmlformats.org/officeDocument/2006/relationships/hyperlink" Target="https://lamethods.github.io/chapters/ch04-data-cleaning/ch4-datacleaning.html" TargetMode="External"/><Relationship Id="rId78" Type="http://schemas.openxmlformats.org/officeDocument/2006/relationships/hyperlink" Target="https://doi.org/10.1016/j.iheduc.2025.101031?_gl=1*1myfcma*_ga*MTgxNzAxOTQ2MS4xNzQ5OTc5NTY1*_ga_NY8L5SJPMB*czE3NDk5ODAzMTIkbzEkZzEkdDE3NDk5ODA0NjgkajYwJGwwJGgw" TargetMode="External"/><Relationship Id="rId71" Type="http://schemas.openxmlformats.org/officeDocument/2006/relationships/hyperlink" Target="https://lamethods.org/book2/chapters/ch22-automl/ch22-automl.html" TargetMode="External"/><Relationship Id="rId70" Type="http://schemas.openxmlformats.org/officeDocument/2006/relationships/hyperlink" Target="https://lamethods.org/book2/chapters/ch15-tna/ch15-tna.html" TargetMode="External"/><Relationship Id="rId37" Type="http://schemas.openxmlformats.org/officeDocument/2006/relationships/hyperlink" Target="https://lamethods.github.io/chapters/ch11-vasstra/ch11-vasstra.html" TargetMode="External"/><Relationship Id="rId36" Type="http://schemas.openxmlformats.org/officeDocument/2006/relationships/hyperlink" Target="https://lamethods.github.io/chapters/ch06-data-visualization/ch6-viz.html" TargetMode="External"/><Relationship Id="rId39" Type="http://schemas.openxmlformats.org/officeDocument/2006/relationships/hyperlink" Target="https://lamethods.github.io/chapters/ch02-data/ch2-data.html" TargetMode="External"/><Relationship Id="rId38" Type="http://schemas.openxmlformats.org/officeDocument/2006/relationships/hyperlink" Target="https://lamethods.github.io/chapters/ch14-process-mining/ch14-process.html" TargetMode="External"/><Relationship Id="rId62" Type="http://schemas.openxmlformats.org/officeDocument/2006/relationships/hyperlink" Target="https://ceur-ws.org/Vol-3696/article_2.pdf" TargetMode="External"/><Relationship Id="rId61" Type="http://schemas.openxmlformats.org/officeDocument/2006/relationships/hyperlink" Target="https://ceur-ws.org/Vol-3696/preface.pdf" TargetMode="External"/><Relationship Id="rId20" Type="http://schemas.openxmlformats.org/officeDocument/2006/relationships/hyperlink" Target="https://library.iated.org/keywords/game-based+learning" TargetMode="External"/><Relationship Id="rId64" Type="http://schemas.openxmlformats.org/officeDocument/2006/relationships/hyperlink" Target="https://doi.org/10.1016/j.lindif.2024.102499" TargetMode="External"/><Relationship Id="rId63" Type="http://schemas.openxmlformats.org/officeDocument/2006/relationships/hyperlink" Target="https://doi.org/10.1016/j.lindif.2024.102492" TargetMode="External"/><Relationship Id="rId22" Type="http://schemas.openxmlformats.org/officeDocument/2006/relationships/hyperlink" Target="http://dx.doi.org/10.21125/iceri.2018.1525" TargetMode="External"/><Relationship Id="rId66" Type="http://schemas.openxmlformats.org/officeDocument/2006/relationships/hyperlink" Target="https://doi.org/10.1186/s40561-024-00334-5" TargetMode="External"/><Relationship Id="rId21" Type="http://schemas.openxmlformats.org/officeDocument/2006/relationships/hyperlink" Target="http://dx.doi.org/10.21125/iceri.2019.0560" TargetMode="External"/><Relationship Id="rId65" Type="http://schemas.openxmlformats.org/officeDocument/2006/relationships/hyperlink" Target="https://doi.org/10.13052/jwe1540-9589.2345" TargetMode="External"/><Relationship Id="rId24" Type="http://schemas.openxmlformats.org/officeDocument/2006/relationships/hyperlink" Target="https://ceur-ws.org/Vol-3393/TELL23_preface.pdf" TargetMode="External"/><Relationship Id="rId68" Type="http://schemas.openxmlformats.org/officeDocument/2006/relationships/hyperlink" Target="https://lamethods.github.io/book2/chapters/ch02-AIxAI/ch02-aixai.html" TargetMode="External"/><Relationship Id="rId23" Type="http://schemas.openxmlformats.org/officeDocument/2006/relationships/hyperlink" Target="https://ceur-ws.org/Vol-3383/FLAIEC22_preface.pdf" TargetMode="External"/><Relationship Id="rId67" Type="http://schemas.openxmlformats.org/officeDocument/2006/relationships/hyperlink" Target="https://doi.org/10.1609/aaai.v39i28.35194" TargetMode="External"/><Relationship Id="rId60" Type="http://schemas.openxmlformats.org/officeDocument/2006/relationships/hyperlink" Target="https://ceur-ws.org/Vol-3676/BISEC_Preface.pdf" TargetMode="External"/><Relationship Id="rId26" Type="http://schemas.openxmlformats.org/officeDocument/2006/relationships/hyperlink" Target="https://doi.org/10.1007/978-3-031-55416-2_7" TargetMode="External"/><Relationship Id="rId25" Type="http://schemas.openxmlformats.org/officeDocument/2006/relationships/hyperlink" Target="https://ceur-ws.org/Vol-3393/TELL23_paper_1668_5.pdf" TargetMode="External"/><Relationship Id="rId69" Type="http://schemas.openxmlformats.org/officeDocument/2006/relationships/hyperlink" Target="https://lamethods.org/book2/chapters/ch01-intro/ch01-intro.html" TargetMode="External"/><Relationship Id="rId28" Type="http://schemas.openxmlformats.org/officeDocument/2006/relationships/hyperlink" Target="https://doi.org/10.1016/j.chb.2023.108076" TargetMode="External"/><Relationship Id="rId27" Type="http://schemas.openxmlformats.org/officeDocument/2006/relationships/hyperlink" Target="https://ceur-ws.org/Vol-3454/preface.pdf" TargetMode="External"/><Relationship Id="rId29" Type="http://schemas.openxmlformats.org/officeDocument/2006/relationships/hyperlink" Target="https://doi.org/10.1016/j.lindif.2023.102399" TargetMode="External"/><Relationship Id="rId51" Type="http://schemas.openxmlformats.org/officeDocument/2006/relationships/hyperlink" Target="https://doi.org/10.1111/bjet.13452" TargetMode="External"/><Relationship Id="rId50" Type="http://schemas.openxmlformats.org/officeDocument/2006/relationships/hyperlink" Target="https://doi.org/10.4438/1988-592X-RE-2024-405-626" TargetMode="External"/><Relationship Id="rId53" Type="http://schemas.openxmlformats.org/officeDocument/2006/relationships/hyperlink" Target="https://doi.ieeecomputersociety.org/10.1109/ICALT61570.2024.00010" TargetMode="External"/><Relationship Id="rId52" Type="http://schemas.openxmlformats.org/officeDocument/2006/relationships/hyperlink" Target="https://doi.org/10.1145/3605098.3636072" TargetMode="External"/><Relationship Id="rId11" Type="http://schemas.openxmlformats.org/officeDocument/2006/relationships/hyperlink" Target="https://ceur-ws.org/Vol-3258/article_4.pdf" TargetMode="External"/><Relationship Id="rId55" Type="http://schemas.openxmlformats.org/officeDocument/2006/relationships/hyperlink" Target="http://dx.doi.org/10.1016/B978-0-443-13462-3.00002-9" TargetMode="External"/><Relationship Id="rId10" Type="http://schemas.openxmlformats.org/officeDocument/2006/relationships/hyperlink" Target="https://ceur-ws.org/Vol-3258/xpreface.pdf" TargetMode="External"/><Relationship Id="rId54" Type="http://schemas.openxmlformats.org/officeDocument/2006/relationships/hyperlink" Target="https://doi.org/10.1109/ICALT61570.2024.00031" TargetMode="External"/><Relationship Id="rId13" Type="http://schemas.openxmlformats.org/officeDocument/2006/relationships/hyperlink" Target="https://ceur-ws.org/Vol-2868/article_4.pdf" TargetMode="External"/><Relationship Id="rId57" Type="http://schemas.openxmlformats.org/officeDocument/2006/relationships/hyperlink" Target="https://doi.org/10.22318/cscl2024.105178" TargetMode="External"/><Relationship Id="rId12" Type="http://schemas.openxmlformats.org/officeDocument/2006/relationships/hyperlink" Target="https://ceur-ws.org/Vol-3258/article_5.pdf" TargetMode="External"/><Relationship Id="rId56" Type="http://schemas.openxmlformats.org/officeDocument/2006/relationships/hyperlink" Target="https://doi.org/10.1177/14614448241252820" TargetMode="External"/><Relationship Id="rId91" Type="http://schemas.openxmlformats.org/officeDocument/2006/relationships/drawing" Target="../drawings/drawing1.xml"/><Relationship Id="rId90" Type="http://schemas.openxmlformats.org/officeDocument/2006/relationships/hyperlink" Target="https://doi.org/10.20868/UPM.book.98085" TargetMode="External"/><Relationship Id="rId15" Type="http://schemas.openxmlformats.org/officeDocument/2006/relationships/hyperlink" Target="https://www.solaresearch.org/core/lak21-companion-proceedings/" TargetMode="External"/><Relationship Id="rId59" Type="http://schemas.openxmlformats.org/officeDocument/2006/relationships/hyperlink" Target="https://doi.org/10.1007/978-3-031-72312-4_15" TargetMode="External"/><Relationship Id="rId14" Type="http://schemas.openxmlformats.org/officeDocument/2006/relationships/hyperlink" Target="https://pubmed.ncbi.nlm.nih.gov/34548857" TargetMode="External"/><Relationship Id="rId58" Type="http://schemas.openxmlformats.org/officeDocument/2006/relationships/hyperlink" Target="https://doi.org/10.1016/j.lindif.2024.102463" TargetMode="External"/><Relationship Id="rId17" Type="http://schemas.openxmlformats.org/officeDocument/2006/relationships/hyperlink" Target="http://dx.doi.org/10.21125/iceri.2018.0898" TargetMode="External"/><Relationship Id="rId16" Type="http://schemas.openxmlformats.org/officeDocument/2006/relationships/hyperlink" Target="https://dx.doi.org/10.21125/iceri.2018.0632" TargetMode="External"/><Relationship Id="rId19" Type="http://schemas.openxmlformats.org/officeDocument/2006/relationships/hyperlink" Target="http://dx.doi.org/10.21125/iceri.2019.0557" TargetMode="External"/><Relationship Id="rId18" Type="http://schemas.openxmlformats.org/officeDocument/2006/relationships/hyperlink" Target="http://dx.doi.org/10.21125/iceri.2019.1191"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sites.uef.fi/learning-analytics/tna/"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uefconnect.uef.fi/en/cretic" TargetMode="External"/><Relationship Id="rId2" Type="http://schemas.openxmlformats.org/officeDocument/2006/relationships/hyperlink" Target="https://endgameproject.github.io/" TargetMode="External"/><Relationship Id="rId3" Type="http://schemas.openxmlformats.org/officeDocument/2006/relationships/hyperlink" Target="https://iglue.dit.upm.es/" TargetMode="External"/><Relationship Id="rId4" Type="http://schemas.openxmlformats.org/officeDocument/2006/relationships/hyperlink" Target="https://uefconnect.uef.fi/en/maker-stem-education-equal-access-to-progressive-pedagogies-to-boost-stem-development-for-all-women/" TargetMode="External"/><Relationship Id="rId9" Type="http://schemas.openxmlformats.org/officeDocument/2006/relationships/hyperlink" Target="https://sites.uef.fi/oahot/" TargetMode="External"/><Relationship Id="rId5" Type="http://schemas.openxmlformats.org/officeDocument/2006/relationships/hyperlink" Target="https://blogs.uef.fi/isila/" TargetMode="External"/><Relationship Id="rId6" Type="http://schemas.openxmlformats.org/officeDocument/2006/relationships/hyperlink" Target="https://uefconnect.uef.fi/en/balticseabiomed/" TargetMode="External"/><Relationship Id="rId7" Type="http://schemas.openxmlformats.org/officeDocument/2006/relationships/hyperlink" Target="https://uefconnect.uef.fi/en/balticseabiomed/" TargetMode="External"/><Relationship Id="rId8" Type="http://schemas.openxmlformats.org/officeDocument/2006/relationships/hyperlink" Target="https://uefconnect.uef.fi/en/balticseabiomed/" TargetMode="External"/><Relationship Id="rId20" Type="http://schemas.openxmlformats.org/officeDocument/2006/relationships/hyperlink" Target="https://www.fiware.org/project/boost-4-0.html" TargetMode="External"/><Relationship Id="rId22" Type="http://schemas.openxmlformats.org/officeDocument/2006/relationships/hyperlink" Target="https://iptc.upm.es/eid4u" TargetMode="External"/><Relationship Id="rId21" Type="http://schemas.openxmlformats.org/officeDocument/2006/relationships/hyperlink" Target="https://boost40.eu/" TargetMode="External"/><Relationship Id="rId24" Type="http://schemas.openxmlformats.org/officeDocument/2006/relationships/hyperlink" Target="https://ec.europa.eu/inea/en/connecting-europe-facility/cef-telecom" TargetMode="External"/><Relationship Id="rId23" Type="http://schemas.openxmlformats.org/officeDocument/2006/relationships/hyperlink" Target="https://iptc.upm.es/index.php/cef-connecting-europe-facility-eid-fiware" TargetMode="External"/><Relationship Id="rId26" Type="http://schemas.openxmlformats.org/officeDocument/2006/relationships/hyperlink" Target="https://www.fiware.org/" TargetMode="External"/><Relationship Id="rId25" Type="http://schemas.openxmlformats.org/officeDocument/2006/relationships/hyperlink" Target="https://cordis.europa.eu/project/id/732851/results" TargetMode="External"/><Relationship Id="rId27" Type="http://schemas.openxmlformats.org/officeDocument/2006/relationships/drawing" Target="../drawings/drawing10.xml"/><Relationship Id="rId11" Type="http://schemas.openxmlformats.org/officeDocument/2006/relationships/hyperlink" Target="https://escaperoom.maldita.es/" TargetMode="External"/><Relationship Id="rId10" Type="http://schemas.openxmlformats.org/officeDocument/2006/relationships/hyperlink" Target="https://sites.utu.fi/envision2027/" TargetMode="External"/><Relationship Id="rId13" Type="http://schemas.openxmlformats.org/officeDocument/2006/relationships/hyperlink" Target="https://sites.uef.fi/learning-analytics/projects/ileda/" TargetMode="External"/><Relationship Id="rId12" Type="http://schemas.openxmlformats.org/officeDocument/2006/relationships/hyperlink" Target="http://maldita.es/" TargetMode="External"/><Relationship Id="rId15" Type="http://schemas.openxmlformats.org/officeDocument/2006/relationships/hyperlink" Target="https://kunveno.digital/" TargetMode="External"/><Relationship Id="rId14" Type="http://schemas.openxmlformats.org/officeDocument/2006/relationships/hyperlink" Target="https://iptc.upm.es/smarterp-and-me-activa" TargetMode="External"/><Relationship Id="rId17" Type="http://schemas.openxmlformats.org/officeDocument/2006/relationships/hyperlink" Target="http://yoda.dit.upm.es/" TargetMode="External"/><Relationship Id="rId16" Type="http://schemas.openxmlformats.org/officeDocument/2006/relationships/hyperlink" Target="https://portal-yoda.dit.upm.es/" TargetMode="External"/><Relationship Id="rId19" Type="http://schemas.openxmlformats.org/officeDocument/2006/relationships/hyperlink" Target="https://www.eitdigital.eu/fileadmin/files/2020/factsheets/digital-tech/EIT-Digital-Factsheet-AR4portTwin.pdf" TargetMode="External"/><Relationship Id="rId18" Type="http://schemas.openxmlformats.org/officeDocument/2006/relationships/hyperlink" Target="https://www.fiware.org/2021/03/17/a-rportwin-fiware-powered-ar-tool-created-for-airport-operations/"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github.com/ging/escapp" TargetMode="External"/><Relationship Id="rId2" Type="http://schemas.openxmlformats.org/officeDocument/2006/relationships/hyperlink" Target="https://escapp.es/" TargetMode="External"/><Relationship Id="rId3" Type="http://schemas.openxmlformats.org/officeDocument/2006/relationships/hyperlink" Target="https://youtu.be/8lyekXZXs64" TargetMode="External"/><Relationship Id="rId4" Type="http://schemas.openxmlformats.org/officeDocument/2006/relationships/hyperlink" Target="https://escapp.es/images/puzzle.png" TargetMode="External"/><Relationship Id="rId9" Type="http://schemas.openxmlformats.org/officeDocument/2006/relationships/hyperlink" Target="https://sonsoleslp.shinyapps.io/tna-app/" TargetMode="External"/><Relationship Id="rId5" Type="http://schemas.openxmlformats.org/officeDocument/2006/relationships/hyperlink" Target="https://github.com/sonsoleslp/htna/" TargetMode="External"/><Relationship Id="rId6" Type="http://schemas.openxmlformats.org/officeDocument/2006/relationships/hyperlink" Target="https://sonsoles.me/htna" TargetMode="External"/><Relationship Id="rId7" Type="http://schemas.openxmlformats.org/officeDocument/2006/relationships/hyperlink" Target="https://github.com/sonsoleslp/tna/raw/main/man/figures/logo.png" TargetMode="External"/><Relationship Id="rId8" Type="http://schemas.openxmlformats.org/officeDocument/2006/relationships/hyperlink" Target="https://github.com/sonsoleslp/rlmstudio/" TargetMode="External"/><Relationship Id="rId31" Type="http://schemas.openxmlformats.org/officeDocument/2006/relationships/hyperlink" Target="http://sonsoleslp.github.io/react-click-n-hold/" TargetMode="External"/><Relationship Id="rId30" Type="http://schemas.openxmlformats.org/officeDocument/2006/relationships/hyperlink" Target="https://github.com/sonsoleslp/react-click-n-hold" TargetMode="External"/><Relationship Id="rId33" Type="http://schemas.openxmlformats.org/officeDocument/2006/relationships/hyperlink" Target="https://cyberaula.github.io/quiz-converter/" TargetMode="External"/><Relationship Id="rId32" Type="http://schemas.openxmlformats.org/officeDocument/2006/relationships/hyperlink" Target="https://github.com/sonsoleslp/aiken-to-moodlexml" TargetMode="External"/><Relationship Id="rId35" Type="http://schemas.openxmlformats.org/officeDocument/2006/relationships/hyperlink" Target="https://www.youtube.com/watch?v=n6XN89VSZNg" TargetMode="External"/><Relationship Id="rId34" Type="http://schemas.openxmlformats.org/officeDocument/2006/relationships/hyperlink" Target="https://github.com/ging/fiware-cosmos" TargetMode="External"/><Relationship Id="rId36" Type="http://schemas.openxmlformats.org/officeDocument/2006/relationships/drawing" Target="../drawings/drawing15.xml"/><Relationship Id="rId20" Type="http://schemas.openxmlformats.org/officeDocument/2006/relationships/hyperlink" Target="https://github.com/sonsoleslp/discord-ai-bot/blob/main/logo.png?raw=true" TargetMode="External"/><Relationship Id="rId22" Type="http://schemas.openxmlformats.org/officeDocument/2006/relationships/hyperlink" Target="https://github.com/sonsoleslp/chatgptscrapeR/blob/main/logo.png" TargetMode="External"/><Relationship Id="rId21" Type="http://schemas.openxmlformats.org/officeDocument/2006/relationships/hyperlink" Target="https://github.com/sonsoleslp/chatgptscrapeR" TargetMode="External"/><Relationship Id="rId24" Type="http://schemas.openxmlformats.org/officeDocument/2006/relationships/hyperlink" Target="https://youtu.be/OoPYZcQ5YEc" TargetMode="External"/><Relationship Id="rId23" Type="http://schemas.openxmlformats.org/officeDocument/2006/relationships/hyperlink" Target="https://github.com/sonsoleslp/csv2xAPI" TargetMode="External"/><Relationship Id="rId26" Type="http://schemas.openxmlformats.org/officeDocument/2006/relationships/hyperlink" Target="https://github.com/ging/ediphy" TargetMode="External"/><Relationship Id="rId25" Type="http://schemas.openxmlformats.org/officeDocument/2006/relationships/hyperlink" Target="https://sonsoleslp.shinyapps.io/csv2xapi/" TargetMode="External"/><Relationship Id="rId28" Type="http://schemas.openxmlformats.org/officeDocument/2006/relationships/hyperlink" Target="https://github.com/sonsoleslp/RESCORM-quiz-generator" TargetMode="External"/><Relationship Id="rId27" Type="http://schemas.openxmlformats.org/officeDocument/2006/relationships/hyperlink" Target="https://ging.github.io/ediphy/" TargetMode="External"/><Relationship Id="rId29" Type="http://schemas.openxmlformats.org/officeDocument/2006/relationships/hyperlink" Target="https://sonsoleslp.github.io/RESCORM-quiz-generator/" TargetMode="External"/><Relationship Id="rId11" Type="http://schemas.openxmlformats.org/officeDocument/2006/relationships/hyperlink" Target="https://github.com/sonsoleslp/tna/raw/main/man/figures/logo.png" TargetMode="External"/><Relationship Id="rId10" Type="http://schemas.openxmlformats.org/officeDocument/2006/relationships/hyperlink" Target="https://sonsoles.me/tna" TargetMode="External"/><Relationship Id="rId13" Type="http://schemas.openxmlformats.org/officeDocument/2006/relationships/hyperlink" Target="https://sonsoles.me/tna" TargetMode="External"/><Relationship Id="rId12" Type="http://schemas.openxmlformats.org/officeDocument/2006/relationships/hyperlink" Target="https://github.com/sonsoleslp/cograph" TargetMode="External"/><Relationship Id="rId15" Type="http://schemas.openxmlformats.org/officeDocument/2006/relationships/hyperlink" Target="https://github.com/sonsoleslp/litReview" TargetMode="External"/><Relationship Id="rId14" Type="http://schemas.openxmlformats.org/officeDocument/2006/relationships/hyperlink" Target="https://sonsoles.me/cograph/reference/figures/logo.png" TargetMode="External"/><Relationship Id="rId17" Type="http://schemas.openxmlformats.org/officeDocument/2006/relationships/hyperlink" Target="https://sonsoles.me/litReview" TargetMode="External"/><Relationship Id="rId16" Type="http://schemas.openxmlformats.org/officeDocument/2006/relationships/hyperlink" Target="https://sonsoleslp.shinyapps.io/litReview/" TargetMode="External"/><Relationship Id="rId19" Type="http://schemas.openxmlformats.org/officeDocument/2006/relationships/hyperlink" Target="https://github.com/sonsoleslp/discord-ai-bot" TargetMode="External"/><Relationship Id="rId18" Type="http://schemas.openxmlformats.org/officeDocument/2006/relationships/hyperlink" Target="https://sonsoles.me/litReview/logo.png" TargetMode="Externa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6.75"/>
    <col customWidth="1" min="2" max="2" width="38.25"/>
    <col customWidth="1" min="3" max="3" width="6.88"/>
    <col customWidth="1" min="4" max="4" width="24.25"/>
    <col customWidth="1" min="5" max="5" width="9.88"/>
    <col customWidth="1" min="6" max="6" width="5.13"/>
    <col customWidth="1" min="7" max="7" width="8.13"/>
    <col customWidth="1" min="8" max="8" width="6.13"/>
    <col customWidth="1" min="9" max="9" width="7.5"/>
    <col customWidth="1" min="10" max="10" width="28.13"/>
    <col customWidth="1" min="11" max="11" width="13.63"/>
    <col customWidth="1" min="13" max="13" width="20.88"/>
    <col customWidth="1" min="14" max="14" width="11.63"/>
    <col customWidth="1" min="16" max="17" width="8.5"/>
    <col customWidth="1" min="18" max="18" width="15.88"/>
    <col customWidth="1" min="19" max="21" width="11.0"/>
    <col customWidth="1" min="23" max="23" width="6.13"/>
  </cols>
  <sheetData>
    <row r="1">
      <c r="A1" s="2" t="s">
        <v>1</v>
      </c>
      <c r="B1" s="2" t="s">
        <v>3</v>
      </c>
      <c r="C1" s="2" t="s">
        <v>6</v>
      </c>
      <c r="D1" s="5" t="s">
        <v>8</v>
      </c>
      <c r="E1" s="7" t="s">
        <v>11</v>
      </c>
      <c r="F1" s="2" t="s">
        <v>13</v>
      </c>
      <c r="G1" s="2" t="s">
        <v>15</v>
      </c>
      <c r="H1" s="2" t="s">
        <v>16</v>
      </c>
      <c r="I1" s="2" t="s">
        <v>18</v>
      </c>
      <c r="J1" s="11" t="s">
        <v>21</v>
      </c>
      <c r="K1" s="2" t="s">
        <v>25</v>
      </c>
      <c r="L1" s="2" t="s">
        <v>27</v>
      </c>
      <c r="M1" s="5" t="s">
        <v>28</v>
      </c>
      <c r="N1" s="5" t="s">
        <v>30</v>
      </c>
      <c r="O1" s="10" t="s">
        <v>39</v>
      </c>
      <c r="P1" s="4" t="s">
        <v>32</v>
      </c>
      <c r="Q1" s="4" t="s">
        <v>33</v>
      </c>
      <c r="R1" s="4" t="s">
        <v>34</v>
      </c>
      <c r="S1" s="12" t="s">
        <v>35</v>
      </c>
      <c r="T1" s="12" t="s">
        <v>36</v>
      </c>
      <c r="U1" s="12" t="s">
        <v>37</v>
      </c>
      <c r="V1" s="13" t="s">
        <v>38</v>
      </c>
      <c r="W1" s="13" t="s">
        <v>41</v>
      </c>
      <c r="X1" s="14"/>
      <c r="Y1" s="14"/>
      <c r="Z1" s="14"/>
      <c r="AA1" s="14"/>
      <c r="AB1" s="14"/>
      <c r="AC1" s="14"/>
      <c r="AD1" s="14"/>
      <c r="AE1" s="14"/>
      <c r="AF1" s="14"/>
      <c r="AG1" s="14"/>
      <c r="AH1" s="15"/>
    </row>
    <row r="2">
      <c r="A2" s="19" t="s">
        <v>43</v>
      </c>
      <c r="B2" s="19" t="s">
        <v>44</v>
      </c>
      <c r="C2" s="19" t="s">
        <v>45</v>
      </c>
      <c r="D2" s="20" t="s">
        <v>46</v>
      </c>
      <c r="E2" s="22" t="s">
        <v>47</v>
      </c>
      <c r="F2" s="19" t="s">
        <v>48</v>
      </c>
      <c r="G2" s="24"/>
      <c r="H2" s="24" t="s">
        <v>49</v>
      </c>
      <c r="I2" s="24" t="s">
        <v>50</v>
      </c>
      <c r="J2" s="27" t="s">
        <v>51</v>
      </c>
      <c r="K2" s="28"/>
      <c r="L2" s="29" t="s">
        <v>52</v>
      </c>
      <c r="M2" s="19" t="s">
        <v>53</v>
      </c>
      <c r="N2" s="20" t="s">
        <v>54</v>
      </c>
      <c r="O2" s="30" t="s">
        <v>56</v>
      </c>
      <c r="P2" s="32" t="s">
        <v>58</v>
      </c>
      <c r="Q2" s="32"/>
      <c r="R2" s="32"/>
      <c r="S2" s="33"/>
      <c r="T2" s="33"/>
      <c r="U2" s="33" t="s">
        <v>62</v>
      </c>
      <c r="V2" s="35"/>
      <c r="W2" s="23" t="s">
        <v>63</v>
      </c>
      <c r="X2" s="35"/>
      <c r="Y2" s="35"/>
      <c r="Z2" s="35"/>
      <c r="AA2" s="35"/>
      <c r="AB2" s="35"/>
      <c r="AC2" s="35"/>
      <c r="AD2" s="35"/>
      <c r="AE2" s="35"/>
      <c r="AF2" s="35"/>
      <c r="AG2" s="35"/>
      <c r="AH2" s="35"/>
    </row>
    <row r="3">
      <c r="A3" s="24" t="s">
        <v>65</v>
      </c>
      <c r="B3" s="24" t="s">
        <v>66</v>
      </c>
      <c r="C3" s="24" t="s">
        <v>45</v>
      </c>
      <c r="D3" s="20" t="s">
        <v>67</v>
      </c>
      <c r="E3" s="41" t="s">
        <v>68</v>
      </c>
      <c r="F3" s="24"/>
      <c r="G3" s="24"/>
      <c r="H3" s="24" t="s">
        <v>69</v>
      </c>
      <c r="I3" s="24"/>
      <c r="J3" s="43"/>
      <c r="K3" s="28" t="s">
        <v>70</v>
      </c>
      <c r="L3" s="24" t="s">
        <v>79</v>
      </c>
      <c r="M3" s="24" t="s">
        <v>82</v>
      </c>
      <c r="N3" s="48" t="s">
        <v>83</v>
      </c>
      <c r="O3" s="30"/>
      <c r="P3" s="32" t="s">
        <v>58</v>
      </c>
      <c r="Q3" s="32"/>
      <c r="R3" s="32"/>
      <c r="S3" s="49"/>
      <c r="T3" s="49"/>
      <c r="U3" s="49"/>
      <c r="V3" s="35"/>
      <c r="W3" s="35"/>
      <c r="X3" s="35"/>
      <c r="Y3" s="35"/>
      <c r="Z3" s="35"/>
      <c r="AA3" s="35"/>
      <c r="AB3" s="35"/>
      <c r="AC3" s="35"/>
      <c r="AD3" s="35"/>
      <c r="AE3" s="35"/>
      <c r="AF3" s="35"/>
      <c r="AG3" s="35"/>
      <c r="AH3" s="35"/>
    </row>
    <row r="4">
      <c r="A4" s="24" t="s">
        <v>87</v>
      </c>
      <c r="B4" s="24" t="s">
        <v>88</v>
      </c>
      <c r="C4" s="24" t="s">
        <v>45</v>
      </c>
      <c r="D4" s="20" t="s">
        <v>67</v>
      </c>
      <c r="E4" s="41" t="s">
        <v>68</v>
      </c>
      <c r="F4" s="24"/>
      <c r="G4" s="24"/>
      <c r="H4" s="24" t="s">
        <v>90</v>
      </c>
      <c r="I4" s="24" t="s">
        <v>91</v>
      </c>
      <c r="J4" s="43"/>
      <c r="K4" s="28" t="s">
        <v>93</v>
      </c>
      <c r="L4" s="24" t="s">
        <v>79</v>
      </c>
      <c r="M4" s="24" t="s">
        <v>113</v>
      </c>
      <c r="N4" s="48" t="s">
        <v>114</v>
      </c>
      <c r="O4" s="30"/>
      <c r="P4" s="32" t="s">
        <v>58</v>
      </c>
      <c r="Q4" s="32" t="s">
        <v>58</v>
      </c>
      <c r="R4" s="32"/>
      <c r="S4" s="49"/>
      <c r="T4" s="49"/>
      <c r="U4" s="49"/>
      <c r="V4" s="35"/>
      <c r="W4" s="35"/>
      <c r="X4" s="35"/>
      <c r="Y4" s="35"/>
      <c r="Z4" s="35"/>
      <c r="AA4" s="35"/>
      <c r="AB4" s="35"/>
      <c r="AC4" s="35"/>
      <c r="AD4" s="35"/>
      <c r="AE4" s="35"/>
      <c r="AF4" s="35"/>
      <c r="AG4" s="35"/>
      <c r="AH4" s="35"/>
    </row>
    <row r="5">
      <c r="A5" s="24" t="s">
        <v>117</v>
      </c>
      <c r="B5" s="24" t="s">
        <v>118</v>
      </c>
      <c r="C5" s="24" t="s">
        <v>45</v>
      </c>
      <c r="D5" s="20" t="s">
        <v>67</v>
      </c>
      <c r="E5" s="41" t="s">
        <v>68</v>
      </c>
      <c r="F5" s="24"/>
      <c r="G5" s="24"/>
      <c r="H5" s="24" t="s">
        <v>120</v>
      </c>
      <c r="I5" s="24" t="s">
        <v>121</v>
      </c>
      <c r="J5" s="43"/>
      <c r="K5" s="28" t="s">
        <v>122</v>
      </c>
      <c r="L5" s="24" t="s">
        <v>79</v>
      </c>
      <c r="M5" s="24" t="s">
        <v>127</v>
      </c>
      <c r="N5" s="48" t="s">
        <v>128</v>
      </c>
      <c r="O5" s="30"/>
      <c r="P5" s="32" t="s">
        <v>58</v>
      </c>
      <c r="Q5" s="32" t="s">
        <v>58</v>
      </c>
      <c r="R5" s="32"/>
      <c r="S5" s="49"/>
      <c r="T5" s="49"/>
      <c r="U5" s="49"/>
      <c r="V5" s="35"/>
      <c r="W5" s="23" t="s">
        <v>130</v>
      </c>
      <c r="X5" s="35"/>
      <c r="Y5" s="35"/>
      <c r="Z5" s="35"/>
      <c r="AA5" s="35"/>
      <c r="AB5" s="35"/>
      <c r="AC5" s="35"/>
      <c r="AD5" s="35"/>
      <c r="AE5" s="35"/>
      <c r="AF5" s="35"/>
      <c r="AG5" s="35"/>
      <c r="AH5" s="35"/>
    </row>
    <row r="6">
      <c r="A6" s="24" t="s">
        <v>131</v>
      </c>
      <c r="B6" s="24" t="s">
        <v>133</v>
      </c>
      <c r="C6" s="24" t="s">
        <v>45</v>
      </c>
      <c r="D6" s="20" t="s">
        <v>67</v>
      </c>
      <c r="E6" s="41" t="s">
        <v>68</v>
      </c>
      <c r="F6" s="24"/>
      <c r="G6" s="24"/>
      <c r="H6" s="24" t="s">
        <v>134</v>
      </c>
      <c r="I6" s="24" t="s">
        <v>135</v>
      </c>
      <c r="J6" s="43"/>
      <c r="K6" s="28" t="s">
        <v>137</v>
      </c>
      <c r="L6" s="24" t="s">
        <v>79</v>
      </c>
      <c r="M6" s="24" t="s">
        <v>142</v>
      </c>
      <c r="N6" s="48" t="s">
        <v>144</v>
      </c>
      <c r="O6" s="30"/>
      <c r="P6" s="32" t="s">
        <v>58</v>
      </c>
      <c r="Q6" s="32"/>
      <c r="R6" s="32"/>
      <c r="S6" s="49"/>
      <c r="T6" s="49"/>
      <c r="U6" s="49"/>
      <c r="V6" s="35"/>
      <c r="W6" s="23" t="s">
        <v>130</v>
      </c>
      <c r="X6" s="35"/>
      <c r="Y6" s="35"/>
      <c r="Z6" s="35"/>
      <c r="AA6" s="35"/>
      <c r="AB6" s="35"/>
      <c r="AC6" s="35"/>
      <c r="AD6" s="35"/>
      <c r="AE6" s="35"/>
      <c r="AF6" s="35"/>
      <c r="AG6" s="35"/>
      <c r="AH6" s="35"/>
    </row>
    <row r="7">
      <c r="A7" s="24" t="s">
        <v>145</v>
      </c>
      <c r="B7" s="24" t="s">
        <v>146</v>
      </c>
      <c r="C7" s="24" t="s">
        <v>45</v>
      </c>
      <c r="D7" s="20" t="s">
        <v>67</v>
      </c>
      <c r="E7" s="41" t="s">
        <v>68</v>
      </c>
      <c r="F7" s="24"/>
      <c r="G7" s="24"/>
      <c r="H7" s="24" t="s">
        <v>147</v>
      </c>
      <c r="I7" s="24" t="s">
        <v>148</v>
      </c>
      <c r="J7" s="43"/>
      <c r="K7" s="28" t="s">
        <v>149</v>
      </c>
      <c r="L7" s="24" t="s">
        <v>79</v>
      </c>
      <c r="M7" s="24" t="s">
        <v>150</v>
      </c>
      <c r="N7" s="48" t="s">
        <v>151</v>
      </c>
      <c r="O7" s="30"/>
      <c r="P7" s="32" t="s">
        <v>58</v>
      </c>
      <c r="Q7" s="32"/>
      <c r="R7" s="32"/>
      <c r="S7" s="49"/>
      <c r="T7" s="49"/>
      <c r="U7" s="49"/>
      <c r="V7" s="35"/>
      <c r="W7" s="23" t="s">
        <v>130</v>
      </c>
      <c r="X7" s="35"/>
      <c r="Y7" s="35"/>
      <c r="Z7" s="35"/>
      <c r="AA7" s="35"/>
      <c r="AB7" s="35"/>
      <c r="AC7" s="35"/>
      <c r="AD7" s="35"/>
      <c r="AE7" s="35"/>
      <c r="AF7" s="35"/>
      <c r="AG7" s="35"/>
      <c r="AH7" s="35"/>
    </row>
    <row r="8">
      <c r="A8" s="19" t="s">
        <v>152</v>
      </c>
      <c r="B8" s="19" t="s">
        <v>153</v>
      </c>
      <c r="C8" s="24" t="s">
        <v>45</v>
      </c>
      <c r="D8" s="20" t="s">
        <v>67</v>
      </c>
      <c r="E8" s="41" t="s">
        <v>68</v>
      </c>
      <c r="F8" s="24"/>
      <c r="G8" s="24"/>
      <c r="H8" s="24" t="s">
        <v>154</v>
      </c>
      <c r="I8" s="24" t="s">
        <v>49</v>
      </c>
      <c r="J8" s="43"/>
      <c r="K8" s="56" t="s">
        <v>155</v>
      </c>
      <c r="L8" s="24" t="s">
        <v>79</v>
      </c>
      <c r="M8" s="19" t="s">
        <v>156</v>
      </c>
      <c r="N8" s="20" t="s">
        <v>157</v>
      </c>
      <c r="O8" s="30"/>
      <c r="P8" s="32" t="s">
        <v>58</v>
      </c>
      <c r="Q8" s="32"/>
      <c r="R8" s="32"/>
      <c r="S8" s="49"/>
      <c r="T8" s="33" t="s">
        <v>58</v>
      </c>
      <c r="U8" s="49"/>
      <c r="V8" s="35"/>
      <c r="W8" s="23" t="s">
        <v>130</v>
      </c>
      <c r="X8" s="35"/>
      <c r="Y8" s="35"/>
      <c r="Z8" s="35"/>
      <c r="AA8" s="35"/>
      <c r="AB8" s="35"/>
      <c r="AC8" s="35"/>
      <c r="AD8" s="35"/>
      <c r="AE8" s="35"/>
      <c r="AF8" s="35"/>
      <c r="AG8" s="35"/>
      <c r="AH8" s="35"/>
    </row>
    <row r="9">
      <c r="A9" s="57" t="s">
        <v>158</v>
      </c>
      <c r="B9" s="57" t="s">
        <v>159</v>
      </c>
      <c r="C9" s="24" t="s">
        <v>45</v>
      </c>
      <c r="D9" s="58" t="s">
        <v>160</v>
      </c>
      <c r="E9" s="59"/>
      <c r="F9" s="24"/>
      <c r="G9" s="24"/>
      <c r="H9" s="24" t="s">
        <v>161</v>
      </c>
      <c r="I9" s="24" t="s">
        <v>162</v>
      </c>
      <c r="J9" s="60" t="s">
        <v>163</v>
      </c>
      <c r="K9" s="61"/>
      <c r="L9" s="24" t="s">
        <v>79</v>
      </c>
      <c r="M9" s="24" t="s">
        <v>164</v>
      </c>
      <c r="N9" s="48" t="s">
        <v>165</v>
      </c>
      <c r="O9" s="24"/>
      <c r="P9" s="62" t="s">
        <v>58</v>
      </c>
      <c r="Q9" s="62"/>
      <c r="R9" s="62"/>
      <c r="S9" s="63"/>
      <c r="T9" s="63"/>
      <c r="U9" s="63"/>
      <c r="V9" s="64"/>
      <c r="W9" s="23" t="s">
        <v>130</v>
      </c>
      <c r="X9" s="64"/>
      <c r="Y9" s="64"/>
      <c r="Z9" s="64"/>
      <c r="AA9" s="64"/>
      <c r="AB9" s="64"/>
      <c r="AC9" s="64"/>
      <c r="AD9" s="64"/>
      <c r="AE9" s="64"/>
      <c r="AF9" s="64"/>
      <c r="AG9" s="64"/>
      <c r="AH9" s="64"/>
    </row>
    <row r="10">
      <c r="A10" s="19" t="s">
        <v>166</v>
      </c>
      <c r="B10" s="57" t="s">
        <v>167</v>
      </c>
      <c r="C10" s="24" t="s">
        <v>45</v>
      </c>
      <c r="D10" s="58" t="s">
        <v>160</v>
      </c>
      <c r="E10" s="41"/>
      <c r="F10" s="24"/>
      <c r="G10" s="24"/>
      <c r="H10" s="24" t="s">
        <v>168</v>
      </c>
      <c r="I10" s="24" t="s">
        <v>169</v>
      </c>
      <c r="J10" s="60" t="s">
        <v>170</v>
      </c>
      <c r="K10" s="61"/>
      <c r="L10" s="24" t="s">
        <v>79</v>
      </c>
      <c r="M10" s="24" t="s">
        <v>171</v>
      </c>
      <c r="N10" s="48" t="s">
        <v>172</v>
      </c>
      <c r="O10" s="24"/>
      <c r="P10" s="63"/>
      <c r="Q10" s="63"/>
      <c r="R10" s="63"/>
      <c r="S10" s="63"/>
      <c r="T10" s="63"/>
      <c r="U10" s="63"/>
      <c r="V10" s="64"/>
      <c r="W10" s="23" t="s">
        <v>130</v>
      </c>
      <c r="X10" s="64"/>
      <c r="Y10" s="64"/>
      <c r="Z10" s="64"/>
      <c r="AA10" s="64"/>
      <c r="AB10" s="64"/>
      <c r="AC10" s="64"/>
      <c r="AD10" s="64"/>
      <c r="AE10" s="64"/>
      <c r="AF10" s="64"/>
      <c r="AG10" s="64"/>
      <c r="AH10" s="64"/>
    </row>
    <row r="11">
      <c r="A11" s="29" t="s">
        <v>173</v>
      </c>
      <c r="B11" s="29" t="s">
        <v>174</v>
      </c>
      <c r="C11" s="29" t="s">
        <v>45</v>
      </c>
      <c r="D11" s="65" t="s">
        <v>175</v>
      </c>
      <c r="E11" s="67" t="s">
        <v>177</v>
      </c>
      <c r="F11" s="68" t="s">
        <v>178</v>
      </c>
      <c r="G11" s="69"/>
      <c r="H11" s="24" t="s">
        <v>180</v>
      </c>
      <c r="I11" s="24" t="s">
        <v>50</v>
      </c>
      <c r="J11" s="60" t="s">
        <v>182</v>
      </c>
      <c r="K11" s="72"/>
      <c r="L11" s="29" t="s">
        <v>52</v>
      </c>
      <c r="M11" s="65" t="s">
        <v>194</v>
      </c>
      <c r="N11" s="65" t="s">
        <v>195</v>
      </c>
      <c r="O11" s="30" t="s">
        <v>31</v>
      </c>
      <c r="P11" s="73" t="s">
        <v>58</v>
      </c>
      <c r="Q11" s="73"/>
      <c r="R11" s="73"/>
      <c r="S11" s="49"/>
      <c r="T11" s="49"/>
      <c r="U11" s="49"/>
      <c r="V11" s="35"/>
      <c r="W11" s="23" t="s">
        <v>63</v>
      </c>
      <c r="X11" s="35"/>
      <c r="Y11" s="35"/>
      <c r="Z11" s="35"/>
      <c r="AA11" s="35"/>
      <c r="AB11" s="35"/>
      <c r="AC11" s="35"/>
      <c r="AD11" s="35"/>
      <c r="AE11" s="35"/>
      <c r="AF11" s="35"/>
      <c r="AG11" s="35"/>
      <c r="AH11" s="35"/>
    </row>
    <row r="12">
      <c r="A12" s="29" t="s">
        <v>200</v>
      </c>
      <c r="B12" s="29" t="s">
        <v>201</v>
      </c>
      <c r="C12" s="29" t="s">
        <v>45</v>
      </c>
      <c r="D12" s="65" t="s">
        <v>202</v>
      </c>
      <c r="E12" s="67" t="s">
        <v>203</v>
      </c>
      <c r="F12" s="29"/>
      <c r="G12" s="69" t="s">
        <v>204</v>
      </c>
      <c r="H12" s="24"/>
      <c r="I12" s="24"/>
      <c r="J12" s="60" t="s">
        <v>206</v>
      </c>
      <c r="K12" s="72"/>
      <c r="L12" s="29" t="s">
        <v>52</v>
      </c>
      <c r="M12" s="65" t="s">
        <v>208</v>
      </c>
      <c r="N12" s="65" t="s">
        <v>209</v>
      </c>
      <c r="O12" s="30" t="s">
        <v>31</v>
      </c>
      <c r="P12" s="73" t="s">
        <v>58</v>
      </c>
      <c r="Q12" s="73"/>
      <c r="R12" s="73"/>
      <c r="S12" s="33"/>
      <c r="T12" s="33"/>
      <c r="U12" s="33" t="s">
        <v>210</v>
      </c>
      <c r="V12" s="35"/>
      <c r="W12" s="23" t="s">
        <v>63</v>
      </c>
      <c r="X12" s="35"/>
      <c r="Y12" s="35"/>
      <c r="Z12" s="35"/>
      <c r="AA12" s="35"/>
      <c r="AB12" s="35"/>
      <c r="AC12" s="35"/>
      <c r="AD12" s="35"/>
      <c r="AE12" s="35"/>
      <c r="AF12" s="35"/>
      <c r="AG12" s="35"/>
      <c r="AH12" s="35"/>
    </row>
    <row r="13">
      <c r="A13" s="68" t="s">
        <v>211</v>
      </c>
      <c r="B13" s="68" t="s">
        <v>212</v>
      </c>
      <c r="C13" s="74" t="s">
        <v>45</v>
      </c>
      <c r="D13" s="75" t="s">
        <v>213</v>
      </c>
      <c r="E13" s="41"/>
      <c r="F13" s="74"/>
      <c r="G13" s="74"/>
      <c r="H13" s="24" t="s">
        <v>214</v>
      </c>
      <c r="I13" s="24" t="s">
        <v>215</v>
      </c>
      <c r="J13" s="60" t="s">
        <v>216</v>
      </c>
      <c r="K13" s="76"/>
      <c r="L13" s="74" t="s">
        <v>217</v>
      </c>
      <c r="M13" s="77" t="s">
        <v>218</v>
      </c>
      <c r="N13" s="75" t="s">
        <v>219</v>
      </c>
      <c r="O13" s="74"/>
      <c r="P13" s="32"/>
      <c r="Q13" s="32"/>
      <c r="R13" s="32" t="s">
        <v>58</v>
      </c>
      <c r="S13" s="63"/>
      <c r="T13" s="63"/>
      <c r="U13" s="63"/>
      <c r="V13" s="78"/>
      <c r="W13" s="79" t="s">
        <v>220</v>
      </c>
      <c r="X13" s="78"/>
      <c r="Y13" s="78"/>
      <c r="Z13" s="78"/>
      <c r="AA13" s="78"/>
      <c r="AB13" s="78"/>
      <c r="AC13" s="78"/>
      <c r="AD13" s="78"/>
      <c r="AE13" s="78"/>
      <c r="AF13" s="78"/>
      <c r="AG13" s="78"/>
      <c r="AH13" s="78"/>
    </row>
    <row r="14">
      <c r="A14" s="68" t="s">
        <v>221</v>
      </c>
      <c r="B14" s="68" t="s">
        <v>222</v>
      </c>
      <c r="C14" s="74" t="s">
        <v>45</v>
      </c>
      <c r="D14" s="75" t="s">
        <v>223</v>
      </c>
      <c r="E14" s="41"/>
      <c r="F14" s="74"/>
      <c r="G14" s="74"/>
      <c r="H14" s="24" t="s">
        <v>224</v>
      </c>
      <c r="I14" s="24" t="s">
        <v>225</v>
      </c>
      <c r="J14" s="60" t="s">
        <v>226</v>
      </c>
      <c r="K14" s="76"/>
      <c r="L14" s="74" t="s">
        <v>217</v>
      </c>
      <c r="M14" s="77" t="s">
        <v>227</v>
      </c>
      <c r="N14" s="75" t="s">
        <v>228</v>
      </c>
      <c r="O14" s="74"/>
      <c r="P14" s="32"/>
      <c r="Q14" s="32"/>
      <c r="R14" s="32" t="s">
        <v>58</v>
      </c>
      <c r="S14" s="63"/>
      <c r="T14" s="63"/>
      <c r="U14" s="63"/>
      <c r="V14" s="78"/>
      <c r="W14" s="79" t="s">
        <v>220</v>
      </c>
      <c r="X14" s="78"/>
      <c r="Y14" s="78"/>
      <c r="Z14" s="78"/>
      <c r="AA14" s="78"/>
      <c r="AB14" s="78"/>
      <c r="AC14" s="78"/>
      <c r="AD14" s="78"/>
      <c r="AE14" s="78"/>
      <c r="AF14" s="78"/>
      <c r="AG14" s="78"/>
      <c r="AH14" s="78"/>
    </row>
    <row r="15">
      <c r="A15" s="68" t="s">
        <v>229</v>
      </c>
      <c r="B15" s="68" t="s">
        <v>230</v>
      </c>
      <c r="C15" s="74" t="s">
        <v>45</v>
      </c>
      <c r="D15" s="75" t="s">
        <v>223</v>
      </c>
      <c r="E15" s="41"/>
      <c r="F15" s="74"/>
      <c r="G15" s="74"/>
      <c r="H15" s="24" t="s">
        <v>231</v>
      </c>
      <c r="I15" s="24" t="s">
        <v>232</v>
      </c>
      <c r="J15" s="60" t="s">
        <v>233</v>
      </c>
      <c r="K15" s="76"/>
      <c r="L15" s="74" t="s">
        <v>217</v>
      </c>
      <c r="M15" s="80" t="s">
        <v>234</v>
      </c>
      <c r="N15" s="75"/>
      <c r="O15" s="74"/>
      <c r="P15" s="32"/>
      <c r="Q15" s="32"/>
      <c r="R15" s="32" t="s">
        <v>58</v>
      </c>
      <c r="S15" s="63"/>
      <c r="T15" s="63"/>
      <c r="U15" s="63"/>
      <c r="V15" s="78"/>
      <c r="W15" s="79" t="s">
        <v>220</v>
      </c>
      <c r="X15" s="78"/>
      <c r="Y15" s="78"/>
      <c r="Z15" s="78"/>
      <c r="AA15" s="78"/>
      <c r="AB15" s="78"/>
      <c r="AC15" s="78"/>
      <c r="AD15" s="78"/>
      <c r="AE15" s="78"/>
      <c r="AF15" s="78"/>
      <c r="AG15" s="78"/>
      <c r="AH15" s="78"/>
    </row>
    <row r="16">
      <c r="A16" s="68" t="s">
        <v>235</v>
      </c>
      <c r="B16" s="68" t="s">
        <v>236</v>
      </c>
      <c r="C16" s="74" t="s">
        <v>45</v>
      </c>
      <c r="D16" s="75" t="s">
        <v>223</v>
      </c>
      <c r="E16" s="41"/>
      <c r="F16" s="74"/>
      <c r="G16" s="74"/>
      <c r="H16" s="24" t="s">
        <v>237</v>
      </c>
      <c r="I16" s="24" t="s">
        <v>238</v>
      </c>
      <c r="J16" s="60" t="s">
        <v>239</v>
      </c>
      <c r="K16" s="76"/>
      <c r="L16" s="74" t="s">
        <v>217</v>
      </c>
      <c r="M16" s="80" t="s">
        <v>240</v>
      </c>
      <c r="N16" s="75"/>
      <c r="O16" s="74"/>
      <c r="P16" s="32"/>
      <c r="Q16" s="32"/>
      <c r="R16" s="32" t="s">
        <v>58</v>
      </c>
      <c r="S16" s="63"/>
      <c r="T16" s="63"/>
      <c r="U16" s="63"/>
      <c r="V16" s="78"/>
      <c r="W16" s="79" t="s">
        <v>220</v>
      </c>
      <c r="X16" s="78"/>
      <c r="Y16" s="78"/>
      <c r="Z16" s="78"/>
      <c r="AA16" s="78"/>
      <c r="AB16" s="78"/>
      <c r="AC16" s="78"/>
      <c r="AD16" s="78"/>
      <c r="AE16" s="78"/>
      <c r="AF16" s="78"/>
      <c r="AG16" s="78"/>
      <c r="AH16" s="78"/>
    </row>
    <row r="17">
      <c r="A17" s="68" t="s">
        <v>241</v>
      </c>
      <c r="B17" s="68" t="s">
        <v>242</v>
      </c>
      <c r="C17" s="74" t="s">
        <v>45</v>
      </c>
      <c r="D17" s="75" t="s">
        <v>223</v>
      </c>
      <c r="E17" s="41"/>
      <c r="F17" s="74"/>
      <c r="G17" s="74"/>
      <c r="H17" s="24" t="s">
        <v>243</v>
      </c>
      <c r="I17" s="24" t="s">
        <v>244</v>
      </c>
      <c r="J17" s="60" t="s">
        <v>245</v>
      </c>
      <c r="K17" s="76"/>
      <c r="L17" s="74" t="s">
        <v>217</v>
      </c>
      <c r="M17" s="81" t="s">
        <v>246</v>
      </c>
      <c r="N17" s="75"/>
      <c r="O17" s="74"/>
      <c r="P17" s="32"/>
      <c r="Q17" s="32"/>
      <c r="R17" s="32" t="s">
        <v>58</v>
      </c>
      <c r="S17" s="63"/>
      <c r="T17" s="63"/>
      <c r="U17" s="63"/>
      <c r="V17" s="78"/>
      <c r="W17" s="79" t="s">
        <v>220</v>
      </c>
      <c r="X17" s="78"/>
      <c r="Y17" s="78"/>
      <c r="Z17" s="78"/>
      <c r="AA17" s="78"/>
      <c r="AB17" s="78"/>
      <c r="AC17" s="78"/>
      <c r="AD17" s="78"/>
      <c r="AE17" s="78"/>
      <c r="AF17" s="78"/>
      <c r="AG17" s="78"/>
      <c r="AH17" s="78"/>
    </row>
    <row r="18">
      <c r="A18" s="68" t="s">
        <v>247</v>
      </c>
      <c r="B18" s="68" t="s">
        <v>248</v>
      </c>
      <c r="C18" s="74" t="s">
        <v>45</v>
      </c>
      <c r="D18" s="75" t="s">
        <v>223</v>
      </c>
      <c r="E18" s="41"/>
      <c r="F18" s="74"/>
      <c r="G18" s="74"/>
      <c r="H18" s="24" t="s">
        <v>249</v>
      </c>
      <c r="I18" s="24" t="s">
        <v>250</v>
      </c>
      <c r="J18" s="60" t="s">
        <v>251</v>
      </c>
      <c r="K18" s="76"/>
      <c r="L18" s="74" t="s">
        <v>217</v>
      </c>
      <c r="M18" s="77" t="s">
        <v>252</v>
      </c>
      <c r="N18" s="75"/>
      <c r="O18" s="74"/>
      <c r="P18" s="32"/>
      <c r="Q18" s="32"/>
      <c r="R18" s="32" t="s">
        <v>58</v>
      </c>
      <c r="S18" s="63"/>
      <c r="T18" s="63"/>
      <c r="U18" s="63"/>
      <c r="V18" s="78"/>
      <c r="W18" s="79" t="s">
        <v>220</v>
      </c>
      <c r="X18" s="78"/>
      <c r="Y18" s="78"/>
      <c r="Z18" s="78"/>
      <c r="AA18" s="78"/>
      <c r="AB18" s="78"/>
      <c r="AC18" s="78"/>
      <c r="AD18" s="78"/>
      <c r="AE18" s="78"/>
      <c r="AF18" s="78"/>
      <c r="AG18" s="78"/>
      <c r="AH18" s="78"/>
    </row>
    <row r="19">
      <c r="A19" s="68" t="s">
        <v>253</v>
      </c>
      <c r="B19" s="68" t="s">
        <v>254</v>
      </c>
      <c r="C19" s="74" t="s">
        <v>45</v>
      </c>
      <c r="D19" s="75" t="s">
        <v>223</v>
      </c>
      <c r="E19" s="41"/>
      <c r="F19" s="74"/>
      <c r="G19" s="74"/>
      <c r="H19" s="24" t="s">
        <v>90</v>
      </c>
      <c r="I19" s="24" t="s">
        <v>255</v>
      </c>
      <c r="J19" s="60" t="s">
        <v>256</v>
      </c>
      <c r="K19" s="76"/>
      <c r="L19" s="74" t="s">
        <v>217</v>
      </c>
      <c r="M19" s="77" t="s">
        <v>257</v>
      </c>
      <c r="N19" s="75"/>
      <c r="O19" s="74"/>
      <c r="P19" s="32"/>
      <c r="Q19" s="32"/>
      <c r="R19" s="32" t="s">
        <v>58</v>
      </c>
      <c r="S19" s="63"/>
      <c r="T19" s="63"/>
      <c r="U19" s="63"/>
      <c r="V19" s="78"/>
      <c r="W19" s="79" t="s">
        <v>220</v>
      </c>
      <c r="X19" s="78"/>
      <c r="Y19" s="78"/>
      <c r="Z19" s="78"/>
      <c r="AA19" s="78"/>
      <c r="AB19" s="78"/>
      <c r="AC19" s="78"/>
      <c r="AD19" s="78"/>
      <c r="AE19" s="78"/>
      <c r="AF19" s="78"/>
      <c r="AG19" s="78"/>
      <c r="AH19" s="78"/>
    </row>
    <row r="20">
      <c r="A20" s="68" t="s">
        <v>258</v>
      </c>
      <c r="B20" s="68" t="s">
        <v>259</v>
      </c>
      <c r="C20" s="74" t="s">
        <v>45</v>
      </c>
      <c r="D20" s="75" t="s">
        <v>223</v>
      </c>
      <c r="E20" s="41"/>
      <c r="F20" s="74"/>
      <c r="G20" s="74"/>
      <c r="H20" s="24" t="s">
        <v>260</v>
      </c>
      <c r="I20" s="24" t="s">
        <v>261</v>
      </c>
      <c r="J20" s="60" t="s">
        <v>262</v>
      </c>
      <c r="K20" s="76"/>
      <c r="L20" s="74" t="s">
        <v>217</v>
      </c>
      <c r="M20" s="77" t="s">
        <v>263</v>
      </c>
      <c r="N20" s="75" t="s">
        <v>264</v>
      </c>
      <c r="O20" s="74"/>
      <c r="P20" s="32"/>
      <c r="Q20" s="32"/>
      <c r="R20" s="32" t="s">
        <v>58</v>
      </c>
      <c r="S20" s="63"/>
      <c r="T20" s="63"/>
      <c r="U20" s="63"/>
      <c r="V20" s="78"/>
      <c r="W20" s="79" t="s">
        <v>220</v>
      </c>
      <c r="X20" s="78"/>
      <c r="Y20" s="78"/>
      <c r="Z20" s="78"/>
      <c r="AA20" s="78"/>
      <c r="AB20" s="78"/>
      <c r="AC20" s="78"/>
      <c r="AD20" s="78"/>
      <c r="AE20" s="78"/>
      <c r="AF20" s="78"/>
      <c r="AG20" s="78"/>
      <c r="AH20" s="78"/>
    </row>
    <row r="21">
      <c r="A21" s="68" t="s">
        <v>258</v>
      </c>
      <c r="B21" s="74" t="s">
        <v>265</v>
      </c>
      <c r="C21" s="74" t="s">
        <v>45</v>
      </c>
      <c r="D21" s="75" t="s">
        <v>223</v>
      </c>
      <c r="E21" s="41"/>
      <c r="F21" s="74"/>
      <c r="G21" s="74"/>
      <c r="H21" s="24" t="s">
        <v>266</v>
      </c>
      <c r="I21" s="24" t="s">
        <v>267</v>
      </c>
      <c r="J21" s="60" t="s">
        <v>268</v>
      </c>
      <c r="K21" s="76"/>
      <c r="L21" s="74" t="s">
        <v>217</v>
      </c>
      <c r="M21" s="75" t="s">
        <v>269</v>
      </c>
      <c r="N21" s="75" t="s">
        <v>270</v>
      </c>
      <c r="O21" s="74"/>
      <c r="P21" s="32"/>
      <c r="Q21" s="32"/>
      <c r="R21" s="32" t="s">
        <v>58</v>
      </c>
      <c r="S21" s="63"/>
      <c r="T21" s="63"/>
      <c r="U21" s="63"/>
      <c r="V21" s="78"/>
      <c r="W21" s="79" t="s">
        <v>220</v>
      </c>
      <c r="X21" s="78"/>
      <c r="Y21" s="78"/>
      <c r="Z21" s="78"/>
      <c r="AA21" s="78"/>
      <c r="AB21" s="78"/>
      <c r="AC21" s="78"/>
      <c r="AD21" s="78"/>
      <c r="AE21" s="78"/>
      <c r="AF21" s="78"/>
      <c r="AG21" s="78"/>
      <c r="AH21" s="78"/>
    </row>
    <row r="22">
      <c r="A22" s="68" t="s">
        <v>271</v>
      </c>
      <c r="B22" s="68" t="s">
        <v>272</v>
      </c>
      <c r="C22" s="74" t="s">
        <v>45</v>
      </c>
      <c r="D22" s="75" t="s">
        <v>213</v>
      </c>
      <c r="E22" s="41"/>
      <c r="F22" s="74"/>
      <c r="G22" s="74"/>
      <c r="H22" s="24" t="s">
        <v>273</v>
      </c>
      <c r="I22" s="24" t="s">
        <v>274</v>
      </c>
      <c r="J22" s="82" t="s">
        <v>275</v>
      </c>
      <c r="K22" s="83"/>
      <c r="L22" s="74" t="s">
        <v>217</v>
      </c>
      <c r="M22" s="77" t="s">
        <v>276</v>
      </c>
      <c r="N22" s="75" t="s">
        <v>277</v>
      </c>
      <c r="O22" s="74"/>
      <c r="P22" s="32"/>
      <c r="Q22" s="32"/>
      <c r="R22" s="32" t="s">
        <v>58</v>
      </c>
      <c r="S22" s="63"/>
      <c r="T22" s="63"/>
      <c r="U22" s="63"/>
      <c r="V22" s="78"/>
      <c r="W22" s="79" t="s">
        <v>220</v>
      </c>
      <c r="X22" s="78"/>
      <c r="Y22" s="78"/>
      <c r="Z22" s="78"/>
      <c r="AA22" s="78"/>
      <c r="AB22" s="78"/>
      <c r="AC22" s="78"/>
      <c r="AD22" s="78"/>
      <c r="AE22" s="78"/>
      <c r="AF22" s="78"/>
      <c r="AG22" s="78"/>
      <c r="AH22" s="78"/>
    </row>
    <row r="23">
      <c r="A23" s="68" t="s">
        <v>65</v>
      </c>
      <c r="B23" s="84" t="s">
        <v>278</v>
      </c>
      <c r="C23" s="68" t="s">
        <v>184</v>
      </c>
      <c r="D23" s="77" t="s">
        <v>279</v>
      </c>
      <c r="E23" s="41"/>
      <c r="F23" s="74"/>
      <c r="G23" s="74"/>
      <c r="H23" s="24"/>
      <c r="I23" s="24"/>
      <c r="J23" s="85" t="s">
        <v>280</v>
      </c>
      <c r="K23" s="83"/>
      <c r="L23" s="68" t="s">
        <v>281</v>
      </c>
      <c r="M23" s="77" t="s">
        <v>282</v>
      </c>
      <c r="N23" s="77" t="s">
        <v>283</v>
      </c>
      <c r="O23" s="74"/>
      <c r="P23" s="32" t="s">
        <v>58</v>
      </c>
      <c r="Q23" s="32"/>
      <c r="R23" s="32"/>
      <c r="S23" s="63"/>
      <c r="T23" s="63"/>
      <c r="U23" s="63"/>
      <c r="V23" s="78"/>
      <c r="W23" s="79" t="s">
        <v>284</v>
      </c>
      <c r="X23" s="78"/>
      <c r="Y23" s="78"/>
      <c r="Z23" s="78"/>
      <c r="AA23" s="78"/>
      <c r="AB23" s="78"/>
      <c r="AC23" s="78"/>
      <c r="AD23" s="78"/>
      <c r="AE23" s="78"/>
      <c r="AF23" s="78"/>
      <c r="AG23" s="78"/>
      <c r="AH23" s="78"/>
    </row>
    <row r="24">
      <c r="A24" s="68" t="s">
        <v>65</v>
      </c>
      <c r="B24" s="86" t="s">
        <v>285</v>
      </c>
      <c r="C24" s="68" t="s">
        <v>42</v>
      </c>
      <c r="D24" s="77" t="s">
        <v>279</v>
      </c>
      <c r="E24" s="41"/>
      <c r="F24" s="74"/>
      <c r="G24" s="74"/>
      <c r="H24" s="24"/>
      <c r="I24" s="24"/>
      <c r="J24" s="82" t="s">
        <v>286</v>
      </c>
      <c r="K24" s="83"/>
      <c r="L24" s="68" t="s">
        <v>281</v>
      </c>
      <c r="M24" s="77" t="s">
        <v>287</v>
      </c>
      <c r="N24" s="6" t="s">
        <v>288</v>
      </c>
      <c r="O24" s="74"/>
      <c r="P24" s="32" t="s">
        <v>58</v>
      </c>
      <c r="Q24" s="32"/>
      <c r="R24" s="32"/>
      <c r="S24" s="63"/>
      <c r="T24" s="32" t="s">
        <v>58</v>
      </c>
      <c r="U24" s="63"/>
      <c r="V24" s="78"/>
      <c r="W24" s="79" t="s">
        <v>284</v>
      </c>
      <c r="X24" s="78"/>
      <c r="Y24" s="78"/>
      <c r="Z24" s="78"/>
      <c r="AA24" s="78"/>
      <c r="AB24" s="78"/>
      <c r="AC24" s="78"/>
      <c r="AD24" s="78"/>
      <c r="AE24" s="78"/>
      <c r="AF24" s="78"/>
      <c r="AG24" s="78"/>
      <c r="AH24" s="78"/>
    </row>
    <row r="25">
      <c r="A25" s="68" t="s">
        <v>271</v>
      </c>
      <c r="B25" s="75" t="s">
        <v>213</v>
      </c>
      <c r="C25" s="68" t="s">
        <v>45</v>
      </c>
      <c r="D25" s="77" t="s">
        <v>279</v>
      </c>
      <c r="E25" s="41"/>
      <c r="F25" s="74"/>
      <c r="G25" s="74"/>
      <c r="H25" s="24"/>
      <c r="I25" s="24"/>
      <c r="J25" s="82" t="s">
        <v>289</v>
      </c>
      <c r="K25" s="83"/>
      <c r="L25" s="68" t="s">
        <v>281</v>
      </c>
      <c r="M25" s="77" t="s">
        <v>290</v>
      </c>
      <c r="N25" s="77" t="s">
        <v>291</v>
      </c>
      <c r="O25" s="74"/>
      <c r="P25" s="32"/>
      <c r="Q25" s="32"/>
      <c r="R25" s="32" t="s">
        <v>58</v>
      </c>
      <c r="S25" s="63"/>
      <c r="T25" s="63"/>
      <c r="U25" s="63"/>
      <c r="V25" s="78"/>
      <c r="W25" s="79" t="s">
        <v>284</v>
      </c>
      <c r="X25" s="78"/>
      <c r="Y25" s="78"/>
      <c r="Z25" s="78"/>
      <c r="AA25" s="78"/>
      <c r="AB25" s="78"/>
      <c r="AC25" s="78"/>
      <c r="AD25" s="78"/>
      <c r="AE25" s="78"/>
      <c r="AF25" s="78"/>
      <c r="AG25" s="78"/>
      <c r="AH25" s="78"/>
    </row>
    <row r="26">
      <c r="A26" s="29" t="s">
        <v>292</v>
      </c>
      <c r="B26" s="29" t="s">
        <v>293</v>
      </c>
      <c r="C26" s="29" t="s">
        <v>45</v>
      </c>
      <c r="D26" s="65" t="s">
        <v>294</v>
      </c>
      <c r="E26" s="67" t="s">
        <v>50</v>
      </c>
      <c r="F26" s="29"/>
      <c r="G26" s="29" t="s">
        <v>295</v>
      </c>
      <c r="H26" s="24"/>
      <c r="I26" s="24"/>
      <c r="J26" s="60" t="s">
        <v>296</v>
      </c>
      <c r="K26" s="72"/>
      <c r="L26" s="29" t="s">
        <v>52</v>
      </c>
      <c r="M26" s="65" t="s">
        <v>297</v>
      </c>
      <c r="N26" s="65" t="s">
        <v>298</v>
      </c>
      <c r="O26" s="30" t="s">
        <v>31</v>
      </c>
      <c r="P26" s="73" t="s">
        <v>58</v>
      </c>
      <c r="Q26" s="73"/>
      <c r="R26" s="73"/>
      <c r="S26" s="49"/>
      <c r="T26" s="49"/>
      <c r="U26" s="49"/>
      <c r="V26" s="35"/>
      <c r="W26" s="23" t="s">
        <v>63</v>
      </c>
      <c r="X26" s="35"/>
      <c r="Y26" s="35"/>
      <c r="Z26" s="35"/>
      <c r="AA26" s="35"/>
      <c r="AB26" s="35"/>
      <c r="AC26" s="35"/>
      <c r="AD26" s="35"/>
      <c r="AE26" s="35"/>
      <c r="AF26" s="35"/>
      <c r="AG26" s="35"/>
      <c r="AH26" s="35"/>
    </row>
    <row r="27">
      <c r="A27" s="29" t="s">
        <v>65</v>
      </c>
      <c r="B27" s="29" t="s">
        <v>299</v>
      </c>
      <c r="C27" s="29" t="s">
        <v>45</v>
      </c>
      <c r="D27" s="65" t="s">
        <v>300</v>
      </c>
      <c r="E27" s="87" t="s">
        <v>301</v>
      </c>
      <c r="F27" s="29"/>
      <c r="G27" s="88"/>
      <c r="H27" s="24" t="s">
        <v>62</v>
      </c>
      <c r="I27" s="24" t="s">
        <v>302</v>
      </c>
      <c r="J27" s="82" t="s">
        <v>303</v>
      </c>
      <c r="K27" s="89"/>
      <c r="L27" s="29" t="s">
        <v>52</v>
      </c>
      <c r="M27" s="65" t="s">
        <v>304</v>
      </c>
      <c r="N27" s="81" t="s">
        <v>305</v>
      </c>
      <c r="O27" s="30" t="s">
        <v>31</v>
      </c>
      <c r="P27" s="73" t="s">
        <v>58</v>
      </c>
      <c r="Q27" s="73"/>
      <c r="R27" s="73"/>
      <c r="S27" s="90"/>
      <c r="T27" s="90"/>
      <c r="U27" s="90">
        <v>6.0</v>
      </c>
      <c r="V27" s="91"/>
      <c r="W27" s="92" t="s">
        <v>63</v>
      </c>
      <c r="X27" s="91"/>
      <c r="Y27" s="91"/>
      <c r="Z27" s="91"/>
      <c r="AA27" s="91"/>
      <c r="AB27" s="91"/>
      <c r="AC27" s="91"/>
      <c r="AD27" s="91"/>
      <c r="AE27" s="91"/>
      <c r="AF27" s="91"/>
      <c r="AG27" s="91"/>
      <c r="AH27" s="91"/>
    </row>
    <row r="28">
      <c r="A28" s="29" t="s">
        <v>65</v>
      </c>
      <c r="B28" s="29" t="s">
        <v>306</v>
      </c>
      <c r="C28" s="29" t="s">
        <v>187</v>
      </c>
      <c r="D28" s="65" t="s">
        <v>202</v>
      </c>
      <c r="E28" s="67" t="s">
        <v>307</v>
      </c>
      <c r="F28" s="93"/>
      <c r="G28" s="29" t="s">
        <v>308</v>
      </c>
      <c r="H28" s="24"/>
      <c r="I28" s="24"/>
      <c r="J28" s="60" t="s">
        <v>309</v>
      </c>
      <c r="K28" s="72"/>
      <c r="L28" s="29" t="s">
        <v>52</v>
      </c>
      <c r="M28" s="65" t="s">
        <v>310</v>
      </c>
      <c r="N28" s="65" t="s">
        <v>311</v>
      </c>
      <c r="O28" s="30" t="s">
        <v>31</v>
      </c>
      <c r="P28" s="73" t="s">
        <v>58</v>
      </c>
      <c r="Q28" s="73"/>
      <c r="R28" s="73"/>
      <c r="S28" s="33"/>
      <c r="T28" s="33"/>
      <c r="U28" s="33" t="s">
        <v>48</v>
      </c>
      <c r="V28" s="35"/>
      <c r="W28" s="23" t="s">
        <v>63</v>
      </c>
      <c r="X28" s="35"/>
      <c r="Y28" s="35"/>
      <c r="Z28" s="35"/>
      <c r="AA28" s="35"/>
      <c r="AB28" s="35"/>
      <c r="AC28" s="35"/>
      <c r="AD28" s="35"/>
      <c r="AE28" s="35"/>
      <c r="AF28" s="35"/>
      <c r="AG28" s="35"/>
      <c r="AH28" s="35"/>
    </row>
    <row r="29">
      <c r="A29" s="29" t="s">
        <v>65</v>
      </c>
      <c r="B29" s="29" t="s">
        <v>312</v>
      </c>
      <c r="C29" s="29" t="s">
        <v>187</v>
      </c>
      <c r="D29" s="65" t="s">
        <v>313</v>
      </c>
      <c r="E29" s="67" t="s">
        <v>210</v>
      </c>
      <c r="F29" s="29" t="s">
        <v>231</v>
      </c>
      <c r="G29" s="93"/>
      <c r="H29" s="24" t="s">
        <v>314</v>
      </c>
      <c r="I29" s="24" t="s">
        <v>315</v>
      </c>
      <c r="J29" s="60" t="s">
        <v>316</v>
      </c>
      <c r="K29" s="72"/>
      <c r="L29" s="29" t="s">
        <v>52</v>
      </c>
      <c r="M29" s="65" t="s">
        <v>317</v>
      </c>
      <c r="N29" s="65" t="s">
        <v>318</v>
      </c>
      <c r="O29" s="30"/>
      <c r="P29" s="73" t="s">
        <v>58</v>
      </c>
      <c r="Q29" s="73"/>
      <c r="R29" s="73"/>
      <c r="S29" s="49"/>
      <c r="T29" s="49"/>
      <c r="U29" s="49"/>
      <c r="V29" s="35"/>
      <c r="W29" s="23" t="s">
        <v>63</v>
      </c>
      <c r="X29" s="35"/>
      <c r="Y29" s="35"/>
      <c r="Z29" s="35"/>
      <c r="AA29" s="35"/>
      <c r="AB29" s="35"/>
      <c r="AC29" s="35"/>
      <c r="AD29" s="35"/>
      <c r="AE29" s="35"/>
      <c r="AF29" s="35"/>
      <c r="AG29" s="35"/>
      <c r="AH29" s="35"/>
    </row>
    <row r="30">
      <c r="A30" s="29" t="s">
        <v>319</v>
      </c>
      <c r="B30" s="29" t="s">
        <v>320</v>
      </c>
      <c r="C30" s="29" t="s">
        <v>187</v>
      </c>
      <c r="D30" s="65" t="s">
        <v>321</v>
      </c>
      <c r="E30" s="67" t="s">
        <v>322</v>
      </c>
      <c r="F30" s="93"/>
      <c r="G30" s="29" t="s">
        <v>323</v>
      </c>
      <c r="H30" s="24"/>
      <c r="I30" s="24"/>
      <c r="J30" s="60" t="s">
        <v>324</v>
      </c>
      <c r="K30" s="72"/>
      <c r="L30" s="29" t="s">
        <v>52</v>
      </c>
      <c r="M30" s="65" t="s">
        <v>325</v>
      </c>
      <c r="O30" s="30" t="s">
        <v>31</v>
      </c>
      <c r="P30" s="73" t="s">
        <v>58</v>
      </c>
      <c r="Q30" s="73"/>
      <c r="R30" s="73"/>
      <c r="S30" s="49"/>
      <c r="T30" s="49"/>
      <c r="U30" s="49"/>
      <c r="V30" s="35"/>
      <c r="W30" s="23" t="s">
        <v>63</v>
      </c>
      <c r="X30" s="35"/>
      <c r="Y30" s="35"/>
      <c r="Z30" s="35"/>
      <c r="AA30" s="35"/>
      <c r="AB30" s="35"/>
      <c r="AC30" s="35"/>
      <c r="AD30" s="35"/>
      <c r="AE30" s="35"/>
      <c r="AF30" s="35"/>
      <c r="AG30" s="35"/>
      <c r="AH30" s="35"/>
    </row>
    <row r="31">
      <c r="A31" s="29" t="s">
        <v>326</v>
      </c>
      <c r="B31" s="29" t="s">
        <v>327</v>
      </c>
      <c r="C31" s="29" t="s">
        <v>187</v>
      </c>
      <c r="D31" s="65" t="s">
        <v>60</v>
      </c>
      <c r="E31" s="67" t="s">
        <v>180</v>
      </c>
      <c r="F31" s="93"/>
      <c r="G31" s="29" t="s">
        <v>328</v>
      </c>
      <c r="H31" s="24"/>
      <c r="I31" s="24"/>
      <c r="J31" s="60" t="s">
        <v>329</v>
      </c>
      <c r="K31" s="72"/>
      <c r="L31" s="29" t="s">
        <v>52</v>
      </c>
      <c r="M31" s="65" t="s">
        <v>330</v>
      </c>
      <c r="N31" s="65" t="s">
        <v>331</v>
      </c>
      <c r="O31" s="30" t="s">
        <v>31</v>
      </c>
      <c r="P31" s="73" t="s">
        <v>58</v>
      </c>
      <c r="Q31" s="73"/>
      <c r="R31" s="73"/>
      <c r="S31" s="49"/>
      <c r="T31" s="49"/>
      <c r="U31" s="49"/>
      <c r="V31" s="35"/>
      <c r="W31" s="23" t="s">
        <v>332</v>
      </c>
      <c r="X31" s="35"/>
      <c r="Y31" s="35"/>
      <c r="Z31" s="35"/>
      <c r="AA31" s="35"/>
      <c r="AB31" s="35"/>
      <c r="AC31" s="35"/>
      <c r="AD31" s="35"/>
      <c r="AE31" s="35"/>
      <c r="AF31" s="35"/>
      <c r="AG31" s="35"/>
      <c r="AH31" s="35"/>
    </row>
    <row r="32">
      <c r="A32" s="29" t="s">
        <v>333</v>
      </c>
      <c r="B32" s="29" t="s">
        <v>334</v>
      </c>
      <c r="C32" s="29" t="s">
        <v>187</v>
      </c>
      <c r="D32" s="94" t="s">
        <v>335</v>
      </c>
      <c r="E32" s="67" t="s">
        <v>336</v>
      </c>
      <c r="F32" s="93"/>
      <c r="G32" s="93"/>
      <c r="H32" s="24" t="s">
        <v>231</v>
      </c>
      <c r="I32" s="24" t="s">
        <v>178</v>
      </c>
      <c r="J32" s="95"/>
      <c r="K32" s="96" t="s">
        <v>337</v>
      </c>
      <c r="L32" s="29" t="s">
        <v>79</v>
      </c>
      <c r="M32" s="65" t="s">
        <v>338</v>
      </c>
      <c r="N32" s="65" t="s">
        <v>339</v>
      </c>
      <c r="O32" s="88"/>
      <c r="P32" s="73" t="s">
        <v>58</v>
      </c>
      <c r="Q32" s="73"/>
      <c r="R32" s="73"/>
      <c r="S32" s="49"/>
      <c r="T32" s="49"/>
      <c r="U32" s="49"/>
      <c r="V32" s="35"/>
      <c r="W32" s="23" t="s">
        <v>340</v>
      </c>
      <c r="X32" s="35"/>
      <c r="Y32" s="35"/>
      <c r="Z32" s="35"/>
      <c r="AA32" s="35"/>
      <c r="AB32" s="35"/>
      <c r="AC32" s="35"/>
      <c r="AD32" s="35"/>
      <c r="AE32" s="35"/>
      <c r="AF32" s="35"/>
      <c r="AG32" s="35"/>
      <c r="AH32" s="35"/>
    </row>
    <row r="33">
      <c r="A33" s="29" t="s">
        <v>65</v>
      </c>
      <c r="B33" s="29" t="s">
        <v>341</v>
      </c>
      <c r="C33" s="29" t="s">
        <v>187</v>
      </c>
      <c r="D33" s="94" t="s">
        <v>335</v>
      </c>
      <c r="E33" s="67" t="s">
        <v>336</v>
      </c>
      <c r="F33" s="93"/>
      <c r="G33" s="93"/>
      <c r="H33" s="24" t="s">
        <v>342</v>
      </c>
      <c r="I33" s="24" t="s">
        <v>47</v>
      </c>
      <c r="J33" s="95"/>
      <c r="K33" s="96" t="s">
        <v>343</v>
      </c>
      <c r="L33" s="29" t="s">
        <v>79</v>
      </c>
      <c r="M33" s="65" t="s">
        <v>344</v>
      </c>
      <c r="N33" s="65" t="s">
        <v>345</v>
      </c>
      <c r="O33" s="88"/>
      <c r="P33" s="73" t="s">
        <v>58</v>
      </c>
      <c r="Q33" s="73"/>
      <c r="R33" s="73"/>
      <c r="S33" s="49"/>
      <c r="T33" s="49"/>
      <c r="U33" s="49"/>
      <c r="V33" s="35"/>
      <c r="W33" s="23" t="s">
        <v>130</v>
      </c>
      <c r="X33" s="35"/>
      <c r="Y33" s="35"/>
      <c r="Z33" s="35"/>
      <c r="AA33" s="35"/>
      <c r="AB33" s="35"/>
      <c r="AC33" s="35"/>
      <c r="AD33" s="35"/>
      <c r="AE33" s="35"/>
      <c r="AF33" s="35"/>
      <c r="AG33" s="35"/>
      <c r="AH33" s="35"/>
    </row>
    <row r="34">
      <c r="A34" s="29" t="s">
        <v>333</v>
      </c>
      <c r="B34" s="29" t="s">
        <v>346</v>
      </c>
      <c r="C34" s="29" t="s">
        <v>187</v>
      </c>
      <c r="D34" s="94" t="s">
        <v>335</v>
      </c>
      <c r="E34" s="67" t="s">
        <v>336</v>
      </c>
      <c r="F34" s="93"/>
      <c r="G34" s="93"/>
      <c r="H34" s="24" t="s">
        <v>347</v>
      </c>
      <c r="I34" s="24" t="s">
        <v>348</v>
      </c>
      <c r="J34" s="95"/>
      <c r="K34" s="96" t="s">
        <v>349</v>
      </c>
      <c r="L34" s="29" t="s">
        <v>79</v>
      </c>
      <c r="M34" s="65" t="s">
        <v>350</v>
      </c>
      <c r="N34" s="65" t="s">
        <v>351</v>
      </c>
      <c r="O34" s="88"/>
      <c r="P34" s="73" t="s">
        <v>58</v>
      </c>
      <c r="Q34" s="73"/>
      <c r="R34" s="73"/>
      <c r="S34" s="49"/>
      <c r="T34" s="49"/>
      <c r="U34" s="49"/>
      <c r="V34" s="35"/>
      <c r="W34" s="23" t="s">
        <v>340</v>
      </c>
      <c r="X34" s="35"/>
      <c r="Y34" s="35"/>
      <c r="Z34" s="35"/>
      <c r="AA34" s="35"/>
      <c r="AB34" s="35"/>
      <c r="AC34" s="35"/>
      <c r="AD34" s="35"/>
      <c r="AE34" s="35"/>
      <c r="AF34" s="35"/>
      <c r="AG34" s="35"/>
      <c r="AH34" s="35"/>
    </row>
    <row r="35">
      <c r="A35" s="29" t="s">
        <v>352</v>
      </c>
      <c r="B35" s="29" t="s">
        <v>353</v>
      </c>
      <c r="C35" s="29" t="s">
        <v>187</v>
      </c>
      <c r="D35" s="65" t="s">
        <v>354</v>
      </c>
      <c r="E35" s="67" t="s">
        <v>355</v>
      </c>
      <c r="F35" s="29" t="s">
        <v>48</v>
      </c>
      <c r="G35" s="93"/>
      <c r="H35" s="24" t="s">
        <v>356</v>
      </c>
      <c r="I35" s="24" t="s">
        <v>357</v>
      </c>
      <c r="J35" s="60" t="s">
        <v>358</v>
      </c>
      <c r="K35" s="72"/>
      <c r="L35" s="29" t="s">
        <v>52</v>
      </c>
      <c r="M35" s="65" t="s">
        <v>359</v>
      </c>
      <c r="O35" s="30" t="s">
        <v>360</v>
      </c>
      <c r="P35" s="73"/>
      <c r="Q35" s="73"/>
      <c r="R35" s="73"/>
      <c r="S35" s="49"/>
      <c r="T35" s="49"/>
      <c r="U35" s="49"/>
      <c r="V35" s="3" t="s">
        <v>361</v>
      </c>
      <c r="W35" s="3" t="s">
        <v>63</v>
      </c>
      <c r="X35" s="35"/>
      <c r="Y35" s="35"/>
      <c r="Z35" s="35"/>
      <c r="AA35" s="35"/>
      <c r="AB35" s="35"/>
      <c r="AC35" s="35"/>
      <c r="AD35" s="35"/>
      <c r="AE35" s="35"/>
      <c r="AF35" s="35"/>
      <c r="AG35" s="35"/>
      <c r="AH35" s="35"/>
    </row>
    <row r="36">
      <c r="A36" s="29" t="s">
        <v>65</v>
      </c>
      <c r="B36" s="29" t="s">
        <v>362</v>
      </c>
      <c r="C36" s="29" t="s">
        <v>187</v>
      </c>
      <c r="D36" s="65" t="s">
        <v>363</v>
      </c>
      <c r="E36" s="67" t="s">
        <v>364</v>
      </c>
      <c r="F36" s="93"/>
      <c r="G36" s="93"/>
      <c r="H36" s="24" t="s">
        <v>365</v>
      </c>
      <c r="I36" s="24" t="s">
        <v>366</v>
      </c>
      <c r="J36" s="60" t="s">
        <v>367</v>
      </c>
      <c r="K36" s="72"/>
      <c r="L36" s="29" t="s">
        <v>79</v>
      </c>
      <c r="M36" s="65" t="s">
        <v>369</v>
      </c>
      <c r="N36" s="65" t="s">
        <v>370</v>
      </c>
      <c r="O36" s="88"/>
      <c r="P36" s="73" t="s">
        <v>58</v>
      </c>
      <c r="Q36" s="73"/>
      <c r="R36" s="73"/>
      <c r="S36" s="49"/>
      <c r="T36" s="49"/>
      <c r="U36" s="49"/>
      <c r="V36" s="35"/>
      <c r="W36" s="23" t="s">
        <v>130</v>
      </c>
      <c r="X36" s="35"/>
      <c r="Y36" s="35"/>
      <c r="Z36" s="35"/>
      <c r="AA36" s="35"/>
      <c r="AB36" s="35"/>
      <c r="AC36" s="35"/>
      <c r="AD36" s="35"/>
      <c r="AE36" s="35"/>
      <c r="AF36" s="35"/>
      <c r="AG36" s="35"/>
      <c r="AH36" s="35"/>
    </row>
    <row r="37">
      <c r="A37" s="29" t="s">
        <v>374</v>
      </c>
      <c r="B37" s="29" t="s">
        <v>375</v>
      </c>
      <c r="C37" s="29" t="s">
        <v>187</v>
      </c>
      <c r="D37" s="65" t="s">
        <v>377</v>
      </c>
      <c r="E37" s="67" t="s">
        <v>378</v>
      </c>
      <c r="F37" s="93"/>
      <c r="G37" s="93"/>
      <c r="H37" s="24" t="s">
        <v>380</v>
      </c>
      <c r="I37" s="24" t="s">
        <v>381</v>
      </c>
      <c r="J37" s="60" t="s">
        <v>382</v>
      </c>
      <c r="K37" s="72"/>
      <c r="L37" s="29" t="s">
        <v>52</v>
      </c>
      <c r="M37" s="65" t="s">
        <v>383</v>
      </c>
      <c r="N37" s="65" t="s">
        <v>384</v>
      </c>
      <c r="O37" s="30" t="s">
        <v>56</v>
      </c>
      <c r="P37" s="73"/>
      <c r="Q37" s="73"/>
      <c r="R37" s="73" t="s">
        <v>58</v>
      </c>
      <c r="S37" s="49"/>
      <c r="T37" s="49"/>
      <c r="U37" s="49"/>
      <c r="V37" s="35"/>
      <c r="W37" s="23" t="s">
        <v>63</v>
      </c>
      <c r="X37" s="35"/>
      <c r="Y37" s="35"/>
      <c r="Z37" s="35"/>
      <c r="AA37" s="35"/>
      <c r="AB37" s="35"/>
      <c r="AC37" s="35"/>
      <c r="AD37" s="35"/>
      <c r="AE37" s="35"/>
      <c r="AF37" s="35"/>
      <c r="AG37" s="35"/>
      <c r="AH37" s="35"/>
    </row>
    <row r="38">
      <c r="A38" s="29" t="s">
        <v>385</v>
      </c>
      <c r="B38" s="29" t="s">
        <v>386</v>
      </c>
      <c r="C38" s="29" t="s">
        <v>187</v>
      </c>
      <c r="D38" s="65" t="s">
        <v>377</v>
      </c>
      <c r="E38" s="67" t="s">
        <v>378</v>
      </c>
      <c r="F38" s="93"/>
      <c r="G38" s="93"/>
      <c r="H38" s="24" t="s">
        <v>387</v>
      </c>
      <c r="I38" s="24" t="s">
        <v>388</v>
      </c>
      <c r="J38" s="60" t="s">
        <v>389</v>
      </c>
      <c r="K38" s="72"/>
      <c r="L38" s="29" t="s">
        <v>52</v>
      </c>
      <c r="M38" s="65" t="s">
        <v>390</v>
      </c>
      <c r="N38" s="65" t="s">
        <v>391</v>
      </c>
      <c r="O38" s="30" t="s">
        <v>56</v>
      </c>
      <c r="P38" s="73"/>
      <c r="Q38" s="73"/>
      <c r="R38" s="73" t="s">
        <v>58</v>
      </c>
      <c r="S38" s="49"/>
      <c r="T38" s="49"/>
      <c r="U38" s="49"/>
      <c r="V38" s="35"/>
      <c r="W38" s="23" t="s">
        <v>63</v>
      </c>
      <c r="X38" s="35"/>
      <c r="Y38" s="35"/>
      <c r="Z38" s="35"/>
      <c r="AA38" s="35"/>
      <c r="AB38" s="35"/>
      <c r="AC38" s="35"/>
      <c r="AD38" s="35"/>
      <c r="AE38" s="35"/>
      <c r="AF38" s="35"/>
      <c r="AG38" s="35"/>
      <c r="AH38" s="35"/>
    </row>
    <row r="39">
      <c r="A39" s="29" t="s">
        <v>392</v>
      </c>
      <c r="B39" s="29" t="s">
        <v>393</v>
      </c>
      <c r="C39" s="29" t="s">
        <v>187</v>
      </c>
      <c r="D39" s="65" t="s">
        <v>377</v>
      </c>
      <c r="E39" s="67" t="s">
        <v>378</v>
      </c>
      <c r="F39" s="93"/>
      <c r="G39" s="93"/>
      <c r="H39" s="24" t="s">
        <v>394</v>
      </c>
      <c r="I39" s="24" t="s">
        <v>395</v>
      </c>
      <c r="J39" s="60" t="s">
        <v>396</v>
      </c>
      <c r="K39" s="72"/>
      <c r="L39" s="29" t="s">
        <v>52</v>
      </c>
      <c r="M39" s="65" t="s">
        <v>397</v>
      </c>
      <c r="N39" s="65" t="s">
        <v>398</v>
      </c>
      <c r="O39" s="30" t="s">
        <v>56</v>
      </c>
      <c r="P39" s="73" t="s">
        <v>58</v>
      </c>
      <c r="Q39" s="73"/>
      <c r="R39" s="73" t="s">
        <v>58</v>
      </c>
      <c r="S39" s="49"/>
      <c r="T39" s="49"/>
      <c r="U39" s="49"/>
      <c r="V39" s="35"/>
      <c r="W39" s="23" t="s">
        <v>63</v>
      </c>
      <c r="X39" s="35"/>
      <c r="Y39" s="35"/>
      <c r="Z39" s="35"/>
      <c r="AA39" s="35"/>
      <c r="AB39" s="35"/>
      <c r="AC39" s="35"/>
      <c r="AD39" s="35"/>
      <c r="AE39" s="35"/>
      <c r="AF39" s="35"/>
      <c r="AG39" s="35"/>
      <c r="AH39" s="35"/>
    </row>
    <row r="40">
      <c r="A40" s="29" t="s">
        <v>399</v>
      </c>
      <c r="B40" s="29" t="s">
        <v>400</v>
      </c>
      <c r="C40" s="29" t="s">
        <v>187</v>
      </c>
      <c r="D40" s="65" t="s">
        <v>377</v>
      </c>
      <c r="E40" s="67" t="s">
        <v>378</v>
      </c>
      <c r="F40" s="93"/>
      <c r="G40" s="93"/>
      <c r="H40" s="24" t="s">
        <v>401</v>
      </c>
      <c r="I40" s="24" t="s">
        <v>402</v>
      </c>
      <c r="J40" s="60" t="s">
        <v>403</v>
      </c>
      <c r="K40" s="72"/>
      <c r="L40" s="29" t="s">
        <v>52</v>
      </c>
      <c r="M40" s="65" t="s">
        <v>404</v>
      </c>
      <c r="N40" s="65" t="s">
        <v>384</v>
      </c>
      <c r="O40" s="30" t="s">
        <v>56</v>
      </c>
      <c r="P40" s="73"/>
      <c r="Q40" s="73"/>
      <c r="R40" s="73" t="s">
        <v>58</v>
      </c>
      <c r="S40" s="49"/>
      <c r="T40" s="49"/>
      <c r="U40" s="49"/>
      <c r="V40" s="35"/>
      <c r="W40" s="23" t="s">
        <v>63</v>
      </c>
      <c r="X40" s="35"/>
      <c r="Y40" s="35"/>
      <c r="Z40" s="35"/>
      <c r="AA40" s="35"/>
      <c r="AB40" s="35"/>
      <c r="AC40" s="35"/>
      <c r="AD40" s="35"/>
      <c r="AE40" s="35"/>
      <c r="AF40" s="35"/>
      <c r="AG40" s="35"/>
      <c r="AH40" s="35"/>
    </row>
    <row r="41">
      <c r="A41" s="29" t="s">
        <v>405</v>
      </c>
      <c r="B41" s="29" t="s">
        <v>406</v>
      </c>
      <c r="C41" s="29" t="s">
        <v>187</v>
      </c>
      <c r="D41" s="65" t="s">
        <v>407</v>
      </c>
      <c r="G41" s="93"/>
      <c r="H41" s="24"/>
      <c r="I41" s="24"/>
      <c r="J41" s="60" t="s">
        <v>408</v>
      </c>
      <c r="K41" s="72"/>
      <c r="L41" s="29" t="s">
        <v>52</v>
      </c>
      <c r="M41" s="65" t="s">
        <v>409</v>
      </c>
      <c r="N41" s="65" t="s">
        <v>410</v>
      </c>
      <c r="O41" s="30" t="s">
        <v>31</v>
      </c>
      <c r="P41" s="73" t="s">
        <v>58</v>
      </c>
      <c r="Q41" s="73" t="s">
        <v>58</v>
      </c>
      <c r="R41" s="73"/>
      <c r="S41" s="49"/>
      <c r="T41" s="49"/>
      <c r="U41" s="49"/>
      <c r="V41" s="35"/>
      <c r="W41" s="23" t="s">
        <v>63</v>
      </c>
      <c r="X41" s="35"/>
      <c r="Y41" s="35"/>
      <c r="Z41" s="35"/>
      <c r="AA41" s="35"/>
      <c r="AB41" s="35"/>
      <c r="AC41" s="35"/>
      <c r="AD41" s="35"/>
      <c r="AE41" s="35"/>
      <c r="AF41" s="35"/>
      <c r="AG41" s="35"/>
      <c r="AH41" s="35"/>
    </row>
    <row r="42">
      <c r="A42" s="29" t="s">
        <v>411</v>
      </c>
      <c r="B42" s="29" t="s">
        <v>412</v>
      </c>
      <c r="C42" s="29" t="s">
        <v>187</v>
      </c>
      <c r="D42" s="65" t="s">
        <v>413</v>
      </c>
      <c r="E42" s="67" t="s">
        <v>414</v>
      </c>
      <c r="F42" s="29" t="s">
        <v>178</v>
      </c>
      <c r="G42" s="93"/>
      <c r="H42" s="24" t="s">
        <v>232</v>
      </c>
      <c r="I42" s="24" t="s">
        <v>415</v>
      </c>
      <c r="J42" s="60" t="s">
        <v>416</v>
      </c>
      <c r="K42" s="72"/>
      <c r="L42" s="29" t="s">
        <v>52</v>
      </c>
      <c r="M42" s="65" t="s">
        <v>417</v>
      </c>
      <c r="O42" s="30" t="s">
        <v>56</v>
      </c>
      <c r="P42" s="73"/>
      <c r="Q42" s="73"/>
      <c r="R42" s="73"/>
      <c r="S42" s="33" t="s">
        <v>58</v>
      </c>
      <c r="T42" s="49"/>
      <c r="U42" s="49"/>
      <c r="V42" s="35"/>
      <c r="W42" s="23" t="s">
        <v>63</v>
      </c>
      <c r="X42" s="35"/>
      <c r="Y42" s="35"/>
      <c r="Z42" s="35"/>
      <c r="AA42" s="35"/>
      <c r="AB42" s="35"/>
      <c r="AC42" s="35"/>
      <c r="AD42" s="35"/>
      <c r="AE42" s="35"/>
      <c r="AF42" s="35"/>
      <c r="AG42" s="35"/>
      <c r="AH42" s="35"/>
    </row>
    <row r="43">
      <c r="A43" s="29" t="s">
        <v>65</v>
      </c>
      <c r="B43" s="29" t="s">
        <v>418</v>
      </c>
      <c r="C43" s="29" t="s">
        <v>189</v>
      </c>
      <c r="D43" s="65" t="s">
        <v>300</v>
      </c>
      <c r="E43" s="67" t="s">
        <v>419</v>
      </c>
      <c r="F43" s="29" t="s">
        <v>420</v>
      </c>
      <c r="G43" s="93"/>
      <c r="H43" s="24" t="s">
        <v>421</v>
      </c>
      <c r="I43" s="24" t="s">
        <v>422</v>
      </c>
      <c r="J43" s="60" t="s">
        <v>423</v>
      </c>
      <c r="K43" s="72"/>
      <c r="L43" s="29" t="s">
        <v>52</v>
      </c>
      <c r="M43" s="65" t="s">
        <v>424</v>
      </c>
      <c r="N43" s="65" t="s">
        <v>425</v>
      </c>
      <c r="O43" s="30" t="s">
        <v>31</v>
      </c>
      <c r="P43" s="73" t="s">
        <v>58</v>
      </c>
      <c r="Q43" s="73"/>
      <c r="R43" s="73"/>
      <c r="S43" s="33"/>
      <c r="T43" s="33"/>
      <c r="U43" s="33"/>
      <c r="V43" s="35"/>
      <c r="W43" s="23" t="s">
        <v>63</v>
      </c>
      <c r="X43" s="35"/>
      <c r="Y43" s="35"/>
      <c r="Z43" s="35"/>
      <c r="AA43" s="35"/>
      <c r="AB43" s="35"/>
      <c r="AC43" s="35"/>
      <c r="AD43" s="35"/>
      <c r="AE43" s="35"/>
      <c r="AF43" s="35"/>
      <c r="AG43" s="35"/>
      <c r="AH43" s="35"/>
    </row>
    <row r="44">
      <c r="A44" s="29" t="s">
        <v>65</v>
      </c>
      <c r="B44" s="29" t="s">
        <v>426</v>
      </c>
      <c r="C44" s="29" t="s">
        <v>189</v>
      </c>
      <c r="D44" s="65" t="s">
        <v>202</v>
      </c>
      <c r="E44" s="67" t="s">
        <v>427</v>
      </c>
      <c r="F44" s="93"/>
      <c r="G44" s="29" t="s">
        <v>428</v>
      </c>
      <c r="H44" s="24"/>
      <c r="I44" s="24"/>
      <c r="J44" s="60" t="s">
        <v>429</v>
      </c>
      <c r="K44" s="72"/>
      <c r="L44" s="29" t="s">
        <v>52</v>
      </c>
      <c r="M44" s="65" t="s">
        <v>430</v>
      </c>
      <c r="N44" s="65" t="s">
        <v>431</v>
      </c>
      <c r="O44" s="30" t="s">
        <v>31</v>
      </c>
      <c r="P44" s="73" t="s">
        <v>58</v>
      </c>
      <c r="Q44" s="73"/>
      <c r="R44" s="73"/>
      <c r="S44" s="33"/>
      <c r="T44" s="33"/>
      <c r="U44" s="33" t="s">
        <v>178</v>
      </c>
      <c r="V44" s="35"/>
      <c r="W44" s="23" t="s">
        <v>63</v>
      </c>
      <c r="X44" s="35"/>
      <c r="Y44" s="35"/>
      <c r="Z44" s="35"/>
      <c r="AA44" s="35"/>
      <c r="AB44" s="35"/>
      <c r="AC44" s="35"/>
      <c r="AD44" s="35"/>
      <c r="AE44" s="35"/>
      <c r="AF44" s="35"/>
      <c r="AG44" s="35"/>
      <c r="AH44" s="35"/>
    </row>
    <row r="45">
      <c r="A45" s="29" t="s">
        <v>432</v>
      </c>
      <c r="B45" s="29" t="s">
        <v>433</v>
      </c>
      <c r="C45" s="29" t="s">
        <v>189</v>
      </c>
      <c r="D45" s="65" t="s">
        <v>434</v>
      </c>
      <c r="E45" s="67" t="s">
        <v>435</v>
      </c>
      <c r="F45" s="29" t="s">
        <v>435</v>
      </c>
      <c r="G45" s="29" t="s">
        <v>436</v>
      </c>
      <c r="H45" s="24"/>
      <c r="I45" s="24"/>
      <c r="J45" s="60" t="s">
        <v>437</v>
      </c>
      <c r="K45" s="72"/>
      <c r="L45" s="29" t="s">
        <v>52</v>
      </c>
      <c r="M45" s="65" t="s">
        <v>438</v>
      </c>
      <c r="N45" s="65" t="s">
        <v>439</v>
      </c>
      <c r="O45" s="30" t="s">
        <v>31</v>
      </c>
      <c r="P45" s="73"/>
      <c r="Q45" s="73"/>
      <c r="R45" s="73"/>
      <c r="S45" s="33" t="s">
        <v>58</v>
      </c>
      <c r="T45" s="49"/>
      <c r="U45" s="49"/>
      <c r="V45" s="35"/>
      <c r="W45" s="23" t="s">
        <v>63</v>
      </c>
      <c r="X45" s="35"/>
      <c r="Y45" s="35"/>
      <c r="Z45" s="35"/>
      <c r="AA45" s="35"/>
      <c r="AB45" s="35"/>
      <c r="AC45" s="35"/>
      <c r="AD45" s="35"/>
      <c r="AE45" s="35"/>
      <c r="AF45" s="35"/>
      <c r="AG45" s="35"/>
      <c r="AH45" s="35"/>
    </row>
    <row r="46">
      <c r="A46" s="29" t="s">
        <v>440</v>
      </c>
      <c r="B46" s="29" t="s">
        <v>441</v>
      </c>
      <c r="C46" s="29" t="s">
        <v>189</v>
      </c>
      <c r="D46" s="65" t="s">
        <v>442</v>
      </c>
      <c r="E46" s="67" t="s">
        <v>314</v>
      </c>
      <c r="F46" s="29" t="s">
        <v>443</v>
      </c>
      <c r="G46" s="29" t="s">
        <v>444</v>
      </c>
      <c r="H46" s="24"/>
      <c r="I46" s="24"/>
      <c r="J46" s="60" t="s">
        <v>445</v>
      </c>
      <c r="K46" s="72"/>
      <c r="L46" s="29" t="s">
        <v>52</v>
      </c>
      <c r="M46" s="65" t="s">
        <v>446</v>
      </c>
      <c r="N46" s="65" t="s">
        <v>447</v>
      </c>
      <c r="O46" s="30" t="s">
        <v>56</v>
      </c>
      <c r="P46" s="73"/>
      <c r="Q46" s="73" t="s">
        <v>58</v>
      </c>
      <c r="R46" s="73"/>
      <c r="S46" s="49"/>
      <c r="T46" s="49"/>
      <c r="U46" s="49"/>
      <c r="V46" s="35"/>
      <c r="W46" s="23" t="s">
        <v>63</v>
      </c>
      <c r="X46" s="35"/>
      <c r="Y46" s="35"/>
      <c r="Z46" s="35"/>
      <c r="AA46" s="35"/>
      <c r="AB46" s="35"/>
      <c r="AC46" s="35"/>
      <c r="AD46" s="35"/>
      <c r="AE46" s="35"/>
      <c r="AF46" s="35"/>
      <c r="AG46" s="35"/>
      <c r="AH46" s="35"/>
    </row>
    <row r="47">
      <c r="A47" s="29" t="s">
        <v>65</v>
      </c>
      <c r="B47" s="29" t="s">
        <v>448</v>
      </c>
      <c r="C47" s="29" t="s">
        <v>189</v>
      </c>
      <c r="D47" s="65" t="s">
        <v>449</v>
      </c>
      <c r="H47" s="24" t="s">
        <v>450</v>
      </c>
      <c r="I47" s="24" t="s">
        <v>451</v>
      </c>
      <c r="J47" s="60" t="s">
        <v>452</v>
      </c>
      <c r="K47" s="72"/>
      <c r="L47" s="29" t="s">
        <v>79</v>
      </c>
      <c r="M47" s="65" t="s">
        <v>453</v>
      </c>
      <c r="N47" s="65" t="s">
        <v>454</v>
      </c>
      <c r="O47" s="88"/>
      <c r="P47" s="73" t="s">
        <v>58</v>
      </c>
      <c r="Q47" s="73"/>
      <c r="R47" s="73"/>
      <c r="S47" s="49"/>
      <c r="T47" s="49"/>
      <c r="U47" s="49"/>
      <c r="V47" s="35"/>
      <c r="W47" s="23" t="s">
        <v>130</v>
      </c>
      <c r="X47" s="35"/>
      <c r="Y47" s="35"/>
      <c r="Z47" s="35"/>
      <c r="AA47" s="35"/>
      <c r="AB47" s="35"/>
      <c r="AC47" s="35"/>
      <c r="AD47" s="35"/>
      <c r="AE47" s="35"/>
      <c r="AF47" s="35"/>
      <c r="AG47" s="35"/>
      <c r="AH47" s="35"/>
    </row>
    <row r="48">
      <c r="A48" s="29" t="s">
        <v>455</v>
      </c>
      <c r="B48" s="29" t="s">
        <v>456</v>
      </c>
      <c r="C48" s="29" t="s">
        <v>189</v>
      </c>
      <c r="D48" s="65" t="s">
        <v>457</v>
      </c>
      <c r="E48" s="67" t="s">
        <v>378</v>
      </c>
      <c r="F48" s="29" t="s">
        <v>314</v>
      </c>
      <c r="G48" s="29" t="s">
        <v>458</v>
      </c>
      <c r="H48" s="24"/>
      <c r="I48" s="24"/>
      <c r="J48" s="60" t="s">
        <v>459</v>
      </c>
      <c r="K48" s="72"/>
      <c r="L48" s="29" t="s">
        <v>52</v>
      </c>
      <c r="M48" s="65" t="s">
        <v>460</v>
      </c>
      <c r="N48" s="65" t="s">
        <v>461</v>
      </c>
      <c r="O48" s="30" t="s">
        <v>56</v>
      </c>
      <c r="P48" s="73" t="s">
        <v>58</v>
      </c>
      <c r="Q48" s="73"/>
      <c r="R48" s="73"/>
      <c r="S48" s="33"/>
      <c r="T48" s="49"/>
      <c r="U48" s="49"/>
      <c r="V48" s="35"/>
      <c r="W48" s="23" t="s">
        <v>63</v>
      </c>
      <c r="X48" s="35"/>
      <c r="Y48" s="35"/>
      <c r="Z48" s="35"/>
      <c r="AA48" s="35"/>
      <c r="AB48" s="35"/>
      <c r="AC48" s="35"/>
      <c r="AD48" s="35"/>
      <c r="AE48" s="35"/>
      <c r="AF48" s="35"/>
      <c r="AG48" s="35"/>
      <c r="AH48" s="35"/>
    </row>
    <row r="49">
      <c r="A49" s="29" t="s">
        <v>462</v>
      </c>
      <c r="B49" s="29" t="s">
        <v>463</v>
      </c>
      <c r="C49" s="29" t="s">
        <v>189</v>
      </c>
      <c r="D49" s="65" t="s">
        <v>442</v>
      </c>
      <c r="E49" s="67" t="s">
        <v>314</v>
      </c>
      <c r="F49" s="29" t="s">
        <v>210</v>
      </c>
      <c r="G49" s="29" t="s">
        <v>464</v>
      </c>
      <c r="H49" s="24"/>
      <c r="I49" s="24"/>
      <c r="J49" s="60" t="s">
        <v>465</v>
      </c>
      <c r="K49" s="72"/>
      <c r="L49" s="29" t="s">
        <v>52</v>
      </c>
      <c r="M49" s="65" t="s">
        <v>466</v>
      </c>
      <c r="N49" s="65" t="s">
        <v>467</v>
      </c>
      <c r="O49" s="30" t="s">
        <v>360</v>
      </c>
      <c r="P49" s="73" t="s">
        <v>58</v>
      </c>
      <c r="Q49" s="73"/>
      <c r="R49" s="73"/>
      <c r="S49" s="49"/>
      <c r="T49" s="49"/>
      <c r="U49" s="49"/>
      <c r="V49" s="35"/>
      <c r="W49" s="23" t="s">
        <v>63</v>
      </c>
      <c r="X49" s="35"/>
      <c r="Y49" s="35"/>
      <c r="Z49" s="35"/>
      <c r="AA49" s="35"/>
      <c r="AB49" s="35"/>
      <c r="AC49" s="35"/>
      <c r="AD49" s="35"/>
      <c r="AE49" s="35"/>
      <c r="AF49" s="35"/>
      <c r="AG49" s="35"/>
      <c r="AH49" s="35"/>
    </row>
    <row r="50">
      <c r="A50" s="29" t="s">
        <v>468</v>
      </c>
      <c r="B50" s="29" t="s">
        <v>469</v>
      </c>
      <c r="C50" s="29" t="s">
        <v>189</v>
      </c>
      <c r="D50" s="65" t="s">
        <v>470</v>
      </c>
      <c r="E50" s="67" t="s">
        <v>471</v>
      </c>
      <c r="F50" s="29" t="s">
        <v>472</v>
      </c>
      <c r="G50" s="29" t="s">
        <v>473</v>
      </c>
      <c r="H50" s="24" t="s">
        <v>414</v>
      </c>
      <c r="I50" s="24" t="s">
        <v>474</v>
      </c>
      <c r="J50" s="60" t="s">
        <v>475</v>
      </c>
      <c r="K50" s="72"/>
      <c r="L50" s="29" t="s">
        <v>52</v>
      </c>
      <c r="M50" s="65" t="s">
        <v>476</v>
      </c>
      <c r="O50" s="30" t="s">
        <v>56</v>
      </c>
      <c r="P50" s="73"/>
      <c r="Q50" s="73" t="s">
        <v>58</v>
      </c>
      <c r="R50" s="73"/>
      <c r="S50" s="49"/>
      <c r="T50" s="49"/>
      <c r="U50" s="49"/>
      <c r="V50" s="35"/>
      <c r="W50" s="23" t="s">
        <v>477</v>
      </c>
      <c r="X50" s="35"/>
      <c r="Y50" s="35"/>
      <c r="Z50" s="35"/>
      <c r="AA50" s="35"/>
      <c r="AB50" s="35"/>
      <c r="AC50" s="35"/>
      <c r="AD50" s="35"/>
      <c r="AE50" s="35"/>
      <c r="AF50" s="35"/>
      <c r="AG50" s="35"/>
      <c r="AH50" s="35"/>
    </row>
    <row r="51">
      <c r="A51" s="29" t="s">
        <v>478</v>
      </c>
      <c r="B51" s="29" t="s">
        <v>479</v>
      </c>
      <c r="C51" s="29" t="s">
        <v>189</v>
      </c>
      <c r="D51" s="65" t="s">
        <v>480</v>
      </c>
      <c r="E51" s="67" t="s">
        <v>419</v>
      </c>
      <c r="F51" s="29" t="s">
        <v>231</v>
      </c>
      <c r="G51" s="29" t="s">
        <v>481</v>
      </c>
      <c r="H51" s="24" t="s">
        <v>482</v>
      </c>
      <c r="I51" s="24" t="s">
        <v>483</v>
      </c>
      <c r="J51" s="60" t="s">
        <v>484</v>
      </c>
      <c r="K51" s="72"/>
      <c r="L51" s="29" t="s">
        <v>52</v>
      </c>
      <c r="M51" s="65" t="s">
        <v>485</v>
      </c>
      <c r="N51" s="65" t="s">
        <v>486</v>
      </c>
      <c r="O51" s="88"/>
      <c r="P51" s="73"/>
      <c r="Q51" s="73" t="s">
        <v>58</v>
      </c>
      <c r="R51" s="73"/>
      <c r="S51" s="49"/>
      <c r="T51" s="49"/>
      <c r="U51" s="49"/>
      <c r="V51" s="35"/>
      <c r="W51" s="23" t="s">
        <v>477</v>
      </c>
      <c r="X51" s="35"/>
      <c r="Y51" s="35"/>
      <c r="Z51" s="35"/>
      <c r="AA51" s="35"/>
      <c r="AB51" s="35"/>
      <c r="AC51" s="35"/>
      <c r="AD51" s="35"/>
      <c r="AE51" s="35"/>
      <c r="AF51" s="35"/>
      <c r="AG51" s="35"/>
      <c r="AH51" s="35"/>
    </row>
    <row r="52">
      <c r="A52" s="29" t="s">
        <v>487</v>
      </c>
      <c r="B52" s="29" t="s">
        <v>488</v>
      </c>
      <c r="C52" s="29" t="s">
        <v>189</v>
      </c>
      <c r="D52" s="65" t="s">
        <v>489</v>
      </c>
      <c r="E52" s="67"/>
      <c r="G52" s="93"/>
      <c r="H52" s="24"/>
      <c r="I52" s="24"/>
      <c r="J52" s="60" t="s">
        <v>491</v>
      </c>
      <c r="K52" s="72"/>
      <c r="L52" s="29" t="s">
        <v>79</v>
      </c>
      <c r="M52" s="65" t="s">
        <v>494</v>
      </c>
      <c r="O52" s="88"/>
      <c r="P52" s="73"/>
      <c r="Q52" s="73"/>
      <c r="R52" s="73" t="s">
        <v>58</v>
      </c>
      <c r="S52" s="49"/>
      <c r="T52" s="49"/>
      <c r="U52" s="49"/>
      <c r="V52" s="35"/>
      <c r="W52" s="23" t="s">
        <v>130</v>
      </c>
      <c r="X52" s="35"/>
      <c r="Y52" s="35"/>
      <c r="Z52" s="35"/>
      <c r="AA52" s="35"/>
      <c r="AB52" s="35"/>
      <c r="AC52" s="35"/>
      <c r="AD52" s="35"/>
      <c r="AE52" s="35"/>
      <c r="AF52" s="35"/>
      <c r="AG52" s="35"/>
      <c r="AH52" s="35"/>
    </row>
    <row r="53">
      <c r="A53" s="29" t="s">
        <v>158</v>
      </c>
      <c r="B53" s="29" t="s">
        <v>500</v>
      </c>
      <c r="C53" s="29" t="s">
        <v>189</v>
      </c>
      <c r="D53" s="65" t="s">
        <v>377</v>
      </c>
      <c r="E53" s="67" t="s">
        <v>210</v>
      </c>
      <c r="F53" s="93"/>
      <c r="G53" s="93"/>
      <c r="H53" s="24" t="s">
        <v>503</v>
      </c>
      <c r="I53" s="24" t="s">
        <v>505</v>
      </c>
      <c r="J53" s="60" t="s">
        <v>506</v>
      </c>
      <c r="K53" s="72"/>
      <c r="L53" s="29" t="s">
        <v>52</v>
      </c>
      <c r="M53" s="65" t="s">
        <v>509</v>
      </c>
      <c r="N53" s="65" t="s">
        <v>510</v>
      </c>
      <c r="O53" s="30" t="s">
        <v>56</v>
      </c>
      <c r="P53" s="73" t="s">
        <v>58</v>
      </c>
      <c r="Q53" s="73"/>
      <c r="R53" s="73"/>
      <c r="S53" s="33"/>
      <c r="T53" s="33"/>
      <c r="U53" s="33"/>
      <c r="V53" s="35"/>
      <c r="W53" s="23" t="s">
        <v>63</v>
      </c>
      <c r="X53" s="35"/>
      <c r="Y53" s="35"/>
      <c r="Z53" s="35"/>
      <c r="AA53" s="35"/>
      <c r="AB53" s="35"/>
      <c r="AC53" s="35"/>
      <c r="AD53" s="35"/>
      <c r="AE53" s="35"/>
      <c r="AF53" s="35"/>
      <c r="AG53" s="35"/>
      <c r="AH53" s="35"/>
    </row>
    <row r="54">
      <c r="A54" s="29" t="s">
        <v>65</v>
      </c>
      <c r="B54" s="29" t="s">
        <v>514</v>
      </c>
      <c r="C54" s="29" t="s">
        <v>189</v>
      </c>
      <c r="D54" s="65" t="s">
        <v>516</v>
      </c>
      <c r="E54" s="67" t="s">
        <v>518</v>
      </c>
      <c r="F54" s="93"/>
      <c r="G54" s="93"/>
      <c r="H54" s="24" t="s">
        <v>91</v>
      </c>
      <c r="I54" s="24" t="s">
        <v>519</v>
      </c>
      <c r="J54" s="60" t="s">
        <v>520</v>
      </c>
      <c r="K54" s="72"/>
      <c r="L54" s="29" t="s">
        <v>79</v>
      </c>
      <c r="M54" s="65" t="s">
        <v>525</v>
      </c>
      <c r="N54" s="65" t="s">
        <v>526</v>
      </c>
      <c r="O54" s="88"/>
      <c r="P54" s="73" t="s">
        <v>58</v>
      </c>
      <c r="Q54" s="73"/>
      <c r="R54" s="73"/>
      <c r="S54" s="49"/>
      <c r="T54" s="49"/>
      <c r="U54" s="49"/>
      <c r="V54" s="35"/>
      <c r="W54" s="23" t="s">
        <v>130</v>
      </c>
      <c r="X54" s="35"/>
      <c r="Y54" s="35"/>
      <c r="Z54" s="35"/>
      <c r="AA54" s="35"/>
      <c r="AB54" s="35"/>
      <c r="AC54" s="35"/>
      <c r="AD54" s="35"/>
      <c r="AE54" s="35"/>
      <c r="AF54" s="35"/>
      <c r="AG54" s="35"/>
      <c r="AH54" s="35"/>
    </row>
    <row r="55">
      <c r="A55" s="29" t="s">
        <v>529</v>
      </c>
      <c r="B55" s="29" t="s">
        <v>530</v>
      </c>
      <c r="C55" s="29" t="s">
        <v>189</v>
      </c>
      <c r="D55" s="65" t="s">
        <v>377</v>
      </c>
      <c r="E55" s="67" t="s">
        <v>210</v>
      </c>
      <c r="F55" s="93"/>
      <c r="G55" s="29" t="s">
        <v>531</v>
      </c>
      <c r="H55" s="24" t="s">
        <v>532</v>
      </c>
      <c r="I55" s="24" t="s">
        <v>533</v>
      </c>
      <c r="J55" s="60" t="s">
        <v>534</v>
      </c>
      <c r="K55" s="72"/>
      <c r="L55" s="29" t="s">
        <v>52</v>
      </c>
      <c r="M55" s="65" t="s">
        <v>535</v>
      </c>
      <c r="N55" s="65" t="s">
        <v>536</v>
      </c>
      <c r="O55" s="30" t="s">
        <v>56</v>
      </c>
      <c r="P55" s="73"/>
      <c r="Q55" s="73" t="s">
        <v>58</v>
      </c>
      <c r="R55" s="73"/>
      <c r="S55" s="49"/>
      <c r="T55" s="49"/>
      <c r="U55" s="49"/>
      <c r="V55" s="35"/>
      <c r="W55" s="23" t="s">
        <v>477</v>
      </c>
      <c r="X55" s="35"/>
      <c r="Y55" s="35"/>
      <c r="Z55" s="35"/>
      <c r="AA55" s="35"/>
      <c r="AB55" s="35"/>
      <c r="AC55" s="35"/>
      <c r="AD55" s="35"/>
      <c r="AE55" s="35"/>
      <c r="AF55" s="35"/>
      <c r="AG55" s="35"/>
      <c r="AH55" s="35"/>
    </row>
    <row r="56">
      <c r="A56" s="29" t="s">
        <v>65</v>
      </c>
      <c r="B56" s="29" t="s">
        <v>537</v>
      </c>
      <c r="C56" s="29" t="s">
        <v>189</v>
      </c>
      <c r="D56" s="65" t="s">
        <v>538</v>
      </c>
      <c r="E56" s="67" t="s">
        <v>539</v>
      </c>
      <c r="F56" s="93"/>
      <c r="G56" s="93"/>
      <c r="H56" s="24" t="s">
        <v>419</v>
      </c>
      <c r="I56" s="24" t="s">
        <v>540</v>
      </c>
      <c r="J56" s="95"/>
      <c r="K56" s="99" t="s">
        <v>541</v>
      </c>
      <c r="L56" s="29" t="s">
        <v>79</v>
      </c>
      <c r="M56" s="65" t="s">
        <v>542</v>
      </c>
      <c r="N56" s="65" t="s">
        <v>543</v>
      </c>
      <c r="O56" s="88"/>
      <c r="P56" s="73" t="s">
        <v>58</v>
      </c>
      <c r="Q56" s="73"/>
      <c r="R56" s="73"/>
      <c r="S56" s="49"/>
      <c r="T56" s="49"/>
      <c r="U56" s="49"/>
      <c r="V56" s="35"/>
      <c r="W56" s="23" t="s">
        <v>130</v>
      </c>
      <c r="X56" s="35"/>
      <c r="Y56" s="35"/>
      <c r="Z56" s="35"/>
      <c r="AA56" s="35"/>
      <c r="AB56" s="35"/>
      <c r="AC56" s="35"/>
      <c r="AD56" s="35"/>
      <c r="AE56" s="35"/>
      <c r="AF56" s="35"/>
      <c r="AG56" s="35"/>
      <c r="AH56" s="35"/>
    </row>
    <row r="57">
      <c r="A57" s="29" t="s">
        <v>529</v>
      </c>
      <c r="B57" s="29" t="s">
        <v>544</v>
      </c>
      <c r="C57" s="29" t="s">
        <v>189</v>
      </c>
      <c r="D57" s="65" t="s">
        <v>377</v>
      </c>
      <c r="E57" s="67" t="s">
        <v>210</v>
      </c>
      <c r="F57" s="93"/>
      <c r="G57" s="93"/>
      <c r="H57" s="24" t="s">
        <v>545</v>
      </c>
      <c r="I57" s="24" t="s">
        <v>546</v>
      </c>
      <c r="J57" s="60" t="s">
        <v>547</v>
      </c>
      <c r="K57" s="72"/>
      <c r="L57" s="29" t="s">
        <v>52</v>
      </c>
      <c r="M57" s="65" t="s">
        <v>548</v>
      </c>
      <c r="N57" s="65" t="s">
        <v>549</v>
      </c>
      <c r="O57" s="30" t="s">
        <v>56</v>
      </c>
      <c r="P57" s="73"/>
      <c r="Q57" s="73" t="s">
        <v>58</v>
      </c>
      <c r="R57" s="73"/>
      <c r="S57" s="49"/>
      <c r="T57" s="49"/>
      <c r="U57" s="49"/>
      <c r="V57" s="23" t="s">
        <v>550</v>
      </c>
      <c r="W57" s="23" t="s">
        <v>477</v>
      </c>
      <c r="X57" s="35"/>
      <c r="Y57" s="35"/>
      <c r="Z57" s="35"/>
      <c r="AA57" s="35"/>
      <c r="AB57" s="35"/>
      <c r="AC57" s="35"/>
      <c r="AD57" s="35"/>
      <c r="AE57" s="35"/>
      <c r="AF57" s="35"/>
      <c r="AG57" s="35"/>
      <c r="AH57" s="35"/>
    </row>
    <row r="58">
      <c r="A58" s="29" t="s">
        <v>551</v>
      </c>
      <c r="B58" s="29" t="s">
        <v>552</v>
      </c>
      <c r="C58" s="29" t="s">
        <v>553</v>
      </c>
      <c r="D58" s="65" t="s">
        <v>442</v>
      </c>
      <c r="E58" s="67" t="s">
        <v>554</v>
      </c>
      <c r="F58" s="29" t="s">
        <v>301</v>
      </c>
      <c r="G58" s="29" t="s">
        <v>555</v>
      </c>
      <c r="H58" s="24"/>
      <c r="I58" s="24"/>
      <c r="J58" s="60" t="s">
        <v>556</v>
      </c>
      <c r="K58" s="72"/>
      <c r="L58" s="29" t="s">
        <v>52</v>
      </c>
      <c r="M58" s="65" t="s">
        <v>557</v>
      </c>
      <c r="N58" s="65" t="s">
        <v>558</v>
      </c>
      <c r="O58" s="30" t="s">
        <v>56</v>
      </c>
      <c r="P58" s="73"/>
      <c r="Q58" s="73"/>
      <c r="R58" s="73"/>
      <c r="S58" s="49"/>
      <c r="T58" s="49"/>
      <c r="U58" s="49"/>
      <c r="V58" s="35"/>
      <c r="W58" s="23" t="s">
        <v>63</v>
      </c>
      <c r="X58" s="35"/>
      <c r="Y58" s="35"/>
      <c r="Z58" s="35"/>
      <c r="AA58" s="35"/>
      <c r="AB58" s="35"/>
      <c r="AC58" s="35"/>
      <c r="AD58" s="35"/>
      <c r="AE58" s="35"/>
      <c r="AF58" s="35"/>
      <c r="AG58" s="35"/>
      <c r="AH58" s="35"/>
    </row>
    <row r="59">
      <c r="A59" s="29" t="s">
        <v>559</v>
      </c>
      <c r="B59" s="29" t="s">
        <v>560</v>
      </c>
      <c r="C59" s="29" t="s">
        <v>553</v>
      </c>
      <c r="D59" s="65" t="s">
        <v>561</v>
      </c>
      <c r="E59" s="100"/>
      <c r="F59" s="65"/>
      <c r="G59" s="29" t="s">
        <v>562</v>
      </c>
      <c r="H59" s="24" t="s">
        <v>563</v>
      </c>
      <c r="I59" s="24" t="s">
        <v>90</v>
      </c>
      <c r="J59" s="60" t="s">
        <v>564</v>
      </c>
      <c r="K59" s="72"/>
      <c r="L59" s="29" t="s">
        <v>79</v>
      </c>
      <c r="M59" s="65" t="s">
        <v>565</v>
      </c>
      <c r="N59" s="65" t="s">
        <v>566</v>
      </c>
      <c r="O59" s="88"/>
      <c r="P59" s="73"/>
      <c r="Q59" s="73"/>
      <c r="R59" s="73"/>
      <c r="S59" s="49"/>
      <c r="T59" s="49"/>
      <c r="U59" s="49"/>
      <c r="V59" s="35"/>
      <c r="W59" s="23" t="s">
        <v>477</v>
      </c>
      <c r="X59" s="35"/>
      <c r="Y59" s="35"/>
      <c r="Z59" s="35"/>
      <c r="AA59" s="35"/>
      <c r="AB59" s="35"/>
      <c r="AC59" s="35"/>
      <c r="AD59" s="35"/>
      <c r="AE59" s="35"/>
      <c r="AF59" s="35"/>
      <c r="AG59" s="35"/>
      <c r="AH59" s="35"/>
    </row>
    <row r="60">
      <c r="A60" s="29" t="s">
        <v>567</v>
      </c>
      <c r="B60" s="29" t="s">
        <v>568</v>
      </c>
      <c r="C60" s="29" t="s">
        <v>553</v>
      </c>
      <c r="D60" s="65" t="s">
        <v>434</v>
      </c>
      <c r="E60" s="67" t="s">
        <v>569</v>
      </c>
      <c r="F60" s="29" t="s">
        <v>378</v>
      </c>
      <c r="G60" s="29" t="s">
        <v>570</v>
      </c>
      <c r="H60" s="24"/>
      <c r="I60" s="24"/>
      <c r="J60" s="60" t="s">
        <v>571</v>
      </c>
      <c r="K60" s="72"/>
      <c r="L60" s="29" t="s">
        <v>52</v>
      </c>
      <c r="M60" s="65" t="s">
        <v>572</v>
      </c>
      <c r="N60" s="65" t="s">
        <v>573</v>
      </c>
      <c r="O60" s="30" t="s">
        <v>31</v>
      </c>
      <c r="P60" s="73"/>
      <c r="Q60" s="73"/>
      <c r="R60" s="73"/>
      <c r="S60" s="33" t="s">
        <v>58</v>
      </c>
      <c r="T60" s="49"/>
      <c r="U60" s="49"/>
      <c r="V60" s="35"/>
      <c r="W60" s="23" t="s">
        <v>63</v>
      </c>
      <c r="X60" s="35"/>
      <c r="Y60" s="35"/>
      <c r="Z60" s="35"/>
      <c r="AA60" s="35"/>
      <c r="AB60" s="35"/>
      <c r="AC60" s="35"/>
      <c r="AD60" s="35"/>
      <c r="AE60" s="35"/>
      <c r="AF60" s="35"/>
      <c r="AG60" s="35"/>
      <c r="AH60" s="35"/>
    </row>
    <row r="61">
      <c r="A61" s="29" t="s">
        <v>574</v>
      </c>
      <c r="B61" s="29" t="s">
        <v>575</v>
      </c>
      <c r="C61" s="29" t="s">
        <v>553</v>
      </c>
      <c r="D61" s="65" t="s">
        <v>442</v>
      </c>
      <c r="E61" s="67" t="s">
        <v>554</v>
      </c>
      <c r="F61" s="29" t="s">
        <v>210</v>
      </c>
      <c r="G61" s="29" t="s">
        <v>576</v>
      </c>
      <c r="H61" s="24"/>
      <c r="I61" s="24"/>
      <c r="J61" s="60" t="s">
        <v>577</v>
      </c>
      <c r="K61" s="72"/>
      <c r="L61" s="29" t="s">
        <v>52</v>
      </c>
      <c r="M61" s="65" t="s">
        <v>578</v>
      </c>
      <c r="N61" s="65" t="s">
        <v>579</v>
      </c>
      <c r="O61" s="30" t="s">
        <v>56</v>
      </c>
      <c r="P61" s="73"/>
      <c r="Q61" s="73"/>
      <c r="R61" s="73"/>
      <c r="S61" s="33" t="s">
        <v>58</v>
      </c>
      <c r="T61" s="49"/>
      <c r="U61" s="49"/>
      <c r="V61" s="35"/>
      <c r="W61" s="23" t="s">
        <v>63</v>
      </c>
      <c r="X61" s="35"/>
      <c r="Y61" s="35"/>
      <c r="Z61" s="35"/>
      <c r="AA61" s="35"/>
      <c r="AB61" s="35"/>
      <c r="AC61" s="35"/>
      <c r="AD61" s="35"/>
      <c r="AE61" s="35"/>
      <c r="AF61" s="35"/>
      <c r="AG61" s="35"/>
      <c r="AH61" s="35"/>
    </row>
    <row r="62">
      <c r="A62" s="29" t="s">
        <v>580</v>
      </c>
      <c r="B62" s="29" t="s">
        <v>581</v>
      </c>
      <c r="C62" s="29" t="s">
        <v>553</v>
      </c>
      <c r="D62" s="65" t="s">
        <v>442</v>
      </c>
      <c r="E62" s="67" t="s">
        <v>554</v>
      </c>
      <c r="F62" s="29" t="s">
        <v>178</v>
      </c>
      <c r="G62" s="29" t="s">
        <v>582</v>
      </c>
      <c r="H62" s="24"/>
      <c r="I62" s="24"/>
      <c r="J62" s="60" t="s">
        <v>583</v>
      </c>
      <c r="K62" s="72"/>
      <c r="L62" s="29" t="s">
        <v>52</v>
      </c>
      <c r="M62" s="65" t="s">
        <v>584</v>
      </c>
      <c r="N62" s="65" t="s">
        <v>585</v>
      </c>
      <c r="O62" s="30" t="s">
        <v>56</v>
      </c>
      <c r="P62" s="73"/>
      <c r="Q62" s="73"/>
      <c r="R62" s="73"/>
      <c r="S62" s="33" t="s">
        <v>58</v>
      </c>
      <c r="T62" s="49"/>
      <c r="U62" s="49"/>
      <c r="V62" s="35"/>
      <c r="W62" s="23" t="s">
        <v>63</v>
      </c>
      <c r="X62" s="35"/>
      <c r="Y62" s="35"/>
      <c r="Z62" s="35"/>
      <c r="AA62" s="35"/>
      <c r="AB62" s="35"/>
      <c r="AC62" s="35"/>
      <c r="AD62" s="35"/>
      <c r="AE62" s="35"/>
      <c r="AF62" s="35"/>
      <c r="AG62" s="35"/>
      <c r="AH62" s="35"/>
    </row>
    <row r="63">
      <c r="A63" s="29" t="s">
        <v>586</v>
      </c>
      <c r="B63" s="29" t="s">
        <v>587</v>
      </c>
      <c r="C63" s="29" t="s">
        <v>553</v>
      </c>
      <c r="D63" s="65" t="s">
        <v>377</v>
      </c>
      <c r="E63" s="67" t="s">
        <v>588</v>
      </c>
      <c r="F63" s="93"/>
      <c r="G63" s="29" t="s">
        <v>589</v>
      </c>
      <c r="H63" s="24" t="s">
        <v>590</v>
      </c>
      <c r="I63" s="24" t="s">
        <v>591</v>
      </c>
      <c r="J63" s="60" t="s">
        <v>592</v>
      </c>
      <c r="K63" s="72"/>
      <c r="L63" s="29" t="s">
        <v>52</v>
      </c>
      <c r="M63" s="65" t="s">
        <v>593</v>
      </c>
      <c r="N63" s="65" t="s">
        <v>594</v>
      </c>
      <c r="O63" s="30" t="s">
        <v>56</v>
      </c>
      <c r="P63" s="73"/>
      <c r="Q63" s="73" t="s">
        <v>58</v>
      </c>
      <c r="R63" s="73"/>
      <c r="S63" s="49"/>
      <c r="T63" s="49"/>
      <c r="U63" s="49"/>
      <c r="V63" s="35"/>
      <c r="W63" s="23" t="s">
        <v>477</v>
      </c>
      <c r="X63" s="35"/>
      <c r="Y63" s="35"/>
      <c r="Z63" s="35"/>
      <c r="AA63" s="35"/>
      <c r="AB63" s="35"/>
      <c r="AC63" s="35"/>
      <c r="AD63" s="35"/>
      <c r="AE63" s="35"/>
      <c r="AF63" s="35"/>
      <c r="AG63" s="35"/>
      <c r="AH63" s="35"/>
    </row>
    <row r="64">
      <c r="A64" s="29" t="s">
        <v>595</v>
      </c>
      <c r="B64" s="29" t="s">
        <v>596</v>
      </c>
      <c r="C64" s="29" t="s">
        <v>597</v>
      </c>
      <c r="D64" s="65" t="s">
        <v>598</v>
      </c>
      <c r="E64" s="67"/>
      <c r="F64" s="93"/>
      <c r="G64" s="29" t="s">
        <v>599</v>
      </c>
      <c r="H64" s="24"/>
      <c r="I64" s="24"/>
      <c r="J64" s="60" t="s">
        <v>600</v>
      </c>
      <c r="K64" s="72"/>
      <c r="L64" s="29" t="s">
        <v>79</v>
      </c>
      <c r="M64" s="65" t="s">
        <v>601</v>
      </c>
      <c r="N64" s="65" t="s">
        <v>602</v>
      </c>
      <c r="O64" s="88"/>
      <c r="P64" s="73"/>
      <c r="Q64" s="73"/>
      <c r="R64" s="73"/>
      <c r="S64" s="49"/>
      <c r="T64" s="49"/>
      <c r="U64" s="49"/>
      <c r="V64" s="35"/>
      <c r="W64" s="23" t="s">
        <v>130</v>
      </c>
      <c r="X64" s="35"/>
      <c r="Y64" s="35"/>
      <c r="Z64" s="35"/>
      <c r="AA64" s="35"/>
      <c r="AB64" s="35"/>
      <c r="AC64" s="35"/>
      <c r="AD64" s="35"/>
      <c r="AE64" s="35"/>
      <c r="AF64" s="35"/>
      <c r="AG64" s="35"/>
      <c r="AH64" s="35"/>
    </row>
    <row r="65">
      <c r="A65" s="29" t="s">
        <v>574</v>
      </c>
      <c r="B65" s="29" t="s">
        <v>603</v>
      </c>
      <c r="C65" s="29" t="s">
        <v>597</v>
      </c>
      <c r="D65" s="65" t="s">
        <v>604</v>
      </c>
      <c r="E65" s="67" t="s">
        <v>605</v>
      </c>
      <c r="F65" s="93"/>
      <c r="G65" s="93"/>
      <c r="H65" s="24" t="s">
        <v>606</v>
      </c>
      <c r="I65" s="24" t="s">
        <v>607</v>
      </c>
      <c r="J65" s="60" t="s">
        <v>608</v>
      </c>
      <c r="K65" s="72"/>
      <c r="L65" s="29" t="s">
        <v>79</v>
      </c>
      <c r="M65" s="65" t="s">
        <v>609</v>
      </c>
      <c r="N65" s="65" t="s">
        <v>610</v>
      </c>
      <c r="O65" s="88"/>
      <c r="P65" s="73"/>
      <c r="Q65" s="73"/>
      <c r="R65" s="73"/>
      <c r="S65" s="33" t="s">
        <v>58</v>
      </c>
      <c r="T65" s="49"/>
      <c r="U65" s="49"/>
      <c r="V65" s="35"/>
      <c r="W65" s="23" t="s">
        <v>130</v>
      </c>
      <c r="X65" s="35"/>
      <c r="Y65" s="35"/>
      <c r="Z65" s="35"/>
      <c r="AA65" s="35"/>
      <c r="AB65" s="35"/>
      <c r="AC65" s="35"/>
      <c r="AD65" s="35"/>
      <c r="AE65" s="35"/>
      <c r="AF65" s="35"/>
      <c r="AG65" s="35"/>
      <c r="AH65" s="35"/>
    </row>
    <row r="66">
      <c r="A66" s="29" t="s">
        <v>529</v>
      </c>
      <c r="B66" s="29" t="s">
        <v>611</v>
      </c>
      <c r="C66" s="29" t="s">
        <v>597</v>
      </c>
      <c r="D66" s="65" t="s">
        <v>377</v>
      </c>
      <c r="E66" s="67" t="s">
        <v>232</v>
      </c>
      <c r="F66" s="93"/>
      <c r="G66" s="29" t="s">
        <v>612</v>
      </c>
      <c r="H66" s="24" t="s">
        <v>613</v>
      </c>
      <c r="I66" s="24" t="s">
        <v>614</v>
      </c>
      <c r="J66" s="60" t="s">
        <v>615</v>
      </c>
      <c r="K66" s="72"/>
      <c r="L66" s="29" t="s">
        <v>52</v>
      </c>
      <c r="M66" s="65" t="s">
        <v>616</v>
      </c>
      <c r="N66" s="65" t="s">
        <v>617</v>
      </c>
      <c r="O66" s="30" t="s">
        <v>31</v>
      </c>
      <c r="P66" s="73"/>
      <c r="Q66" s="73" t="s">
        <v>58</v>
      </c>
      <c r="R66" s="73"/>
      <c r="S66" s="49"/>
      <c r="T66" s="49"/>
      <c r="U66" s="49"/>
      <c r="V66" s="35"/>
      <c r="W66" s="23" t="s">
        <v>477</v>
      </c>
      <c r="X66" s="35"/>
      <c r="Y66" s="35"/>
      <c r="Z66" s="35"/>
      <c r="AA66" s="35"/>
      <c r="AB66" s="35"/>
      <c r="AC66" s="35"/>
      <c r="AD66" s="35"/>
      <c r="AE66" s="35"/>
      <c r="AF66" s="35"/>
      <c r="AG66" s="35"/>
      <c r="AH66" s="35"/>
    </row>
    <row r="67">
      <c r="A67" s="29" t="s">
        <v>618</v>
      </c>
      <c r="B67" s="29" t="s">
        <v>619</v>
      </c>
      <c r="C67" s="29" t="s">
        <v>597</v>
      </c>
      <c r="D67" s="65" t="s">
        <v>620</v>
      </c>
      <c r="E67" s="67" t="s">
        <v>621</v>
      </c>
      <c r="F67" s="29" t="s">
        <v>622</v>
      </c>
      <c r="G67" s="93"/>
      <c r="H67" s="24" t="s">
        <v>623</v>
      </c>
      <c r="I67" s="24" t="s">
        <v>482</v>
      </c>
      <c r="J67" s="60" t="s">
        <v>624</v>
      </c>
      <c r="K67" s="72"/>
      <c r="L67" s="29" t="s">
        <v>52</v>
      </c>
      <c r="M67" s="65" t="s">
        <v>625</v>
      </c>
      <c r="N67" s="65" t="s">
        <v>626</v>
      </c>
      <c r="O67" s="30" t="s">
        <v>31</v>
      </c>
      <c r="P67" s="73"/>
      <c r="Q67" s="73"/>
      <c r="R67" s="73"/>
      <c r="S67" s="49"/>
      <c r="T67" s="49"/>
      <c r="U67" s="49"/>
      <c r="V67" s="35"/>
      <c r="W67" s="23" t="s">
        <v>477</v>
      </c>
      <c r="X67" s="35"/>
      <c r="Y67" s="35"/>
      <c r="Z67" s="35"/>
      <c r="AA67" s="35"/>
      <c r="AB67" s="35"/>
      <c r="AC67" s="35"/>
      <c r="AD67" s="35"/>
      <c r="AE67" s="35"/>
      <c r="AF67" s="35"/>
      <c r="AG67" s="35"/>
      <c r="AH67" s="35"/>
    </row>
    <row r="68">
      <c r="A68" s="29" t="s">
        <v>529</v>
      </c>
      <c r="B68" s="29" t="s">
        <v>627</v>
      </c>
      <c r="C68" s="29" t="s">
        <v>597</v>
      </c>
      <c r="D68" s="65" t="s">
        <v>377</v>
      </c>
      <c r="E68" s="67" t="s">
        <v>232</v>
      </c>
      <c r="F68" s="93"/>
      <c r="G68" s="29" t="s">
        <v>628</v>
      </c>
      <c r="H68" s="24" t="s">
        <v>629</v>
      </c>
      <c r="I68" s="24" t="s">
        <v>630</v>
      </c>
      <c r="J68" s="60" t="s">
        <v>631</v>
      </c>
      <c r="K68" s="72"/>
      <c r="L68" s="29" t="s">
        <v>52</v>
      </c>
      <c r="M68" s="65" t="s">
        <v>632</v>
      </c>
      <c r="N68" s="65" t="s">
        <v>617</v>
      </c>
      <c r="O68" s="30" t="s">
        <v>31</v>
      </c>
      <c r="P68" s="73"/>
      <c r="Q68" s="73" t="s">
        <v>58</v>
      </c>
      <c r="R68" s="73"/>
      <c r="S68" s="49"/>
      <c r="T68" s="49"/>
      <c r="U68" s="49"/>
      <c r="V68" s="23" t="s">
        <v>633</v>
      </c>
      <c r="W68" s="23" t="s">
        <v>477</v>
      </c>
      <c r="X68" s="35"/>
      <c r="Y68" s="35"/>
      <c r="Z68" s="35"/>
      <c r="AA68" s="35"/>
      <c r="AB68" s="35"/>
      <c r="AC68" s="35"/>
      <c r="AD68" s="35"/>
      <c r="AE68" s="35"/>
      <c r="AF68" s="35"/>
      <c r="AG68" s="35"/>
      <c r="AH68" s="35"/>
    </row>
    <row r="69">
      <c r="A69" s="24" t="s">
        <v>65</v>
      </c>
      <c r="B69" s="24" t="s">
        <v>634</v>
      </c>
      <c r="C69" s="24" t="s">
        <v>189</v>
      </c>
      <c r="D69" s="48" t="s">
        <v>635</v>
      </c>
      <c r="E69" s="41" t="s">
        <v>443</v>
      </c>
      <c r="F69" s="24" t="s">
        <v>48</v>
      </c>
      <c r="G69" s="24"/>
      <c r="H69" s="24"/>
      <c r="I69" s="24"/>
      <c r="J69" s="43"/>
      <c r="K69" s="28" t="s">
        <v>636</v>
      </c>
      <c r="L69" s="24" t="s">
        <v>637</v>
      </c>
      <c r="M69" s="48"/>
      <c r="N69" s="48"/>
      <c r="O69" s="24"/>
      <c r="P69" s="32" t="s">
        <v>58</v>
      </c>
      <c r="Q69" s="32"/>
      <c r="R69" s="32"/>
      <c r="S69" s="63"/>
      <c r="T69" s="63"/>
      <c r="U69" s="63"/>
      <c r="V69" s="64"/>
      <c r="W69" s="101" t="s">
        <v>638</v>
      </c>
      <c r="X69" s="64"/>
      <c r="Y69" s="64"/>
      <c r="Z69" s="64"/>
      <c r="AA69" s="64"/>
      <c r="AB69" s="64"/>
      <c r="AC69" s="64"/>
      <c r="AD69" s="64"/>
      <c r="AE69" s="64"/>
      <c r="AF69" s="64"/>
      <c r="AG69" s="64"/>
      <c r="AH69" s="64"/>
    </row>
    <row r="70">
      <c r="A70" s="19" t="s">
        <v>158</v>
      </c>
      <c r="B70" s="24" t="s">
        <v>639</v>
      </c>
      <c r="C70" s="24" t="s">
        <v>189</v>
      </c>
      <c r="D70" s="48" t="s">
        <v>640</v>
      </c>
      <c r="E70" s="41"/>
      <c r="F70" s="24"/>
      <c r="G70" s="24"/>
      <c r="H70" s="24" t="s">
        <v>641</v>
      </c>
      <c r="I70" s="24" t="s">
        <v>642</v>
      </c>
      <c r="J70" s="43"/>
      <c r="K70" s="28" t="s">
        <v>643</v>
      </c>
      <c r="L70" s="24" t="s">
        <v>79</v>
      </c>
      <c r="M70" s="48" t="s">
        <v>645</v>
      </c>
      <c r="N70" s="48" t="s">
        <v>646</v>
      </c>
      <c r="O70" s="24"/>
      <c r="P70" s="32" t="s">
        <v>58</v>
      </c>
      <c r="Q70" s="32"/>
      <c r="R70" s="32"/>
      <c r="S70" s="63"/>
      <c r="T70" s="63"/>
      <c r="U70" s="63"/>
      <c r="V70" s="64"/>
      <c r="W70" s="101" t="s">
        <v>648</v>
      </c>
      <c r="X70" s="64"/>
      <c r="Y70" s="64"/>
      <c r="Z70" s="64"/>
      <c r="AA70" s="64"/>
      <c r="AB70" s="64"/>
      <c r="AC70" s="64"/>
      <c r="AD70" s="64"/>
      <c r="AE70" s="64"/>
      <c r="AF70" s="64"/>
      <c r="AG70" s="64"/>
      <c r="AH70" s="64"/>
    </row>
    <row r="71">
      <c r="A71" s="104" t="s">
        <v>651</v>
      </c>
      <c r="B71" s="104" t="s">
        <v>652</v>
      </c>
      <c r="C71" s="104" t="s">
        <v>597</v>
      </c>
      <c r="D71" s="84" t="s">
        <v>653</v>
      </c>
      <c r="E71" s="107"/>
      <c r="F71" s="109"/>
      <c r="G71" s="109"/>
      <c r="H71" s="24" t="s">
        <v>656</v>
      </c>
      <c r="I71" s="24" t="s">
        <v>657</v>
      </c>
      <c r="J71" s="85" t="s">
        <v>659</v>
      </c>
      <c r="K71" s="110"/>
      <c r="L71" s="24" t="s">
        <v>79</v>
      </c>
      <c r="M71" s="84" t="s">
        <v>661</v>
      </c>
      <c r="N71" s="84" t="s">
        <v>662</v>
      </c>
      <c r="O71" s="109"/>
      <c r="P71" s="33"/>
      <c r="Q71" s="33"/>
      <c r="R71" s="33"/>
      <c r="S71" s="49"/>
      <c r="T71" s="49"/>
      <c r="U71" s="49"/>
      <c r="V71" s="35"/>
      <c r="W71" s="23" t="s">
        <v>130</v>
      </c>
      <c r="X71" s="35"/>
      <c r="Y71" s="35"/>
      <c r="Z71" s="35"/>
      <c r="AA71" s="35"/>
      <c r="AB71" s="35"/>
      <c r="AC71" s="35"/>
      <c r="AD71" s="35"/>
      <c r="AE71" s="35"/>
      <c r="AF71" s="35"/>
      <c r="AG71" s="35"/>
      <c r="AH71" s="35"/>
    </row>
    <row r="72">
      <c r="A72" s="104" t="s">
        <v>618</v>
      </c>
      <c r="B72" s="104" t="s">
        <v>663</v>
      </c>
      <c r="C72" s="104" t="s">
        <v>664</v>
      </c>
      <c r="D72" s="84" t="s">
        <v>665</v>
      </c>
      <c r="E72" s="107"/>
      <c r="F72" s="109"/>
      <c r="G72" s="104"/>
      <c r="H72" s="24" t="s">
        <v>666</v>
      </c>
      <c r="I72" s="24" t="s">
        <v>667</v>
      </c>
      <c r="J72" s="85" t="s">
        <v>668</v>
      </c>
      <c r="K72" s="112"/>
      <c r="L72" s="24" t="s">
        <v>79</v>
      </c>
      <c r="M72" s="84" t="s">
        <v>671</v>
      </c>
      <c r="N72" s="84" t="s">
        <v>673</v>
      </c>
      <c r="O72" s="109"/>
      <c r="P72" s="33"/>
      <c r="Q72" s="33"/>
      <c r="R72" s="33"/>
      <c r="S72" s="49"/>
      <c r="T72" s="49"/>
      <c r="U72" s="49"/>
      <c r="V72" s="35"/>
      <c r="W72" s="23" t="s">
        <v>477</v>
      </c>
      <c r="X72" s="35"/>
      <c r="Y72" s="35"/>
      <c r="Z72" s="35"/>
      <c r="AA72" s="35"/>
      <c r="AB72" s="35"/>
      <c r="AC72" s="35"/>
      <c r="AD72" s="35"/>
      <c r="AE72" s="35"/>
      <c r="AF72" s="35"/>
      <c r="AG72" s="35"/>
      <c r="AH72" s="35"/>
    </row>
    <row r="73">
      <c r="A73" s="104" t="s">
        <v>675</v>
      </c>
      <c r="B73" s="104" t="s">
        <v>676</v>
      </c>
      <c r="C73" s="104" t="s">
        <v>664</v>
      </c>
      <c r="D73" s="84" t="s">
        <v>665</v>
      </c>
      <c r="E73" s="107"/>
      <c r="F73" s="109"/>
      <c r="G73" s="104"/>
      <c r="H73" s="24" t="s">
        <v>677</v>
      </c>
      <c r="I73" s="24" t="s">
        <v>678</v>
      </c>
      <c r="J73" s="85" t="s">
        <v>679</v>
      </c>
      <c r="K73" s="110"/>
      <c r="L73" s="24" t="s">
        <v>79</v>
      </c>
      <c r="M73" s="84" t="s">
        <v>684</v>
      </c>
      <c r="N73" s="84" t="s">
        <v>685</v>
      </c>
      <c r="O73" s="109"/>
      <c r="P73" s="33"/>
      <c r="Q73" s="33"/>
      <c r="R73" s="33"/>
      <c r="S73" s="49"/>
      <c r="T73" s="49"/>
      <c r="U73" s="49"/>
      <c r="V73" s="35"/>
      <c r="W73" s="23" t="s">
        <v>477</v>
      </c>
      <c r="X73" s="35"/>
      <c r="Y73" s="35"/>
      <c r="Z73" s="35"/>
      <c r="AA73" s="35"/>
      <c r="AB73" s="35"/>
      <c r="AC73" s="35"/>
      <c r="AD73" s="35"/>
      <c r="AE73" s="35"/>
      <c r="AF73" s="35"/>
      <c r="AG73" s="35"/>
      <c r="AH73" s="35"/>
    </row>
    <row r="74">
      <c r="A74" s="104" t="s">
        <v>529</v>
      </c>
      <c r="B74" s="104" t="s">
        <v>688</v>
      </c>
      <c r="C74" s="104" t="s">
        <v>597</v>
      </c>
      <c r="D74" s="84" t="s">
        <v>653</v>
      </c>
      <c r="E74" s="107"/>
      <c r="F74" s="109"/>
      <c r="G74" s="109"/>
      <c r="H74" s="24" t="s">
        <v>690</v>
      </c>
      <c r="I74" s="24" t="s">
        <v>691</v>
      </c>
      <c r="J74" s="85" t="s">
        <v>693</v>
      </c>
      <c r="K74" s="110"/>
      <c r="L74" s="24" t="s">
        <v>79</v>
      </c>
      <c r="M74" s="84" t="s">
        <v>697</v>
      </c>
      <c r="N74" s="84" t="s">
        <v>699</v>
      </c>
      <c r="O74" s="109"/>
      <c r="P74" s="33"/>
      <c r="Q74" s="33" t="s">
        <v>58</v>
      </c>
      <c r="R74" s="33"/>
      <c r="S74" s="49"/>
      <c r="T74" s="49"/>
      <c r="U74" s="49"/>
      <c r="V74" s="35"/>
      <c r="W74" s="23" t="s">
        <v>477</v>
      </c>
      <c r="X74" s="35"/>
      <c r="Y74" s="35"/>
      <c r="Z74" s="35"/>
      <c r="AA74" s="35"/>
      <c r="AB74" s="35"/>
      <c r="AC74" s="35"/>
      <c r="AD74" s="35"/>
      <c r="AE74" s="35"/>
      <c r="AF74" s="35"/>
      <c r="AG74" s="35"/>
      <c r="AH74" s="35"/>
    </row>
    <row r="75">
      <c r="A75" s="104" t="s">
        <v>618</v>
      </c>
      <c r="B75" s="104" t="s">
        <v>702</v>
      </c>
      <c r="C75" s="104" t="s">
        <v>597</v>
      </c>
      <c r="D75" s="84" t="s">
        <v>653</v>
      </c>
      <c r="E75" s="107"/>
      <c r="F75" s="109"/>
      <c r="G75" s="109"/>
      <c r="H75" s="24" t="s">
        <v>704</v>
      </c>
      <c r="I75" s="24" t="s">
        <v>706</v>
      </c>
      <c r="J75" s="85" t="s">
        <v>707</v>
      </c>
      <c r="K75" s="110"/>
      <c r="L75" s="24" t="s">
        <v>79</v>
      </c>
      <c r="M75" s="84" t="s">
        <v>717</v>
      </c>
      <c r="N75" s="116" t="s">
        <v>718</v>
      </c>
      <c r="O75" s="109"/>
      <c r="P75" s="33"/>
      <c r="Q75" s="33" t="s">
        <v>58</v>
      </c>
      <c r="R75" s="33"/>
      <c r="S75" s="49"/>
      <c r="T75" s="49"/>
      <c r="U75" s="49"/>
      <c r="V75" s="35"/>
      <c r="W75" s="23" t="s">
        <v>340</v>
      </c>
      <c r="X75" s="35"/>
      <c r="Y75" s="35"/>
      <c r="Z75" s="35"/>
      <c r="AA75" s="35"/>
      <c r="AB75" s="35"/>
      <c r="AC75" s="35"/>
      <c r="AD75" s="35"/>
      <c r="AE75" s="35"/>
      <c r="AF75" s="35"/>
      <c r="AG75" s="35"/>
      <c r="AH75" s="35"/>
    </row>
    <row r="76">
      <c r="A76" s="104" t="s">
        <v>719</v>
      </c>
      <c r="B76" s="104" t="s">
        <v>720</v>
      </c>
      <c r="C76" s="104" t="s">
        <v>597</v>
      </c>
      <c r="D76" s="84" t="s">
        <v>653</v>
      </c>
      <c r="E76" s="107"/>
      <c r="F76" s="109"/>
      <c r="G76" s="109"/>
      <c r="H76" s="24" t="s">
        <v>721</v>
      </c>
      <c r="I76" s="24" t="s">
        <v>722</v>
      </c>
      <c r="J76" s="85" t="s">
        <v>723</v>
      </c>
      <c r="K76" s="110"/>
      <c r="L76" s="24" t="s">
        <v>79</v>
      </c>
      <c r="M76" s="84" t="s">
        <v>724</v>
      </c>
      <c r="N76" s="84" t="s">
        <v>725</v>
      </c>
      <c r="O76" s="109"/>
      <c r="P76" s="33"/>
      <c r="Q76" s="33"/>
      <c r="R76" s="33"/>
      <c r="S76" s="49"/>
      <c r="T76" s="49"/>
      <c r="U76" s="49"/>
      <c r="V76" s="35"/>
      <c r="W76" s="23" t="s">
        <v>340</v>
      </c>
      <c r="X76" s="35"/>
      <c r="Y76" s="35"/>
      <c r="Z76" s="35"/>
      <c r="AA76" s="35"/>
      <c r="AB76" s="35"/>
      <c r="AC76" s="35"/>
      <c r="AD76" s="35"/>
      <c r="AE76" s="35"/>
      <c r="AF76" s="35"/>
      <c r="AG76" s="35"/>
      <c r="AH76" s="35"/>
    </row>
    <row r="77">
      <c r="A77" s="104" t="s">
        <v>726</v>
      </c>
      <c r="B77" s="104" t="s">
        <v>727</v>
      </c>
      <c r="C77" s="104" t="s">
        <v>664</v>
      </c>
      <c r="D77" s="84" t="s">
        <v>665</v>
      </c>
      <c r="E77" s="107"/>
      <c r="F77" s="109"/>
      <c r="G77" s="104"/>
      <c r="H77" s="24" t="s">
        <v>728</v>
      </c>
      <c r="I77" s="24" t="s">
        <v>729</v>
      </c>
      <c r="J77" s="85" t="s">
        <v>730</v>
      </c>
      <c r="K77" s="110"/>
      <c r="L77" s="24" t="s">
        <v>79</v>
      </c>
      <c r="M77" s="84" t="s">
        <v>731</v>
      </c>
      <c r="N77" s="84" t="s">
        <v>732</v>
      </c>
      <c r="O77" s="109"/>
      <c r="P77" s="33"/>
      <c r="Q77" s="33"/>
      <c r="R77" s="33"/>
      <c r="S77" s="49"/>
      <c r="T77" s="49"/>
      <c r="U77" s="49"/>
      <c r="V77" s="35"/>
      <c r="W77" s="23" t="s">
        <v>340</v>
      </c>
      <c r="X77" s="35"/>
      <c r="Y77" s="35"/>
      <c r="Z77" s="35"/>
      <c r="AA77" s="35"/>
      <c r="AB77" s="35"/>
      <c r="AC77" s="35"/>
      <c r="AD77" s="35"/>
      <c r="AE77" s="35"/>
      <c r="AF77" s="35"/>
      <c r="AG77" s="35"/>
      <c r="AH77" s="35"/>
    </row>
    <row r="78">
      <c r="A78" s="24" t="s">
        <v>733</v>
      </c>
      <c r="B78" s="24" t="s">
        <v>734</v>
      </c>
      <c r="C78" s="24" t="s">
        <v>45</v>
      </c>
      <c r="D78" s="20" t="s">
        <v>67</v>
      </c>
      <c r="E78" s="41" t="s">
        <v>68</v>
      </c>
      <c r="F78" s="24"/>
      <c r="G78" s="24"/>
      <c r="H78" s="24" t="s">
        <v>231</v>
      </c>
      <c r="I78" s="24" t="s">
        <v>735</v>
      </c>
      <c r="J78" s="43"/>
      <c r="K78" s="28" t="s">
        <v>736</v>
      </c>
      <c r="L78" s="24" t="s">
        <v>637</v>
      </c>
      <c r="M78" s="24"/>
      <c r="N78" s="48"/>
      <c r="O78" s="30"/>
      <c r="P78" s="32" t="s">
        <v>58</v>
      </c>
      <c r="Q78" s="63"/>
      <c r="R78" s="63"/>
      <c r="S78" s="49"/>
      <c r="T78" s="33" t="s">
        <v>58</v>
      </c>
      <c r="U78" s="49"/>
      <c r="V78" s="35"/>
      <c r="W78" s="23" t="s">
        <v>340</v>
      </c>
      <c r="X78" s="35"/>
      <c r="Y78" s="35"/>
      <c r="Z78" s="35"/>
      <c r="AA78" s="35"/>
      <c r="AB78" s="35"/>
      <c r="AC78" s="35"/>
      <c r="AD78" s="35"/>
      <c r="AE78" s="35"/>
      <c r="AF78" s="35"/>
      <c r="AG78" s="35"/>
      <c r="AH78" s="35"/>
    </row>
    <row r="79">
      <c r="A79" s="19" t="s">
        <v>737</v>
      </c>
      <c r="B79" s="24" t="s">
        <v>738</v>
      </c>
      <c r="C79" s="24" t="s">
        <v>45</v>
      </c>
      <c r="D79" s="117" t="s">
        <v>739</v>
      </c>
      <c r="E79" s="41" t="s">
        <v>740</v>
      </c>
      <c r="F79" s="24"/>
      <c r="G79" s="24"/>
      <c r="H79" s="24" t="s">
        <v>231</v>
      </c>
      <c r="I79" s="24" t="s">
        <v>420</v>
      </c>
      <c r="J79" s="43"/>
      <c r="K79" s="28" t="s">
        <v>741</v>
      </c>
      <c r="L79" s="24" t="s">
        <v>637</v>
      </c>
      <c r="M79" s="24" t="s">
        <v>742</v>
      </c>
      <c r="N79" s="48" t="s">
        <v>743</v>
      </c>
      <c r="O79" s="24"/>
      <c r="P79" s="32" t="s">
        <v>58</v>
      </c>
      <c r="Q79" s="32"/>
      <c r="R79" s="32"/>
      <c r="S79" s="63"/>
      <c r="T79" s="63"/>
      <c r="U79" s="63"/>
      <c r="V79" s="64"/>
      <c r="W79" s="101" t="s">
        <v>340</v>
      </c>
      <c r="X79" s="64"/>
      <c r="Y79" s="64"/>
      <c r="Z79" s="64"/>
      <c r="AA79" s="64"/>
      <c r="AB79" s="64"/>
      <c r="AC79" s="64"/>
      <c r="AD79" s="64"/>
      <c r="AE79" s="64"/>
      <c r="AF79" s="64"/>
      <c r="AG79" s="64"/>
      <c r="AH79" s="64"/>
    </row>
    <row r="80">
      <c r="A80" s="24" t="s">
        <v>744</v>
      </c>
      <c r="B80" s="24" t="s">
        <v>745</v>
      </c>
      <c r="C80" s="24" t="s">
        <v>45</v>
      </c>
      <c r="D80" s="117" t="s">
        <v>739</v>
      </c>
      <c r="E80" s="41" t="s">
        <v>740</v>
      </c>
      <c r="F80" s="24"/>
      <c r="G80" s="24"/>
      <c r="H80" s="24" t="s">
        <v>746</v>
      </c>
      <c r="I80" s="24" t="s">
        <v>134</v>
      </c>
      <c r="J80" s="43"/>
      <c r="K80" s="28" t="s">
        <v>747</v>
      </c>
      <c r="L80" s="24" t="s">
        <v>79</v>
      </c>
      <c r="M80" s="24" t="s">
        <v>748</v>
      </c>
      <c r="N80" s="48" t="s">
        <v>749</v>
      </c>
      <c r="O80" s="24"/>
      <c r="P80" s="32" t="s">
        <v>58</v>
      </c>
      <c r="Q80" s="32"/>
      <c r="R80" s="32"/>
      <c r="S80" s="63"/>
      <c r="T80" s="63"/>
      <c r="U80" s="63"/>
      <c r="V80" s="64"/>
      <c r="W80" s="23" t="s">
        <v>130</v>
      </c>
      <c r="X80" s="64"/>
      <c r="Y80" s="64"/>
      <c r="Z80" s="64"/>
      <c r="AA80" s="64"/>
      <c r="AB80" s="64"/>
      <c r="AC80" s="64"/>
      <c r="AD80" s="64"/>
      <c r="AE80" s="64"/>
      <c r="AF80" s="64"/>
      <c r="AG80" s="64"/>
      <c r="AH80" s="64"/>
    </row>
    <row r="81">
      <c r="A81" s="118" t="s">
        <v>750</v>
      </c>
      <c r="B81" s="118" t="s">
        <v>751</v>
      </c>
      <c r="C81" s="104" t="s">
        <v>42</v>
      </c>
      <c r="D81" s="84" t="s">
        <v>752</v>
      </c>
      <c r="E81" s="87" t="s">
        <v>569</v>
      </c>
      <c r="F81" s="29" t="s">
        <v>231</v>
      </c>
      <c r="G81" s="109"/>
      <c r="H81" s="24" t="s">
        <v>753</v>
      </c>
      <c r="I81" s="24" t="s">
        <v>754</v>
      </c>
      <c r="J81" s="119" t="s">
        <v>755</v>
      </c>
      <c r="K81" s="110"/>
      <c r="L81" s="29" t="s">
        <v>52</v>
      </c>
      <c r="M81" s="84" t="s">
        <v>756</v>
      </c>
      <c r="N81" s="84" t="s">
        <v>757</v>
      </c>
      <c r="O81" s="104" t="s">
        <v>31</v>
      </c>
      <c r="P81" s="120" t="s">
        <v>58</v>
      </c>
      <c r="Q81" s="120"/>
      <c r="R81" s="120"/>
      <c r="S81" s="49"/>
      <c r="T81" s="49"/>
      <c r="U81" s="49"/>
      <c r="V81" s="35"/>
      <c r="W81" s="23" t="s">
        <v>63</v>
      </c>
      <c r="X81" s="35"/>
      <c r="Y81" s="35"/>
      <c r="Z81" s="35"/>
      <c r="AA81" s="35"/>
      <c r="AB81" s="35"/>
      <c r="AC81" s="35"/>
      <c r="AD81" s="35"/>
      <c r="AE81" s="35"/>
      <c r="AF81" s="35"/>
      <c r="AG81" s="35"/>
      <c r="AH81" s="35"/>
    </row>
    <row r="82">
      <c r="A82" s="19" t="s">
        <v>758</v>
      </c>
      <c r="B82" s="24" t="s">
        <v>759</v>
      </c>
      <c r="C82" s="24" t="s">
        <v>45</v>
      </c>
      <c r="D82" s="48" t="s">
        <v>760</v>
      </c>
      <c r="E82" s="41" t="s">
        <v>761</v>
      </c>
      <c r="F82" s="24"/>
      <c r="G82" s="24"/>
      <c r="H82" s="24" t="s">
        <v>762</v>
      </c>
      <c r="I82" s="24" t="s">
        <v>763</v>
      </c>
      <c r="J82" s="43" t="s">
        <v>764</v>
      </c>
      <c r="K82" s="61"/>
      <c r="L82" s="24" t="s">
        <v>79</v>
      </c>
      <c r="M82" s="24" t="s">
        <v>765</v>
      </c>
      <c r="N82" s="48" t="s">
        <v>766</v>
      </c>
      <c r="O82" s="24"/>
      <c r="P82" s="32" t="s">
        <v>58</v>
      </c>
      <c r="Q82" s="32"/>
      <c r="R82" s="32"/>
      <c r="S82" s="121" t="s">
        <v>58</v>
      </c>
      <c r="T82" s="122"/>
      <c r="U82" s="122"/>
      <c r="V82" s="123"/>
      <c r="W82" s="124" t="s">
        <v>220</v>
      </c>
      <c r="X82" s="123"/>
      <c r="Y82" s="123"/>
      <c r="Z82" s="123"/>
      <c r="AA82" s="123"/>
      <c r="AB82" s="123"/>
      <c r="AC82" s="123"/>
      <c r="AD82" s="123"/>
      <c r="AE82" s="123"/>
      <c r="AF82" s="123"/>
      <c r="AG82" s="123"/>
      <c r="AH82" s="123"/>
    </row>
    <row r="83">
      <c r="A83" s="118" t="s">
        <v>767</v>
      </c>
      <c r="B83" s="118" t="s">
        <v>768</v>
      </c>
      <c r="C83" s="104" t="s">
        <v>184</v>
      </c>
      <c r="D83" s="58" t="s">
        <v>769</v>
      </c>
      <c r="E83" s="107"/>
      <c r="F83" s="19"/>
      <c r="G83" s="109"/>
      <c r="H83" s="24" t="s">
        <v>770</v>
      </c>
      <c r="I83" s="24" t="s">
        <v>771</v>
      </c>
      <c r="J83" s="85" t="s">
        <v>772</v>
      </c>
      <c r="K83" s="110"/>
      <c r="L83" s="24" t="s">
        <v>79</v>
      </c>
      <c r="M83" s="125" t="s">
        <v>773</v>
      </c>
      <c r="N83" s="84" t="s">
        <v>774</v>
      </c>
      <c r="O83" s="109"/>
      <c r="P83" s="120"/>
      <c r="Q83" s="120"/>
      <c r="R83" s="120" t="s">
        <v>58</v>
      </c>
      <c r="S83" s="49"/>
      <c r="T83" s="49"/>
      <c r="U83" s="49"/>
      <c r="V83" s="35"/>
      <c r="W83" s="23" t="s">
        <v>130</v>
      </c>
      <c r="X83" s="35"/>
      <c r="Y83" s="35"/>
      <c r="Z83" s="35"/>
      <c r="AA83" s="35"/>
      <c r="AB83" s="35"/>
      <c r="AC83" s="35"/>
      <c r="AD83" s="35"/>
      <c r="AE83" s="35"/>
      <c r="AF83" s="35"/>
      <c r="AG83" s="35"/>
      <c r="AH83" s="35"/>
    </row>
    <row r="84">
      <c r="A84" s="29" t="s">
        <v>87</v>
      </c>
      <c r="B84" s="104" t="s">
        <v>775</v>
      </c>
      <c r="C84" s="104" t="s">
        <v>184</v>
      </c>
      <c r="D84" s="58" t="s">
        <v>769</v>
      </c>
      <c r="E84" s="107"/>
      <c r="F84" s="19"/>
      <c r="G84" s="109"/>
      <c r="H84" s="24" t="s">
        <v>435</v>
      </c>
      <c r="I84" s="24" t="s">
        <v>315</v>
      </c>
      <c r="J84" s="85" t="s">
        <v>776</v>
      </c>
      <c r="K84" s="110"/>
      <c r="L84" s="24" t="s">
        <v>79</v>
      </c>
      <c r="M84" s="84" t="s">
        <v>777</v>
      </c>
      <c r="N84" s="84" t="s">
        <v>778</v>
      </c>
      <c r="O84" s="109"/>
      <c r="P84" s="73" t="s">
        <v>58</v>
      </c>
      <c r="Q84" s="73"/>
      <c r="R84" s="73"/>
      <c r="S84" s="49"/>
      <c r="T84" s="49"/>
      <c r="U84" s="49"/>
      <c r="V84" s="23" t="s">
        <v>779</v>
      </c>
      <c r="W84" s="23" t="s">
        <v>130</v>
      </c>
      <c r="X84" s="35"/>
      <c r="Y84" s="35"/>
      <c r="Z84" s="35"/>
      <c r="AA84" s="35"/>
      <c r="AB84" s="35"/>
      <c r="AC84" s="35"/>
      <c r="AD84" s="35"/>
      <c r="AE84" s="35"/>
      <c r="AF84" s="35"/>
      <c r="AG84" s="35"/>
      <c r="AH84" s="35"/>
    </row>
    <row r="85">
      <c r="A85" s="24" t="s">
        <v>65</v>
      </c>
      <c r="B85" s="118" t="s">
        <v>780</v>
      </c>
      <c r="C85" s="104" t="s">
        <v>184</v>
      </c>
      <c r="D85" s="58" t="s">
        <v>769</v>
      </c>
      <c r="E85" s="107"/>
      <c r="F85" s="19"/>
      <c r="G85" s="109"/>
      <c r="H85" s="24" t="s">
        <v>781</v>
      </c>
      <c r="I85" s="24" t="s">
        <v>782</v>
      </c>
      <c r="J85" s="85" t="s">
        <v>783</v>
      </c>
      <c r="K85" s="110"/>
      <c r="L85" s="24" t="s">
        <v>79</v>
      </c>
      <c r="M85" s="126" t="s">
        <v>784</v>
      </c>
      <c r="N85" s="84" t="s">
        <v>785</v>
      </c>
      <c r="O85" s="109"/>
      <c r="P85" s="32" t="s">
        <v>58</v>
      </c>
      <c r="Q85" s="32"/>
      <c r="R85" s="32"/>
      <c r="S85" s="49"/>
      <c r="T85" s="49"/>
      <c r="U85" s="49"/>
      <c r="V85" s="35"/>
      <c r="W85" s="23" t="s">
        <v>130</v>
      </c>
      <c r="X85" s="35"/>
      <c r="Y85" s="35"/>
      <c r="Z85" s="35"/>
      <c r="AA85" s="35"/>
      <c r="AB85" s="35"/>
      <c r="AC85" s="35"/>
      <c r="AD85" s="35"/>
      <c r="AE85" s="35"/>
      <c r="AF85" s="35"/>
      <c r="AG85" s="35"/>
      <c r="AH85" s="35"/>
    </row>
    <row r="86">
      <c r="A86" s="24" t="s">
        <v>786</v>
      </c>
      <c r="B86" s="118" t="s">
        <v>787</v>
      </c>
      <c r="C86" s="104" t="s">
        <v>184</v>
      </c>
      <c r="D86" s="58" t="s">
        <v>769</v>
      </c>
      <c r="E86" s="107"/>
      <c r="F86" s="19"/>
      <c r="G86" s="109"/>
      <c r="H86" s="24" t="s">
        <v>788</v>
      </c>
      <c r="I86" s="24" t="s">
        <v>789</v>
      </c>
      <c r="J86" s="85" t="s">
        <v>790</v>
      </c>
      <c r="K86" s="110"/>
      <c r="L86" s="24" t="s">
        <v>79</v>
      </c>
      <c r="M86" s="127" t="s">
        <v>791</v>
      </c>
      <c r="N86" s="48" t="s">
        <v>792</v>
      </c>
      <c r="O86" s="109"/>
      <c r="P86" s="32" t="s">
        <v>58</v>
      </c>
      <c r="Q86" s="32"/>
      <c r="R86" s="32"/>
      <c r="S86" s="49"/>
      <c r="T86" s="49"/>
      <c r="U86" s="49"/>
      <c r="V86" s="23" t="s">
        <v>779</v>
      </c>
      <c r="W86" s="23" t="s">
        <v>130</v>
      </c>
      <c r="X86" s="35"/>
      <c r="Y86" s="35"/>
      <c r="Z86" s="35"/>
      <c r="AA86" s="35"/>
      <c r="AB86" s="35"/>
      <c r="AC86" s="35"/>
      <c r="AD86" s="35"/>
      <c r="AE86" s="35"/>
      <c r="AF86" s="35"/>
      <c r="AG86" s="35"/>
      <c r="AH86" s="35"/>
    </row>
    <row r="87">
      <c r="A87" s="118" t="s">
        <v>793</v>
      </c>
      <c r="B87" s="118" t="s">
        <v>794</v>
      </c>
      <c r="C87" s="104" t="s">
        <v>184</v>
      </c>
      <c r="D87" s="58" t="s">
        <v>769</v>
      </c>
      <c r="E87" s="107"/>
      <c r="F87" s="19"/>
      <c r="G87" s="109"/>
      <c r="H87" s="24" t="s">
        <v>795</v>
      </c>
      <c r="I87" s="24" t="s">
        <v>796</v>
      </c>
      <c r="J87" s="85" t="s">
        <v>797</v>
      </c>
      <c r="K87" s="110"/>
      <c r="L87" s="24" t="s">
        <v>79</v>
      </c>
      <c r="M87" s="128" t="s">
        <v>798</v>
      </c>
      <c r="N87" s="48" t="s">
        <v>799</v>
      </c>
      <c r="O87" s="109"/>
      <c r="P87" s="120" t="s">
        <v>58</v>
      </c>
      <c r="Q87" s="120"/>
      <c r="R87" s="120"/>
      <c r="S87" s="49"/>
      <c r="T87" s="49"/>
      <c r="U87" s="49"/>
      <c r="W87" s="23" t="s">
        <v>130</v>
      </c>
      <c r="X87" s="35"/>
      <c r="Y87" s="35"/>
      <c r="Z87" s="35"/>
      <c r="AA87" s="35"/>
      <c r="AB87" s="35"/>
      <c r="AC87" s="35"/>
      <c r="AD87" s="35"/>
      <c r="AE87" s="35"/>
      <c r="AF87" s="35"/>
      <c r="AG87" s="35"/>
      <c r="AH87" s="35"/>
    </row>
    <row r="88">
      <c r="A88" s="104" t="s">
        <v>800</v>
      </c>
      <c r="B88" s="126" t="s">
        <v>801</v>
      </c>
      <c r="C88" s="104" t="s">
        <v>45</v>
      </c>
      <c r="D88" s="84" t="s">
        <v>802</v>
      </c>
      <c r="E88" s="107"/>
      <c r="F88" s="19"/>
      <c r="G88" s="109"/>
      <c r="H88" s="24" t="s">
        <v>803</v>
      </c>
      <c r="I88" s="24" t="s">
        <v>804</v>
      </c>
      <c r="J88" s="129" t="s">
        <v>805</v>
      </c>
      <c r="K88" s="110"/>
      <c r="L88" s="74" t="s">
        <v>217</v>
      </c>
      <c r="M88" s="84" t="s">
        <v>806</v>
      </c>
      <c r="N88" s="48" t="s">
        <v>807</v>
      </c>
      <c r="O88" s="109"/>
      <c r="P88" s="33" t="s">
        <v>58</v>
      </c>
      <c r="Q88" s="33"/>
      <c r="R88" s="33"/>
      <c r="S88" s="49"/>
      <c r="T88" s="49"/>
      <c r="U88" s="49"/>
      <c r="V88" s="35"/>
      <c r="W88" s="23" t="s">
        <v>220</v>
      </c>
      <c r="X88" s="35"/>
      <c r="Y88" s="35"/>
      <c r="Z88" s="35"/>
      <c r="AA88" s="35"/>
      <c r="AB88" s="35"/>
      <c r="AC88" s="35"/>
      <c r="AD88" s="35"/>
      <c r="AE88" s="35"/>
      <c r="AF88" s="35"/>
      <c r="AG88" s="35"/>
      <c r="AH88" s="35"/>
    </row>
    <row r="89">
      <c r="A89" s="130" t="s">
        <v>808</v>
      </c>
      <c r="B89" s="104" t="s">
        <v>809</v>
      </c>
      <c r="C89" s="104" t="s">
        <v>45</v>
      </c>
      <c r="D89" s="131" t="s">
        <v>810</v>
      </c>
      <c r="E89" s="87" t="s">
        <v>443</v>
      </c>
      <c r="F89" s="19"/>
      <c r="G89" s="104" t="s">
        <v>62</v>
      </c>
      <c r="H89" s="24"/>
      <c r="I89" s="24"/>
      <c r="J89" s="85" t="s">
        <v>811</v>
      </c>
      <c r="K89" s="110"/>
      <c r="L89" s="29" t="s">
        <v>52</v>
      </c>
      <c r="M89" s="126" t="s">
        <v>812</v>
      </c>
      <c r="N89" s="48" t="s">
        <v>813</v>
      </c>
      <c r="O89" s="104" t="s">
        <v>56</v>
      </c>
      <c r="P89" s="132" t="s">
        <v>58</v>
      </c>
      <c r="Q89" s="132"/>
      <c r="R89" s="132"/>
      <c r="S89" s="49"/>
      <c r="T89" s="49"/>
      <c r="U89" s="49"/>
      <c r="V89" s="35"/>
      <c r="W89" s="23" t="s">
        <v>63</v>
      </c>
      <c r="X89" s="35"/>
      <c r="Y89" s="35"/>
      <c r="Z89" s="35"/>
      <c r="AA89" s="35"/>
      <c r="AB89" s="35"/>
      <c r="AC89" s="35"/>
      <c r="AD89" s="35"/>
      <c r="AE89" s="35"/>
      <c r="AF89" s="35"/>
      <c r="AG89" s="35"/>
      <c r="AH89" s="35"/>
    </row>
    <row r="90">
      <c r="A90" s="19" t="s">
        <v>814</v>
      </c>
      <c r="B90" s="133" t="s">
        <v>815</v>
      </c>
      <c r="C90" s="24" t="s">
        <v>45</v>
      </c>
      <c r="D90" s="20" t="s">
        <v>816</v>
      </c>
      <c r="E90" s="41" t="s">
        <v>817</v>
      </c>
      <c r="F90" s="24"/>
      <c r="G90" s="24"/>
      <c r="H90" s="24" t="s">
        <v>231</v>
      </c>
      <c r="I90" s="24" t="s">
        <v>472</v>
      </c>
      <c r="J90" s="43"/>
      <c r="K90" s="28" t="s">
        <v>818</v>
      </c>
      <c r="L90" s="24" t="s">
        <v>637</v>
      </c>
      <c r="M90" s="24"/>
      <c r="N90" s="48"/>
      <c r="O90" s="24"/>
      <c r="P90" s="32" t="s">
        <v>58</v>
      </c>
      <c r="Q90" s="32"/>
      <c r="R90" s="32"/>
      <c r="S90" s="63"/>
      <c r="T90" s="63"/>
      <c r="U90" s="63"/>
      <c r="V90" s="64"/>
      <c r="W90" s="101" t="s">
        <v>340</v>
      </c>
      <c r="X90" s="64"/>
      <c r="Y90" s="64"/>
      <c r="Z90" s="64"/>
      <c r="AA90" s="64"/>
      <c r="AB90" s="64"/>
      <c r="AC90" s="64"/>
      <c r="AD90" s="64"/>
      <c r="AE90" s="64"/>
      <c r="AF90" s="64"/>
      <c r="AG90" s="64"/>
      <c r="AH90" s="64"/>
    </row>
    <row r="91">
      <c r="A91" s="104" t="s">
        <v>819</v>
      </c>
      <c r="B91" s="104" t="s">
        <v>820</v>
      </c>
      <c r="C91" s="104" t="s">
        <v>45</v>
      </c>
      <c r="D91" s="65" t="s">
        <v>202</v>
      </c>
      <c r="E91" s="87" t="s">
        <v>821</v>
      </c>
      <c r="F91" s="24"/>
      <c r="G91" s="104" t="s">
        <v>822</v>
      </c>
      <c r="H91" s="24"/>
      <c r="I91" s="24"/>
      <c r="J91" s="134" t="s">
        <v>823</v>
      </c>
      <c r="K91" s="110"/>
      <c r="L91" s="29" t="s">
        <v>52</v>
      </c>
      <c r="M91" s="84" t="s">
        <v>824</v>
      </c>
      <c r="N91" s="84" t="s">
        <v>825</v>
      </c>
      <c r="O91" s="104" t="s">
        <v>31</v>
      </c>
      <c r="P91" s="33" t="s">
        <v>58</v>
      </c>
      <c r="Q91" s="33"/>
      <c r="R91" s="33"/>
      <c r="S91" s="33"/>
      <c r="T91" s="33"/>
      <c r="U91" s="33" t="s">
        <v>588</v>
      </c>
      <c r="V91" s="35"/>
      <c r="W91" s="23" t="s">
        <v>63</v>
      </c>
      <c r="X91" s="35"/>
      <c r="Y91" s="35"/>
      <c r="Z91" s="35"/>
      <c r="AA91" s="35"/>
      <c r="AB91" s="35"/>
      <c r="AC91" s="35"/>
      <c r="AD91" s="35"/>
      <c r="AE91" s="35"/>
      <c r="AF91" s="35"/>
      <c r="AG91" s="35"/>
      <c r="AH91" s="35"/>
    </row>
    <row r="92">
      <c r="A92" s="135" t="s">
        <v>76</v>
      </c>
      <c r="B92" s="104" t="s">
        <v>826</v>
      </c>
      <c r="C92" s="104" t="s">
        <v>184</v>
      </c>
      <c r="D92" s="84" t="s">
        <v>827</v>
      </c>
      <c r="E92" s="22" t="s">
        <v>828</v>
      </c>
      <c r="F92" s="24"/>
      <c r="G92" s="109"/>
      <c r="H92" s="24" t="s">
        <v>829</v>
      </c>
      <c r="I92" s="24" t="s">
        <v>830</v>
      </c>
      <c r="J92" s="136" t="s">
        <v>831</v>
      </c>
      <c r="K92" s="110"/>
      <c r="L92" s="29" t="s">
        <v>52</v>
      </c>
      <c r="M92" s="137" t="s">
        <v>832</v>
      </c>
      <c r="N92" s="84" t="s">
        <v>833</v>
      </c>
      <c r="O92" s="104" t="s">
        <v>31</v>
      </c>
      <c r="P92" s="138"/>
      <c r="Q92" s="138" t="s">
        <v>58</v>
      </c>
      <c r="R92" s="138"/>
      <c r="S92" s="33"/>
      <c r="T92" s="33"/>
      <c r="U92" s="33" t="s">
        <v>232</v>
      </c>
      <c r="V92" s="35"/>
      <c r="W92" s="23" t="s">
        <v>63</v>
      </c>
      <c r="X92" s="35"/>
      <c r="Y92" s="35"/>
      <c r="Z92" s="35"/>
      <c r="AA92" s="35"/>
      <c r="AB92" s="35"/>
      <c r="AC92" s="35"/>
      <c r="AD92" s="35"/>
      <c r="AE92" s="35"/>
      <c r="AF92" s="35"/>
      <c r="AG92" s="35"/>
      <c r="AH92" s="35"/>
    </row>
    <row r="93">
      <c r="A93" s="137" t="s">
        <v>834</v>
      </c>
      <c r="B93" s="137" t="s">
        <v>835</v>
      </c>
      <c r="C93" s="104" t="s">
        <v>184</v>
      </c>
      <c r="D93" s="139" t="s">
        <v>413</v>
      </c>
      <c r="E93" s="22" t="s">
        <v>836</v>
      </c>
      <c r="F93" s="19" t="s">
        <v>231</v>
      </c>
      <c r="G93" s="109"/>
      <c r="H93" s="19" t="s">
        <v>301</v>
      </c>
      <c r="I93" s="19" t="s">
        <v>837</v>
      </c>
      <c r="J93" s="140" t="s">
        <v>838</v>
      </c>
      <c r="K93" s="141"/>
      <c r="L93" s="29" t="s">
        <v>52</v>
      </c>
      <c r="M93" s="137" t="s">
        <v>839</v>
      </c>
      <c r="N93" s="142"/>
      <c r="O93" s="137" t="s">
        <v>31</v>
      </c>
      <c r="P93" s="143"/>
      <c r="Q93" s="143" t="s">
        <v>58</v>
      </c>
      <c r="R93" s="143"/>
      <c r="S93" s="144"/>
      <c r="T93" s="144"/>
      <c r="U93" s="144"/>
      <c r="W93" s="6" t="s">
        <v>63</v>
      </c>
    </row>
    <row r="94">
      <c r="A94" s="104" t="s">
        <v>840</v>
      </c>
      <c r="B94" s="104" t="s">
        <v>841</v>
      </c>
      <c r="C94" s="104" t="s">
        <v>42</v>
      </c>
      <c r="D94" s="84" t="s">
        <v>842</v>
      </c>
      <c r="E94" s="22" t="s">
        <v>754</v>
      </c>
      <c r="F94" s="19" t="s">
        <v>231</v>
      </c>
      <c r="G94" s="109"/>
      <c r="H94" s="24" t="s">
        <v>843</v>
      </c>
      <c r="I94" s="24" t="s">
        <v>844</v>
      </c>
      <c r="J94" s="145" t="s">
        <v>845</v>
      </c>
      <c r="K94" s="110"/>
      <c r="L94" s="29" t="s">
        <v>52</v>
      </c>
      <c r="M94" s="84" t="s">
        <v>846</v>
      </c>
      <c r="N94" s="84" t="s">
        <v>847</v>
      </c>
      <c r="O94" s="137" t="s">
        <v>56</v>
      </c>
      <c r="P94" s="33"/>
      <c r="Q94" s="33"/>
      <c r="R94" s="33" t="s">
        <v>58</v>
      </c>
      <c r="S94" s="49"/>
      <c r="T94" s="49"/>
      <c r="U94" s="49"/>
      <c r="V94" s="35"/>
      <c r="W94" s="23" t="s">
        <v>63</v>
      </c>
      <c r="X94" s="35"/>
      <c r="Y94" s="35"/>
      <c r="Z94" s="35"/>
      <c r="AA94" s="35"/>
      <c r="AB94" s="35"/>
      <c r="AC94" s="35"/>
      <c r="AD94" s="35"/>
      <c r="AE94" s="35"/>
      <c r="AF94" s="35"/>
      <c r="AG94" s="35"/>
      <c r="AH94" s="35"/>
    </row>
    <row r="95">
      <c r="A95" s="146" t="s">
        <v>848</v>
      </c>
      <c r="B95" s="104" t="s">
        <v>849</v>
      </c>
      <c r="C95" s="104" t="s">
        <v>184</v>
      </c>
      <c r="D95" s="139" t="s">
        <v>413</v>
      </c>
      <c r="E95" s="22" t="s">
        <v>836</v>
      </c>
      <c r="F95" s="19" t="s">
        <v>231</v>
      </c>
      <c r="G95" s="109"/>
      <c r="H95" s="24" t="s">
        <v>850</v>
      </c>
      <c r="I95" s="24" t="s">
        <v>347</v>
      </c>
      <c r="J95" s="85" t="s">
        <v>851</v>
      </c>
      <c r="K95" s="110"/>
      <c r="L95" s="29" t="s">
        <v>52</v>
      </c>
      <c r="M95" s="84" t="s">
        <v>852</v>
      </c>
      <c r="N95" s="147"/>
      <c r="O95" s="137" t="s">
        <v>31</v>
      </c>
      <c r="P95" s="148"/>
      <c r="Q95" s="148" t="s">
        <v>58</v>
      </c>
      <c r="R95" s="148"/>
      <c r="S95" s="49"/>
      <c r="T95" s="49"/>
      <c r="U95" s="49"/>
      <c r="V95" s="35"/>
      <c r="W95" s="23" t="s">
        <v>63</v>
      </c>
      <c r="X95" s="35"/>
      <c r="Y95" s="35"/>
      <c r="Z95" s="35"/>
      <c r="AA95" s="35"/>
      <c r="AB95" s="35"/>
      <c r="AC95" s="35"/>
      <c r="AD95" s="35"/>
      <c r="AE95" s="35"/>
      <c r="AF95" s="35"/>
      <c r="AG95" s="35"/>
      <c r="AH95" s="35"/>
    </row>
    <row r="96">
      <c r="A96" s="24" t="s">
        <v>853</v>
      </c>
      <c r="B96" s="149" t="s">
        <v>854</v>
      </c>
      <c r="C96" s="24" t="s">
        <v>184</v>
      </c>
      <c r="D96" s="48" t="s">
        <v>321</v>
      </c>
      <c r="E96" s="22" t="s">
        <v>855</v>
      </c>
      <c r="F96" s="24"/>
      <c r="G96" s="150" t="s">
        <v>856</v>
      </c>
      <c r="H96" s="24"/>
      <c r="I96" s="24"/>
      <c r="J96" s="151" t="s">
        <v>857</v>
      </c>
      <c r="K96" s="24"/>
      <c r="L96" s="24" t="s">
        <v>52</v>
      </c>
      <c r="M96" s="152" t="s">
        <v>858</v>
      </c>
      <c r="N96" s="48" t="s">
        <v>859</v>
      </c>
      <c r="O96" s="19" t="s">
        <v>31</v>
      </c>
      <c r="P96" s="63"/>
      <c r="Q96" s="63"/>
      <c r="R96" s="32" t="s">
        <v>58</v>
      </c>
      <c r="S96" s="63"/>
      <c r="T96" s="63"/>
      <c r="U96" s="63"/>
      <c r="V96" s="64"/>
      <c r="W96" s="101" t="s">
        <v>63</v>
      </c>
      <c r="X96" s="64"/>
      <c r="Y96" s="64"/>
      <c r="Z96" s="64"/>
      <c r="AA96" s="64"/>
      <c r="AB96" s="64"/>
      <c r="AC96" s="64"/>
      <c r="AD96" s="64"/>
      <c r="AE96" s="64"/>
      <c r="AF96" s="64"/>
      <c r="AG96" s="64"/>
      <c r="AH96" s="64"/>
    </row>
    <row r="97">
      <c r="A97" s="24" t="s">
        <v>860</v>
      </c>
      <c r="B97" s="24" t="s">
        <v>861</v>
      </c>
      <c r="C97" s="24" t="s">
        <v>184</v>
      </c>
      <c r="D97" s="48" t="s">
        <v>862</v>
      </c>
      <c r="E97" s="22" t="s">
        <v>863</v>
      </c>
      <c r="F97" s="24"/>
      <c r="G97" s="153" t="s">
        <v>864</v>
      </c>
      <c r="H97" s="24"/>
      <c r="I97" s="24"/>
      <c r="J97" s="151" t="s">
        <v>865</v>
      </c>
      <c r="K97" s="24"/>
      <c r="L97" s="24" t="s">
        <v>52</v>
      </c>
      <c r="M97" s="154" t="s">
        <v>866</v>
      </c>
      <c r="N97" s="48" t="s">
        <v>867</v>
      </c>
      <c r="O97" s="19" t="s">
        <v>31</v>
      </c>
      <c r="P97" s="32"/>
      <c r="Q97" s="32"/>
      <c r="R97" s="32" t="s">
        <v>58</v>
      </c>
      <c r="S97" s="63"/>
      <c r="T97" s="63"/>
      <c r="U97" s="63"/>
      <c r="V97" s="64"/>
      <c r="W97" s="101" t="s">
        <v>63</v>
      </c>
      <c r="X97" s="64"/>
      <c r="Y97" s="64"/>
      <c r="Z97" s="64"/>
      <c r="AA97" s="64"/>
      <c r="AB97" s="64"/>
      <c r="AC97" s="64"/>
      <c r="AD97" s="64"/>
      <c r="AE97" s="64"/>
      <c r="AF97" s="64"/>
      <c r="AG97" s="64"/>
      <c r="AH97" s="64"/>
    </row>
    <row r="98">
      <c r="A98" s="104" t="s">
        <v>868</v>
      </c>
      <c r="B98" s="104" t="s">
        <v>869</v>
      </c>
      <c r="C98" s="24" t="s">
        <v>184</v>
      </c>
      <c r="D98" s="84" t="s">
        <v>278</v>
      </c>
      <c r="E98" s="22"/>
      <c r="F98" s="24"/>
      <c r="G98" s="109"/>
      <c r="H98" s="24" t="s">
        <v>870</v>
      </c>
      <c r="I98" s="24" t="s">
        <v>871</v>
      </c>
      <c r="J98" s="85" t="s">
        <v>872</v>
      </c>
      <c r="K98" s="155" t="s">
        <v>873</v>
      </c>
      <c r="L98" s="74" t="s">
        <v>217</v>
      </c>
      <c r="M98" s="84" t="s">
        <v>874</v>
      </c>
      <c r="N98" s="84" t="s">
        <v>875</v>
      </c>
      <c r="O98" s="109"/>
      <c r="P98" s="33" t="s">
        <v>58</v>
      </c>
      <c r="Q98" s="33"/>
      <c r="R98" s="33"/>
      <c r="S98" s="49"/>
      <c r="T98" s="49"/>
      <c r="U98" s="49"/>
      <c r="V98" s="35"/>
      <c r="W98" s="79" t="s">
        <v>220</v>
      </c>
      <c r="X98" s="35"/>
      <c r="Y98" s="35"/>
      <c r="Z98" s="35"/>
      <c r="AA98" s="35"/>
      <c r="AB98" s="35"/>
      <c r="AC98" s="35"/>
      <c r="AD98" s="35"/>
      <c r="AE98" s="35"/>
      <c r="AF98" s="35"/>
      <c r="AG98" s="35"/>
      <c r="AH98" s="35"/>
    </row>
    <row r="99">
      <c r="A99" s="104" t="s">
        <v>876</v>
      </c>
      <c r="B99" s="104" t="s">
        <v>877</v>
      </c>
      <c r="C99" s="24" t="s">
        <v>184</v>
      </c>
      <c r="D99" s="84" t="s">
        <v>278</v>
      </c>
      <c r="E99" s="107"/>
      <c r="F99" s="24"/>
      <c r="G99" s="109"/>
      <c r="H99" s="24" t="s">
        <v>878</v>
      </c>
      <c r="I99" s="24" t="s">
        <v>879</v>
      </c>
      <c r="J99" s="85" t="s">
        <v>880</v>
      </c>
      <c r="K99" s="155" t="s">
        <v>881</v>
      </c>
      <c r="L99" s="74" t="s">
        <v>217</v>
      </c>
      <c r="M99" s="84" t="s">
        <v>882</v>
      </c>
      <c r="N99" s="84" t="s">
        <v>883</v>
      </c>
      <c r="O99" s="109"/>
      <c r="P99" s="33" t="s">
        <v>58</v>
      </c>
      <c r="Q99" s="33"/>
      <c r="R99" s="33"/>
      <c r="S99" s="49"/>
      <c r="T99" s="49"/>
      <c r="U99" s="49"/>
      <c r="V99" s="35"/>
      <c r="W99" s="79" t="s">
        <v>220</v>
      </c>
      <c r="X99" s="35"/>
      <c r="Y99" s="35"/>
      <c r="Z99" s="35"/>
      <c r="AA99" s="35"/>
      <c r="AB99" s="35"/>
      <c r="AC99" s="35"/>
      <c r="AD99" s="35"/>
      <c r="AE99" s="35"/>
      <c r="AF99" s="35"/>
      <c r="AG99" s="35"/>
      <c r="AH99" s="35"/>
    </row>
    <row r="100">
      <c r="A100" s="104" t="s">
        <v>884</v>
      </c>
      <c r="B100" s="104" t="s">
        <v>885</v>
      </c>
      <c r="C100" s="24" t="s">
        <v>184</v>
      </c>
      <c r="D100" s="84" t="s">
        <v>278</v>
      </c>
      <c r="E100" s="107"/>
      <c r="F100" s="24"/>
      <c r="G100" s="109"/>
      <c r="H100" s="24" t="s">
        <v>886</v>
      </c>
      <c r="I100" s="24" t="s">
        <v>887</v>
      </c>
      <c r="J100" s="85" t="s">
        <v>888</v>
      </c>
      <c r="K100" s="155" t="s">
        <v>889</v>
      </c>
      <c r="L100" s="74" t="s">
        <v>217</v>
      </c>
      <c r="M100" s="84" t="s">
        <v>890</v>
      </c>
      <c r="N100" s="84" t="s">
        <v>891</v>
      </c>
      <c r="O100" s="109"/>
      <c r="P100" s="33" t="s">
        <v>58</v>
      </c>
      <c r="Q100" s="33"/>
      <c r="R100" s="33"/>
      <c r="S100" s="49"/>
      <c r="T100" s="49"/>
      <c r="U100" s="49"/>
      <c r="V100" s="35"/>
      <c r="W100" s="79" t="s">
        <v>220</v>
      </c>
      <c r="X100" s="35"/>
      <c r="Y100" s="35"/>
      <c r="Z100" s="35"/>
      <c r="AA100" s="35"/>
      <c r="AB100" s="35"/>
      <c r="AC100" s="35"/>
      <c r="AD100" s="35"/>
      <c r="AE100" s="35"/>
      <c r="AF100" s="35"/>
      <c r="AG100" s="35"/>
      <c r="AH100" s="35"/>
    </row>
    <row r="101">
      <c r="A101" s="104" t="s">
        <v>892</v>
      </c>
      <c r="B101" s="104" t="s">
        <v>893</v>
      </c>
      <c r="C101" s="24" t="s">
        <v>184</v>
      </c>
      <c r="D101" s="84" t="s">
        <v>278</v>
      </c>
      <c r="F101" s="24"/>
      <c r="G101" s="109"/>
      <c r="H101" s="24" t="s">
        <v>894</v>
      </c>
      <c r="I101" s="24" t="s">
        <v>895</v>
      </c>
      <c r="J101" s="85" t="s">
        <v>896</v>
      </c>
      <c r="K101" s="155" t="s">
        <v>897</v>
      </c>
      <c r="L101" s="74" t="s">
        <v>217</v>
      </c>
      <c r="M101" s="84" t="s">
        <v>898</v>
      </c>
      <c r="N101" s="84" t="s">
        <v>899</v>
      </c>
      <c r="O101" s="109"/>
      <c r="P101" s="33" t="s">
        <v>58</v>
      </c>
      <c r="Q101" s="33"/>
      <c r="R101" s="33"/>
      <c r="S101" s="49"/>
      <c r="T101" s="49"/>
      <c r="U101" s="49"/>
      <c r="V101" s="35"/>
      <c r="W101" s="79" t="s">
        <v>220</v>
      </c>
      <c r="X101" s="35"/>
      <c r="Y101" s="35"/>
      <c r="Z101" s="35"/>
      <c r="AA101" s="35"/>
      <c r="AB101" s="35"/>
      <c r="AC101" s="35"/>
      <c r="AD101" s="35"/>
      <c r="AE101" s="35"/>
      <c r="AF101" s="35"/>
      <c r="AG101" s="35"/>
      <c r="AH101" s="35"/>
    </row>
    <row r="102">
      <c r="A102" s="104" t="s">
        <v>900</v>
      </c>
      <c r="B102" s="104" t="s">
        <v>901</v>
      </c>
      <c r="C102" s="24" t="s">
        <v>184</v>
      </c>
      <c r="D102" s="84" t="s">
        <v>278</v>
      </c>
      <c r="G102" s="109"/>
      <c r="H102" s="24" t="s">
        <v>902</v>
      </c>
      <c r="I102" s="24" t="s">
        <v>261</v>
      </c>
      <c r="J102" s="85" t="s">
        <v>903</v>
      </c>
      <c r="K102" s="155" t="s">
        <v>904</v>
      </c>
      <c r="L102" s="74" t="s">
        <v>217</v>
      </c>
      <c r="M102" s="84" t="s">
        <v>905</v>
      </c>
      <c r="N102" s="84" t="s">
        <v>906</v>
      </c>
      <c r="O102" s="109"/>
      <c r="P102" s="33" t="s">
        <v>58</v>
      </c>
      <c r="Q102" s="33"/>
      <c r="R102" s="33"/>
      <c r="S102" s="49"/>
      <c r="T102" s="49"/>
      <c r="U102" s="49"/>
      <c r="V102" s="35"/>
      <c r="W102" s="79" t="s">
        <v>220</v>
      </c>
      <c r="X102" s="35"/>
      <c r="Y102" s="35"/>
      <c r="Z102" s="35"/>
      <c r="AA102" s="35"/>
      <c r="AB102" s="35"/>
      <c r="AC102" s="35"/>
      <c r="AD102" s="35"/>
      <c r="AE102" s="35"/>
      <c r="AF102" s="35"/>
      <c r="AG102" s="35"/>
      <c r="AH102" s="35"/>
    </row>
    <row r="103">
      <c r="A103" s="104" t="s">
        <v>907</v>
      </c>
      <c r="B103" s="104" t="s">
        <v>908</v>
      </c>
      <c r="C103" s="24" t="s">
        <v>184</v>
      </c>
      <c r="D103" s="84" t="s">
        <v>278</v>
      </c>
      <c r="G103" s="109"/>
      <c r="H103" s="24" t="s">
        <v>231</v>
      </c>
      <c r="I103" s="24" t="s">
        <v>415</v>
      </c>
      <c r="J103" s="85" t="s">
        <v>909</v>
      </c>
      <c r="K103" s="155" t="s">
        <v>910</v>
      </c>
      <c r="L103" s="74" t="s">
        <v>217</v>
      </c>
      <c r="M103" s="84" t="s">
        <v>911</v>
      </c>
      <c r="N103" s="84" t="s">
        <v>912</v>
      </c>
      <c r="O103" s="109"/>
      <c r="P103" s="33" t="s">
        <v>58</v>
      </c>
      <c r="Q103" s="33"/>
      <c r="R103" s="33"/>
      <c r="S103" s="49"/>
      <c r="T103" s="49"/>
      <c r="U103" s="49"/>
      <c r="V103" s="35"/>
      <c r="W103" s="79" t="s">
        <v>220</v>
      </c>
      <c r="X103" s="35"/>
      <c r="Y103" s="35"/>
      <c r="Z103" s="35"/>
      <c r="AA103" s="35"/>
      <c r="AB103" s="35"/>
      <c r="AC103" s="35"/>
      <c r="AD103" s="35"/>
      <c r="AE103" s="35"/>
      <c r="AF103" s="35"/>
      <c r="AG103" s="35"/>
      <c r="AH103" s="35"/>
    </row>
    <row r="104">
      <c r="A104" s="104" t="s">
        <v>913</v>
      </c>
      <c r="B104" s="104" t="s">
        <v>914</v>
      </c>
      <c r="C104" s="24" t="s">
        <v>184</v>
      </c>
      <c r="D104" s="84" t="s">
        <v>278</v>
      </c>
      <c r="E104" s="107"/>
      <c r="F104" s="24"/>
      <c r="G104" s="109"/>
      <c r="H104" s="24" t="s">
        <v>266</v>
      </c>
      <c r="I104" s="24" t="s">
        <v>915</v>
      </c>
      <c r="J104" s="85" t="s">
        <v>916</v>
      </c>
      <c r="K104" s="155" t="s">
        <v>917</v>
      </c>
      <c r="L104" s="74" t="s">
        <v>217</v>
      </c>
      <c r="M104" s="84" t="s">
        <v>918</v>
      </c>
      <c r="N104" s="84" t="s">
        <v>919</v>
      </c>
      <c r="O104" s="109"/>
      <c r="P104" s="33" t="s">
        <v>58</v>
      </c>
      <c r="Q104" s="33"/>
      <c r="R104" s="33"/>
      <c r="S104" s="49"/>
      <c r="T104" s="49"/>
      <c r="U104" s="49"/>
      <c r="V104" s="35"/>
      <c r="W104" s="79" t="s">
        <v>220</v>
      </c>
      <c r="X104" s="35"/>
      <c r="Y104" s="35"/>
      <c r="Z104" s="35"/>
      <c r="AA104" s="35"/>
      <c r="AB104" s="35"/>
      <c r="AC104" s="35"/>
      <c r="AD104" s="35"/>
      <c r="AE104" s="35"/>
      <c r="AF104" s="35"/>
      <c r="AG104" s="35"/>
      <c r="AH104" s="35"/>
    </row>
    <row r="105">
      <c r="A105" s="104" t="s">
        <v>158</v>
      </c>
      <c r="B105" s="104" t="s">
        <v>920</v>
      </c>
      <c r="C105" s="24" t="s">
        <v>184</v>
      </c>
      <c r="D105" s="84" t="s">
        <v>278</v>
      </c>
      <c r="E105" s="107"/>
      <c r="F105" s="24"/>
      <c r="G105" s="109"/>
      <c r="H105" s="24" t="s">
        <v>921</v>
      </c>
      <c r="I105" s="24" t="s">
        <v>922</v>
      </c>
      <c r="J105" s="85" t="s">
        <v>923</v>
      </c>
      <c r="K105" s="155" t="s">
        <v>924</v>
      </c>
      <c r="L105" s="74" t="s">
        <v>217</v>
      </c>
      <c r="M105" s="84" t="s">
        <v>925</v>
      </c>
      <c r="N105" s="84" t="s">
        <v>926</v>
      </c>
      <c r="O105" s="109"/>
      <c r="P105" s="33" t="s">
        <v>58</v>
      </c>
      <c r="Q105" s="33"/>
      <c r="R105" s="33"/>
      <c r="S105" s="49"/>
      <c r="T105" s="49"/>
      <c r="U105" s="49"/>
      <c r="V105" s="35"/>
      <c r="W105" s="79" t="s">
        <v>220</v>
      </c>
      <c r="X105" s="35"/>
      <c r="Y105" s="35"/>
      <c r="Z105" s="35"/>
      <c r="AA105" s="35"/>
      <c r="AB105" s="35"/>
      <c r="AC105" s="35"/>
      <c r="AD105" s="35"/>
      <c r="AE105" s="35"/>
      <c r="AF105" s="35"/>
      <c r="AG105" s="35"/>
      <c r="AH105" s="35"/>
    </row>
    <row r="106">
      <c r="A106" s="104" t="s">
        <v>158</v>
      </c>
      <c r="B106" s="104" t="s">
        <v>927</v>
      </c>
      <c r="C106" s="24" t="s">
        <v>184</v>
      </c>
      <c r="D106" s="84" t="s">
        <v>278</v>
      </c>
      <c r="E106" s="107"/>
      <c r="F106" s="24"/>
      <c r="G106" s="109"/>
      <c r="H106" s="24" t="s">
        <v>928</v>
      </c>
      <c r="I106" s="24" t="s">
        <v>929</v>
      </c>
      <c r="J106" s="85" t="s">
        <v>930</v>
      </c>
      <c r="K106" s="155" t="s">
        <v>931</v>
      </c>
      <c r="L106" s="74" t="s">
        <v>217</v>
      </c>
      <c r="M106" s="84" t="s">
        <v>932</v>
      </c>
      <c r="N106" s="84" t="s">
        <v>933</v>
      </c>
      <c r="O106" s="109"/>
      <c r="P106" s="33" t="s">
        <v>58</v>
      </c>
      <c r="Q106" s="33"/>
      <c r="R106" s="33"/>
      <c r="S106" s="49"/>
      <c r="T106" s="49"/>
      <c r="U106" s="49"/>
      <c r="V106" s="35"/>
      <c r="W106" s="79" t="s">
        <v>220</v>
      </c>
      <c r="X106" s="35"/>
      <c r="Y106" s="35"/>
      <c r="Z106" s="35"/>
      <c r="AA106" s="35"/>
      <c r="AB106" s="35"/>
      <c r="AC106" s="35"/>
      <c r="AD106" s="35"/>
      <c r="AE106" s="35"/>
      <c r="AF106" s="35"/>
      <c r="AG106" s="35"/>
      <c r="AH106" s="35"/>
    </row>
    <row r="107">
      <c r="A107" s="104" t="s">
        <v>934</v>
      </c>
      <c r="B107" s="104" t="s">
        <v>935</v>
      </c>
      <c r="C107" s="24" t="s">
        <v>184</v>
      </c>
      <c r="D107" s="84" t="s">
        <v>278</v>
      </c>
      <c r="G107" s="109"/>
      <c r="H107" s="24" t="s">
        <v>828</v>
      </c>
      <c r="I107" s="24" t="s">
        <v>843</v>
      </c>
      <c r="J107" s="85" t="s">
        <v>936</v>
      </c>
      <c r="K107" s="155" t="s">
        <v>937</v>
      </c>
      <c r="L107" s="74" t="s">
        <v>217</v>
      </c>
      <c r="M107" s="84" t="s">
        <v>938</v>
      </c>
      <c r="N107" s="84" t="s">
        <v>939</v>
      </c>
      <c r="O107" s="109"/>
      <c r="P107" s="33" t="s">
        <v>58</v>
      </c>
      <c r="Q107" s="33"/>
      <c r="R107" s="33"/>
      <c r="S107" s="49"/>
      <c r="T107" s="49"/>
      <c r="U107" s="49"/>
      <c r="V107" s="35"/>
      <c r="W107" s="79" t="s">
        <v>220</v>
      </c>
      <c r="X107" s="35"/>
      <c r="Y107" s="35"/>
      <c r="Z107" s="35"/>
      <c r="AA107" s="35"/>
      <c r="AB107" s="35"/>
      <c r="AC107" s="35"/>
      <c r="AD107" s="35"/>
      <c r="AE107" s="35"/>
      <c r="AF107" s="35"/>
      <c r="AG107" s="35"/>
      <c r="AH107" s="35"/>
    </row>
    <row r="108">
      <c r="A108" s="104" t="s">
        <v>940</v>
      </c>
      <c r="B108" s="104" t="s">
        <v>941</v>
      </c>
      <c r="C108" s="24" t="s">
        <v>184</v>
      </c>
      <c r="D108" s="84" t="s">
        <v>278</v>
      </c>
      <c r="E108" s="107"/>
      <c r="F108" s="24"/>
      <c r="G108" s="109"/>
      <c r="H108" s="24" t="s">
        <v>942</v>
      </c>
      <c r="I108" s="24" t="s">
        <v>943</v>
      </c>
      <c r="J108" s="85" t="s">
        <v>944</v>
      </c>
      <c r="K108" s="155" t="s">
        <v>945</v>
      </c>
      <c r="L108" s="74" t="s">
        <v>217</v>
      </c>
      <c r="M108" s="84" t="s">
        <v>946</v>
      </c>
      <c r="N108" s="84" t="s">
        <v>947</v>
      </c>
      <c r="O108" s="109"/>
      <c r="P108" s="33" t="s">
        <v>58</v>
      </c>
      <c r="Q108" s="33"/>
      <c r="R108" s="33"/>
      <c r="S108" s="49"/>
      <c r="T108" s="49"/>
      <c r="U108" s="49"/>
      <c r="V108" s="35"/>
      <c r="W108" s="79" t="s">
        <v>220</v>
      </c>
      <c r="X108" s="35"/>
      <c r="Y108" s="35"/>
      <c r="Z108" s="35"/>
      <c r="AA108" s="35"/>
      <c r="AB108" s="35"/>
      <c r="AC108" s="35"/>
      <c r="AD108" s="35"/>
      <c r="AE108" s="35"/>
      <c r="AF108" s="35"/>
      <c r="AG108" s="35"/>
      <c r="AH108" s="35"/>
    </row>
    <row r="109">
      <c r="A109" s="104" t="s">
        <v>948</v>
      </c>
      <c r="B109" s="104" t="s">
        <v>949</v>
      </c>
      <c r="C109" s="24" t="s">
        <v>184</v>
      </c>
      <c r="D109" s="84" t="s">
        <v>278</v>
      </c>
      <c r="E109" s="107"/>
      <c r="F109" s="24"/>
      <c r="G109" s="109"/>
      <c r="H109" s="24" t="s">
        <v>950</v>
      </c>
      <c r="I109" s="24" t="s">
        <v>951</v>
      </c>
      <c r="J109" s="85" t="s">
        <v>952</v>
      </c>
      <c r="K109" s="155" t="s">
        <v>953</v>
      </c>
      <c r="L109" s="74" t="s">
        <v>217</v>
      </c>
      <c r="M109" s="84" t="s">
        <v>954</v>
      </c>
      <c r="N109" s="84" t="s">
        <v>955</v>
      </c>
      <c r="O109" s="109"/>
      <c r="P109" s="33" t="s">
        <v>58</v>
      </c>
      <c r="Q109" s="33"/>
      <c r="R109" s="33"/>
      <c r="S109" s="49"/>
      <c r="T109" s="49"/>
      <c r="U109" s="49"/>
      <c r="V109" s="35"/>
      <c r="W109" s="79" t="s">
        <v>220</v>
      </c>
      <c r="X109" s="35"/>
      <c r="Y109" s="35"/>
      <c r="Z109" s="35"/>
      <c r="AA109" s="35"/>
      <c r="AB109" s="35"/>
      <c r="AC109" s="35"/>
      <c r="AD109" s="35"/>
      <c r="AE109" s="35"/>
      <c r="AF109" s="35"/>
      <c r="AG109" s="35"/>
      <c r="AH109" s="35"/>
    </row>
    <row r="110">
      <c r="A110" s="104" t="s">
        <v>956</v>
      </c>
      <c r="B110" s="104" t="s">
        <v>957</v>
      </c>
      <c r="C110" s="24" t="s">
        <v>184</v>
      </c>
      <c r="D110" s="84" t="s">
        <v>278</v>
      </c>
      <c r="E110" s="107"/>
      <c r="F110" s="24"/>
      <c r="G110" s="109"/>
      <c r="H110" s="24" t="s">
        <v>958</v>
      </c>
      <c r="I110" s="24" t="s">
        <v>959</v>
      </c>
      <c r="J110" s="85" t="s">
        <v>960</v>
      </c>
      <c r="K110" s="155" t="s">
        <v>961</v>
      </c>
      <c r="L110" s="74" t="s">
        <v>217</v>
      </c>
      <c r="M110" s="84" t="s">
        <v>962</v>
      </c>
      <c r="N110" s="84" t="s">
        <v>963</v>
      </c>
      <c r="O110" s="109"/>
      <c r="P110" s="33" t="s">
        <v>58</v>
      </c>
      <c r="Q110" s="33"/>
      <c r="R110" s="33"/>
      <c r="S110" s="49"/>
      <c r="T110" s="49"/>
      <c r="U110" s="49"/>
      <c r="V110" s="35"/>
      <c r="W110" s="79" t="s">
        <v>220</v>
      </c>
      <c r="X110" s="35"/>
      <c r="Y110" s="35"/>
      <c r="Z110" s="35"/>
      <c r="AA110" s="35"/>
      <c r="AB110" s="35"/>
      <c r="AC110" s="35"/>
      <c r="AD110" s="35"/>
      <c r="AE110" s="35"/>
      <c r="AF110" s="35"/>
      <c r="AG110" s="35"/>
      <c r="AH110" s="35"/>
    </row>
    <row r="111">
      <c r="A111" s="104" t="s">
        <v>964</v>
      </c>
      <c r="B111" s="104" t="s">
        <v>965</v>
      </c>
      <c r="C111" s="24" t="s">
        <v>184</v>
      </c>
      <c r="D111" s="84" t="s">
        <v>278</v>
      </c>
      <c r="E111" s="107"/>
      <c r="F111" s="24"/>
      <c r="G111" s="109"/>
      <c r="H111" s="24" t="s">
        <v>966</v>
      </c>
      <c r="I111" s="24" t="s">
        <v>967</v>
      </c>
      <c r="J111" s="85" t="s">
        <v>968</v>
      </c>
      <c r="K111" s="155" t="s">
        <v>969</v>
      </c>
      <c r="L111" s="74" t="s">
        <v>217</v>
      </c>
      <c r="M111" s="84" t="s">
        <v>970</v>
      </c>
      <c r="N111" s="84" t="s">
        <v>971</v>
      </c>
      <c r="O111" s="109"/>
      <c r="P111" s="33" t="s">
        <v>58</v>
      </c>
      <c r="Q111" s="33"/>
      <c r="R111" s="33"/>
      <c r="S111" s="49"/>
      <c r="T111" s="49"/>
      <c r="U111" s="49"/>
      <c r="V111" s="35"/>
      <c r="W111" s="79" t="s">
        <v>220</v>
      </c>
      <c r="X111" s="35"/>
      <c r="Y111" s="35"/>
      <c r="Z111" s="35"/>
      <c r="AA111" s="35"/>
      <c r="AB111" s="35"/>
      <c r="AC111" s="35"/>
      <c r="AD111" s="35"/>
      <c r="AE111" s="35"/>
      <c r="AF111" s="35"/>
      <c r="AG111" s="35"/>
      <c r="AH111" s="35"/>
    </row>
    <row r="112">
      <c r="A112" s="104" t="s">
        <v>972</v>
      </c>
      <c r="B112" s="104" t="s">
        <v>973</v>
      </c>
      <c r="C112" s="24" t="s">
        <v>184</v>
      </c>
      <c r="D112" s="84" t="s">
        <v>278</v>
      </c>
      <c r="E112" s="107"/>
      <c r="F112" s="24"/>
      <c r="G112" s="109"/>
      <c r="H112" s="24" t="s">
        <v>974</v>
      </c>
      <c r="I112" s="24" t="s">
        <v>975</v>
      </c>
      <c r="J112" s="85" t="s">
        <v>976</v>
      </c>
      <c r="K112" s="155" t="s">
        <v>977</v>
      </c>
      <c r="L112" s="74" t="s">
        <v>217</v>
      </c>
      <c r="M112" s="84" t="s">
        <v>978</v>
      </c>
      <c r="N112" s="84" t="s">
        <v>979</v>
      </c>
      <c r="O112" s="109"/>
      <c r="P112" s="33" t="s">
        <v>58</v>
      </c>
      <c r="Q112" s="33"/>
      <c r="R112" s="33"/>
      <c r="S112" s="49"/>
      <c r="T112" s="49"/>
      <c r="U112" s="49"/>
      <c r="V112" s="35"/>
      <c r="W112" s="79" t="s">
        <v>220</v>
      </c>
      <c r="X112" s="35"/>
      <c r="Y112" s="35"/>
      <c r="Z112" s="35"/>
      <c r="AA112" s="35"/>
      <c r="AB112" s="35"/>
      <c r="AC112" s="35"/>
      <c r="AD112" s="35"/>
      <c r="AE112" s="35"/>
      <c r="AF112" s="35"/>
      <c r="AG112" s="35"/>
      <c r="AH112" s="35"/>
    </row>
    <row r="113">
      <c r="A113" s="104" t="s">
        <v>980</v>
      </c>
      <c r="B113" s="104" t="s">
        <v>981</v>
      </c>
      <c r="C113" s="24" t="s">
        <v>184</v>
      </c>
      <c r="D113" s="84" t="s">
        <v>278</v>
      </c>
      <c r="E113" s="107"/>
      <c r="F113" s="24"/>
      <c r="G113" s="109"/>
      <c r="H113" s="24" t="s">
        <v>982</v>
      </c>
      <c r="I113" s="24" t="s">
        <v>983</v>
      </c>
      <c r="J113" s="85" t="s">
        <v>984</v>
      </c>
      <c r="K113" s="155" t="s">
        <v>985</v>
      </c>
      <c r="L113" s="74" t="s">
        <v>217</v>
      </c>
      <c r="M113" s="84" t="s">
        <v>986</v>
      </c>
      <c r="N113" s="84" t="s">
        <v>987</v>
      </c>
      <c r="O113" s="109"/>
      <c r="P113" s="33" t="s">
        <v>58</v>
      </c>
      <c r="Q113" s="33"/>
      <c r="R113" s="33"/>
      <c r="S113" s="49"/>
      <c r="T113" s="49"/>
      <c r="U113" s="49"/>
      <c r="V113" s="35"/>
      <c r="W113" s="79" t="s">
        <v>220</v>
      </c>
      <c r="X113" s="35"/>
      <c r="Y113" s="35"/>
      <c r="Z113" s="35"/>
      <c r="AA113" s="35"/>
      <c r="AB113" s="35"/>
      <c r="AC113" s="35"/>
      <c r="AD113" s="35"/>
      <c r="AE113" s="35"/>
      <c r="AF113" s="35"/>
      <c r="AG113" s="35"/>
      <c r="AH113" s="35"/>
    </row>
    <row r="114">
      <c r="A114" s="104" t="s">
        <v>988</v>
      </c>
      <c r="B114" s="104" t="s">
        <v>989</v>
      </c>
      <c r="C114" s="24" t="s">
        <v>184</v>
      </c>
      <c r="D114" s="84" t="s">
        <v>278</v>
      </c>
      <c r="E114" s="107"/>
      <c r="F114" s="24"/>
      <c r="G114" s="109"/>
      <c r="H114" s="24" t="s">
        <v>990</v>
      </c>
      <c r="I114" s="24" t="s">
        <v>991</v>
      </c>
      <c r="J114" s="85" t="s">
        <v>992</v>
      </c>
      <c r="K114" s="155" t="s">
        <v>993</v>
      </c>
      <c r="L114" s="74" t="s">
        <v>217</v>
      </c>
      <c r="M114" s="84" t="s">
        <v>994</v>
      </c>
      <c r="N114" s="84" t="s">
        <v>995</v>
      </c>
      <c r="O114" s="109"/>
      <c r="P114" s="33" t="s">
        <v>58</v>
      </c>
      <c r="Q114" s="33"/>
      <c r="R114" s="33"/>
      <c r="S114" s="49"/>
      <c r="T114" s="49"/>
      <c r="U114" s="49"/>
      <c r="V114" s="35"/>
      <c r="W114" s="79" t="s">
        <v>220</v>
      </c>
      <c r="X114" s="35"/>
      <c r="Y114" s="35"/>
      <c r="Z114" s="35"/>
      <c r="AA114" s="35"/>
      <c r="AB114" s="35"/>
      <c r="AC114" s="35"/>
      <c r="AD114" s="35"/>
      <c r="AE114" s="35"/>
      <c r="AF114" s="35"/>
      <c r="AG114" s="35"/>
      <c r="AH114" s="35"/>
    </row>
    <row r="115">
      <c r="A115" s="104" t="s">
        <v>996</v>
      </c>
      <c r="B115" s="104" t="s">
        <v>997</v>
      </c>
      <c r="C115" s="24" t="s">
        <v>184</v>
      </c>
      <c r="D115" s="84" t="s">
        <v>278</v>
      </c>
      <c r="G115" s="109"/>
      <c r="H115" s="24" t="s">
        <v>135</v>
      </c>
      <c r="I115" s="24" t="s">
        <v>998</v>
      </c>
      <c r="J115" s="85" t="s">
        <v>999</v>
      </c>
      <c r="K115" s="155" t="s">
        <v>1000</v>
      </c>
      <c r="L115" s="74" t="s">
        <v>217</v>
      </c>
      <c r="M115" s="84" t="s">
        <v>1001</v>
      </c>
      <c r="N115" s="84" t="s">
        <v>1002</v>
      </c>
      <c r="O115" s="109"/>
      <c r="P115" s="33" t="s">
        <v>58</v>
      </c>
      <c r="Q115" s="33"/>
      <c r="R115" s="33"/>
      <c r="S115" s="49"/>
      <c r="T115" s="49"/>
      <c r="U115" s="49"/>
      <c r="V115" s="35"/>
      <c r="W115" s="79" t="s">
        <v>220</v>
      </c>
      <c r="X115" s="35"/>
      <c r="Y115" s="35"/>
      <c r="Z115" s="35"/>
      <c r="AA115" s="35"/>
      <c r="AB115" s="35"/>
      <c r="AC115" s="35"/>
      <c r="AD115" s="35"/>
      <c r="AE115" s="35"/>
      <c r="AF115" s="35"/>
      <c r="AG115" s="35"/>
      <c r="AH115" s="35"/>
    </row>
    <row r="116">
      <c r="A116" s="104" t="s">
        <v>996</v>
      </c>
      <c r="B116" s="104" t="s">
        <v>1003</v>
      </c>
      <c r="C116" s="24" t="s">
        <v>184</v>
      </c>
      <c r="D116" s="84" t="s">
        <v>278</v>
      </c>
      <c r="G116" s="109"/>
      <c r="H116" s="24" t="s">
        <v>90</v>
      </c>
      <c r="I116" s="24" t="s">
        <v>255</v>
      </c>
      <c r="J116" s="85" t="s">
        <v>1004</v>
      </c>
      <c r="K116" s="155" t="s">
        <v>1005</v>
      </c>
      <c r="L116" s="74" t="s">
        <v>217</v>
      </c>
      <c r="M116" s="84" t="s">
        <v>1006</v>
      </c>
      <c r="N116" s="84" t="s">
        <v>1007</v>
      </c>
      <c r="O116" s="109"/>
      <c r="P116" s="33" t="s">
        <v>58</v>
      </c>
      <c r="Q116" s="33"/>
      <c r="R116" s="33"/>
      <c r="S116" s="49"/>
      <c r="T116" s="49"/>
      <c r="U116" s="49"/>
      <c r="V116" s="35"/>
      <c r="W116" s="79" t="s">
        <v>220</v>
      </c>
      <c r="X116" s="35"/>
      <c r="Y116" s="35"/>
      <c r="Z116" s="35"/>
      <c r="AA116" s="35"/>
      <c r="AB116" s="35"/>
      <c r="AC116" s="35"/>
      <c r="AD116" s="35"/>
      <c r="AE116" s="35"/>
      <c r="AF116" s="35"/>
      <c r="AG116" s="35"/>
      <c r="AH116" s="35"/>
    </row>
    <row r="117">
      <c r="A117" s="104" t="s">
        <v>1008</v>
      </c>
      <c r="B117" s="104" t="s">
        <v>1009</v>
      </c>
      <c r="C117" s="24" t="s">
        <v>184</v>
      </c>
      <c r="D117" s="84" t="s">
        <v>278</v>
      </c>
      <c r="E117" s="107"/>
      <c r="F117" s="24"/>
      <c r="G117" s="109"/>
      <c r="H117" s="24" t="s">
        <v>1010</v>
      </c>
      <c r="I117" s="24" t="s">
        <v>1011</v>
      </c>
      <c r="J117" s="85" t="s">
        <v>1012</v>
      </c>
      <c r="K117" s="155" t="s">
        <v>1013</v>
      </c>
      <c r="L117" s="74" t="s">
        <v>217</v>
      </c>
      <c r="M117" s="84" t="s">
        <v>1014</v>
      </c>
      <c r="N117" s="84" t="s">
        <v>1015</v>
      </c>
      <c r="O117" s="109"/>
      <c r="P117" s="33" t="s">
        <v>58</v>
      </c>
      <c r="Q117" s="33"/>
      <c r="R117" s="33"/>
      <c r="S117" s="49"/>
      <c r="T117" s="49"/>
      <c r="U117" s="49"/>
      <c r="V117" s="35"/>
      <c r="W117" s="79" t="s">
        <v>220</v>
      </c>
      <c r="X117" s="35"/>
      <c r="Y117" s="35"/>
      <c r="Z117" s="35"/>
      <c r="AA117" s="35"/>
      <c r="AB117" s="35"/>
      <c r="AC117" s="35"/>
      <c r="AD117" s="35"/>
      <c r="AE117" s="35"/>
      <c r="AF117" s="35"/>
      <c r="AG117" s="35"/>
      <c r="AH117" s="35"/>
    </row>
    <row r="118">
      <c r="A118" s="104" t="s">
        <v>158</v>
      </c>
      <c r="B118" s="104" t="s">
        <v>1016</v>
      </c>
      <c r="C118" s="104" t="s">
        <v>184</v>
      </c>
      <c r="D118" s="84" t="s">
        <v>321</v>
      </c>
      <c r="E118" s="87" t="s">
        <v>1017</v>
      </c>
      <c r="F118" s="24"/>
      <c r="G118" s="104" t="s">
        <v>1018</v>
      </c>
      <c r="H118" s="24"/>
      <c r="I118" s="24"/>
      <c r="J118" s="85" t="s">
        <v>1019</v>
      </c>
      <c r="K118" s="110"/>
      <c r="L118" s="24" t="s">
        <v>52</v>
      </c>
      <c r="M118" s="156" t="s">
        <v>1020</v>
      </c>
      <c r="N118" s="84" t="s">
        <v>1021</v>
      </c>
      <c r="O118" s="19" t="s">
        <v>31</v>
      </c>
      <c r="P118" s="33" t="s">
        <v>58</v>
      </c>
      <c r="Q118" s="33"/>
      <c r="R118" s="33"/>
      <c r="S118" s="33"/>
      <c r="T118" s="33"/>
      <c r="U118" s="33" t="s">
        <v>231</v>
      </c>
      <c r="V118" s="35"/>
      <c r="W118" s="79" t="s">
        <v>220</v>
      </c>
      <c r="X118" s="35"/>
      <c r="Y118" s="35"/>
      <c r="Z118" s="35"/>
      <c r="AA118" s="35"/>
      <c r="AB118" s="35"/>
      <c r="AC118" s="35"/>
      <c r="AD118" s="35"/>
      <c r="AE118" s="35"/>
      <c r="AF118" s="35"/>
      <c r="AG118" s="35"/>
      <c r="AH118" s="35"/>
    </row>
    <row r="119">
      <c r="A119" s="64" t="s">
        <v>1022</v>
      </c>
      <c r="B119" s="64" t="s">
        <v>1023</v>
      </c>
      <c r="C119" s="64" t="s">
        <v>184</v>
      </c>
      <c r="D119" s="105" t="s">
        <v>1024</v>
      </c>
      <c r="E119" s="157"/>
      <c r="F119" s="64"/>
      <c r="G119" s="64"/>
      <c r="H119" s="24"/>
      <c r="I119" s="24"/>
      <c r="J119" s="48" t="s">
        <v>1025</v>
      </c>
      <c r="K119" s="24"/>
      <c r="L119" s="64" t="s">
        <v>79</v>
      </c>
      <c r="M119" s="64" t="s">
        <v>1026</v>
      </c>
      <c r="N119" s="105" t="s">
        <v>1027</v>
      </c>
      <c r="O119" s="109"/>
      <c r="P119" s="33" t="s">
        <v>58</v>
      </c>
      <c r="Q119" s="33"/>
      <c r="R119" s="33"/>
      <c r="S119" s="63"/>
      <c r="T119" s="63"/>
      <c r="U119" s="63"/>
      <c r="V119" s="101" t="s">
        <v>1028</v>
      </c>
      <c r="W119" s="101" t="s">
        <v>130</v>
      </c>
      <c r="X119" s="64"/>
      <c r="Y119" s="64"/>
      <c r="Z119" s="64"/>
      <c r="AA119" s="64"/>
      <c r="AB119" s="64"/>
      <c r="AC119" s="64"/>
      <c r="AD119" s="64"/>
      <c r="AE119" s="64"/>
      <c r="AF119" s="64"/>
      <c r="AG119" s="64"/>
      <c r="AH119" s="64"/>
    </row>
    <row r="120">
      <c r="A120" s="104" t="s">
        <v>1029</v>
      </c>
      <c r="B120" s="158" t="s">
        <v>1030</v>
      </c>
      <c r="C120" s="104" t="s">
        <v>184</v>
      </c>
      <c r="D120" s="84" t="s">
        <v>1031</v>
      </c>
      <c r="E120" s="87" t="s">
        <v>357</v>
      </c>
      <c r="F120" s="24"/>
      <c r="G120" s="109"/>
      <c r="H120" s="24" t="s">
        <v>1032</v>
      </c>
      <c r="I120" s="24" t="s">
        <v>1033</v>
      </c>
      <c r="J120" s="85" t="s">
        <v>1034</v>
      </c>
      <c r="K120" s="110"/>
      <c r="L120" s="24" t="s">
        <v>52</v>
      </c>
      <c r="M120" s="84" t="s">
        <v>1035</v>
      </c>
      <c r="N120" s="84" t="s">
        <v>1036</v>
      </c>
      <c r="O120" s="104" t="s">
        <v>56</v>
      </c>
      <c r="P120" s="33"/>
      <c r="Q120" s="33"/>
      <c r="R120" s="33"/>
      <c r="S120" s="49"/>
      <c r="T120" s="49"/>
      <c r="U120" s="49"/>
      <c r="V120" s="35"/>
      <c r="W120" s="23" t="s">
        <v>63</v>
      </c>
      <c r="X120" s="35"/>
      <c r="Y120" s="35"/>
      <c r="Z120" s="35"/>
      <c r="AA120" s="35"/>
      <c r="AB120" s="35"/>
      <c r="AC120" s="35"/>
      <c r="AD120" s="35"/>
      <c r="AE120" s="35"/>
      <c r="AF120" s="35"/>
      <c r="AG120" s="35"/>
      <c r="AH120" s="35"/>
    </row>
    <row r="121">
      <c r="A121" s="104" t="s">
        <v>1037</v>
      </c>
      <c r="B121" s="137" t="s">
        <v>1038</v>
      </c>
      <c r="C121" s="104" t="s">
        <v>184</v>
      </c>
      <c r="D121" s="159" t="s">
        <v>1039</v>
      </c>
      <c r="E121" s="107"/>
      <c r="F121" s="19" t="s">
        <v>1040</v>
      </c>
      <c r="G121" s="109"/>
      <c r="H121" s="24" t="s">
        <v>314</v>
      </c>
      <c r="I121" s="24" t="s">
        <v>753</v>
      </c>
      <c r="J121" s="160" t="s">
        <v>1041</v>
      </c>
      <c r="K121" s="110"/>
      <c r="L121" s="24" t="s">
        <v>52</v>
      </c>
      <c r="M121" s="137" t="s">
        <v>1042</v>
      </c>
      <c r="N121" s="161" t="s">
        <v>1043</v>
      </c>
      <c r="O121" s="104" t="s">
        <v>56</v>
      </c>
      <c r="P121" s="33" t="s">
        <v>58</v>
      </c>
      <c r="Q121" s="33" t="s">
        <v>58</v>
      </c>
      <c r="R121" s="49"/>
      <c r="S121" s="49"/>
      <c r="T121" s="49"/>
      <c r="U121" s="49"/>
      <c r="V121" s="35"/>
      <c r="W121" s="23" t="s">
        <v>63</v>
      </c>
      <c r="X121" s="35"/>
      <c r="Y121" s="35"/>
      <c r="Z121" s="35"/>
      <c r="AA121" s="35"/>
      <c r="AB121" s="35"/>
      <c r="AC121" s="35"/>
      <c r="AD121" s="35"/>
      <c r="AE121" s="35"/>
      <c r="AF121" s="35"/>
      <c r="AG121" s="35"/>
      <c r="AH121" s="35"/>
    </row>
    <row r="122">
      <c r="A122" s="24" t="s">
        <v>65</v>
      </c>
      <c r="B122" s="24" t="s">
        <v>1044</v>
      </c>
      <c r="C122" s="24" t="s">
        <v>184</v>
      </c>
      <c r="D122" s="48" t="s">
        <v>1045</v>
      </c>
      <c r="E122" s="22" t="s">
        <v>1046</v>
      </c>
      <c r="F122" s="24"/>
      <c r="G122" s="24"/>
      <c r="H122" s="24" t="s">
        <v>1047</v>
      </c>
      <c r="I122" s="24" t="s">
        <v>1048</v>
      </c>
      <c r="J122" s="162" t="s">
        <v>1049</v>
      </c>
      <c r="K122" s="24"/>
      <c r="L122" s="24" t="s">
        <v>52</v>
      </c>
      <c r="M122" s="48" t="s">
        <v>1050</v>
      </c>
      <c r="N122" s="84" t="s">
        <v>1051</v>
      </c>
      <c r="O122" s="104" t="s">
        <v>31</v>
      </c>
      <c r="P122" s="33" t="s">
        <v>58</v>
      </c>
      <c r="Q122" s="49"/>
      <c r="R122" s="49"/>
      <c r="S122" s="49"/>
      <c r="T122" s="49"/>
      <c r="U122" s="49"/>
      <c r="V122" s="35"/>
      <c r="W122" s="23" t="s">
        <v>63</v>
      </c>
      <c r="X122" s="35"/>
      <c r="Y122" s="35"/>
      <c r="Z122" s="35"/>
      <c r="AA122" s="35"/>
      <c r="AB122" s="35"/>
      <c r="AC122" s="35"/>
      <c r="AD122" s="35"/>
      <c r="AE122" s="35"/>
      <c r="AF122" s="35"/>
      <c r="AG122" s="35"/>
      <c r="AH122" s="35"/>
    </row>
    <row r="123">
      <c r="A123" s="23" t="s">
        <v>1052</v>
      </c>
      <c r="B123" s="23" t="s">
        <v>1053</v>
      </c>
      <c r="C123" s="23" t="s">
        <v>184</v>
      </c>
      <c r="D123" s="163" t="s">
        <v>1054</v>
      </c>
      <c r="E123" s="21"/>
      <c r="F123" s="23"/>
      <c r="G123" s="35"/>
      <c r="H123" s="24" t="s">
        <v>1055</v>
      </c>
      <c r="I123" s="24" t="s">
        <v>1046</v>
      </c>
      <c r="J123" s="162" t="s">
        <v>1056</v>
      </c>
      <c r="K123" s="110"/>
      <c r="L123" s="24" t="s">
        <v>79</v>
      </c>
      <c r="M123" s="163" t="s">
        <v>1057</v>
      </c>
      <c r="N123" s="163" t="s">
        <v>1058</v>
      </c>
      <c r="O123" s="35"/>
      <c r="P123" s="33" t="s">
        <v>58</v>
      </c>
      <c r="Q123" s="164"/>
      <c r="R123" s="164"/>
      <c r="S123" s="164"/>
      <c r="T123" s="164"/>
      <c r="U123" s="164"/>
      <c r="V123" s="35"/>
      <c r="W123" s="23" t="s">
        <v>130</v>
      </c>
      <c r="X123" s="35"/>
      <c r="Y123" s="35"/>
      <c r="Z123" s="35"/>
      <c r="AA123" s="35"/>
      <c r="AB123" s="35"/>
      <c r="AC123" s="35"/>
      <c r="AD123" s="35"/>
      <c r="AE123" s="35"/>
      <c r="AF123" s="35"/>
      <c r="AG123" s="35"/>
      <c r="AH123" s="35"/>
    </row>
    <row r="124">
      <c r="A124" s="104" t="s">
        <v>1059</v>
      </c>
      <c r="B124" s="23" t="s">
        <v>1060</v>
      </c>
      <c r="C124" s="23" t="s">
        <v>184</v>
      </c>
      <c r="D124" s="20" t="s">
        <v>1061</v>
      </c>
      <c r="E124" s="41"/>
      <c r="F124" s="23"/>
      <c r="G124" s="24"/>
      <c r="H124" s="24" t="s">
        <v>378</v>
      </c>
      <c r="I124" s="24" t="s">
        <v>554</v>
      </c>
      <c r="J124" s="165" t="s">
        <v>1062</v>
      </c>
      <c r="K124" s="110"/>
      <c r="L124" s="24" t="s">
        <v>79</v>
      </c>
      <c r="M124" s="163" t="s">
        <v>1063</v>
      </c>
      <c r="N124" s="163" t="s">
        <v>1064</v>
      </c>
      <c r="O124" s="35"/>
      <c r="P124" s="33" t="s">
        <v>58</v>
      </c>
      <c r="Q124" s="164"/>
      <c r="R124" s="164"/>
      <c r="S124" s="164"/>
      <c r="T124" s="164"/>
      <c r="U124" s="164"/>
      <c r="V124" s="35"/>
      <c r="W124" s="23" t="s">
        <v>130</v>
      </c>
      <c r="X124" s="35"/>
      <c r="Y124" s="35"/>
      <c r="Z124" s="35"/>
      <c r="AA124" s="35"/>
      <c r="AB124" s="35"/>
      <c r="AC124" s="35"/>
      <c r="AD124" s="35"/>
      <c r="AE124" s="35"/>
      <c r="AF124" s="35"/>
      <c r="AG124" s="35"/>
      <c r="AH124" s="35"/>
    </row>
    <row r="125">
      <c r="A125" s="24" t="s">
        <v>65</v>
      </c>
      <c r="B125" s="23" t="s">
        <v>1065</v>
      </c>
      <c r="C125" s="23" t="s">
        <v>184</v>
      </c>
      <c r="D125" s="20" t="s">
        <v>1061</v>
      </c>
      <c r="E125" s="41"/>
      <c r="F125" s="23"/>
      <c r="G125" s="24"/>
      <c r="H125" s="24" t="s">
        <v>1066</v>
      </c>
      <c r="I125" s="24" t="s">
        <v>1067</v>
      </c>
      <c r="J125" s="166" t="s">
        <v>1068</v>
      </c>
      <c r="K125" s="110"/>
      <c r="L125" s="24" t="s">
        <v>79</v>
      </c>
      <c r="M125" s="163" t="s">
        <v>1069</v>
      </c>
      <c r="N125" s="163" t="s">
        <v>1070</v>
      </c>
      <c r="O125" s="35"/>
      <c r="P125" s="33" t="s">
        <v>58</v>
      </c>
      <c r="Q125" s="164"/>
      <c r="R125" s="164"/>
      <c r="S125" s="164"/>
      <c r="T125" s="164"/>
      <c r="U125" s="164"/>
      <c r="V125" s="23" t="s">
        <v>1071</v>
      </c>
      <c r="W125" s="23" t="s">
        <v>130</v>
      </c>
      <c r="X125" s="35"/>
      <c r="Y125" s="35"/>
      <c r="Z125" s="35"/>
      <c r="AA125" s="35"/>
      <c r="AB125" s="35"/>
      <c r="AC125" s="35"/>
      <c r="AD125" s="35"/>
      <c r="AE125" s="35"/>
      <c r="AF125" s="35"/>
      <c r="AG125" s="35"/>
      <c r="AH125" s="35"/>
    </row>
    <row r="126">
      <c r="A126" s="23" t="s">
        <v>1072</v>
      </c>
      <c r="B126" s="23" t="s">
        <v>1073</v>
      </c>
      <c r="C126" s="23" t="s">
        <v>184</v>
      </c>
      <c r="D126" s="163" t="s">
        <v>1074</v>
      </c>
      <c r="E126" s="21"/>
      <c r="F126" s="35"/>
      <c r="G126" s="35"/>
      <c r="H126" s="24"/>
      <c r="I126" s="24"/>
      <c r="J126" s="167" t="s">
        <v>1075</v>
      </c>
      <c r="K126" s="110"/>
      <c r="L126" s="64" t="s">
        <v>217</v>
      </c>
      <c r="M126" s="163" t="s">
        <v>1076</v>
      </c>
      <c r="N126" s="163" t="s">
        <v>1077</v>
      </c>
      <c r="O126" s="35"/>
      <c r="P126" s="164"/>
      <c r="Q126" s="164"/>
      <c r="R126" s="168"/>
      <c r="S126" s="168" t="s">
        <v>58</v>
      </c>
      <c r="T126" s="164"/>
      <c r="U126" s="164"/>
      <c r="V126" s="35"/>
      <c r="W126" s="23" t="s">
        <v>1078</v>
      </c>
      <c r="X126" s="35"/>
      <c r="Y126" s="35"/>
      <c r="Z126" s="35"/>
      <c r="AA126" s="35"/>
      <c r="AB126" s="35"/>
      <c r="AC126" s="35"/>
      <c r="AD126" s="35"/>
      <c r="AE126" s="35"/>
      <c r="AF126" s="35"/>
      <c r="AG126" s="35"/>
      <c r="AH126" s="35"/>
    </row>
    <row r="127">
      <c r="A127" s="23" t="s">
        <v>1079</v>
      </c>
      <c r="B127" s="23" t="s">
        <v>1080</v>
      </c>
      <c r="C127" s="23" t="s">
        <v>184</v>
      </c>
      <c r="D127" s="163" t="s">
        <v>1081</v>
      </c>
      <c r="E127" s="169" t="s">
        <v>621</v>
      </c>
      <c r="F127" s="23" t="s">
        <v>210</v>
      </c>
      <c r="G127" s="35"/>
      <c r="H127" s="19" t="s">
        <v>1082</v>
      </c>
      <c r="I127" s="19" t="s">
        <v>1083</v>
      </c>
      <c r="J127" s="170" t="s">
        <v>1084</v>
      </c>
      <c r="K127" s="110"/>
      <c r="L127" s="24" t="s">
        <v>52</v>
      </c>
      <c r="M127" s="163" t="s">
        <v>1085</v>
      </c>
      <c r="N127" s="163" t="s">
        <v>1086</v>
      </c>
      <c r="O127" s="104" t="s">
        <v>31</v>
      </c>
      <c r="P127" s="168" t="s">
        <v>58</v>
      </c>
      <c r="Q127" s="164"/>
      <c r="R127" s="164"/>
      <c r="S127" s="164"/>
      <c r="T127" s="168" t="s">
        <v>58</v>
      </c>
      <c r="U127" s="164"/>
      <c r="V127" s="35"/>
      <c r="W127" s="23" t="s">
        <v>63</v>
      </c>
      <c r="X127" s="35"/>
      <c r="Y127" s="35"/>
      <c r="Z127" s="35"/>
      <c r="AA127" s="35"/>
      <c r="AB127" s="35"/>
      <c r="AC127" s="35"/>
      <c r="AD127" s="35"/>
      <c r="AE127" s="35"/>
      <c r="AF127" s="35"/>
      <c r="AG127" s="35"/>
      <c r="AH127" s="35"/>
    </row>
    <row r="128">
      <c r="A128" s="23" t="s">
        <v>1087</v>
      </c>
      <c r="B128" s="23" t="s">
        <v>1088</v>
      </c>
      <c r="C128" s="23" t="s">
        <v>184</v>
      </c>
      <c r="D128" s="163" t="s">
        <v>1089</v>
      </c>
      <c r="E128" s="21"/>
      <c r="F128" s="23"/>
      <c r="G128" s="35"/>
      <c r="H128" s="24" t="s">
        <v>1090</v>
      </c>
      <c r="I128" s="24" t="s">
        <v>1091</v>
      </c>
      <c r="J128" s="171" t="s">
        <v>1092</v>
      </c>
      <c r="K128" s="110"/>
      <c r="L128" s="23" t="s">
        <v>79</v>
      </c>
      <c r="M128" s="163" t="s">
        <v>1093</v>
      </c>
      <c r="N128" s="172"/>
      <c r="O128" s="35"/>
      <c r="P128" s="168"/>
      <c r="Q128" s="168"/>
      <c r="R128" s="168" t="s">
        <v>58</v>
      </c>
      <c r="S128" s="164"/>
      <c r="T128" s="164"/>
      <c r="U128" s="164"/>
      <c r="V128" s="35"/>
      <c r="W128" s="23" t="s">
        <v>130</v>
      </c>
      <c r="X128" s="35"/>
      <c r="Y128" s="35"/>
      <c r="Z128" s="35"/>
      <c r="AA128" s="35"/>
      <c r="AB128" s="35"/>
      <c r="AC128" s="35"/>
      <c r="AD128" s="35"/>
      <c r="AE128" s="35"/>
      <c r="AF128" s="35"/>
      <c r="AG128" s="35"/>
      <c r="AH128" s="35"/>
    </row>
    <row r="129">
      <c r="A129" s="23" t="s">
        <v>1094</v>
      </c>
      <c r="B129" s="23" t="s">
        <v>1095</v>
      </c>
      <c r="C129" s="23" t="s">
        <v>184</v>
      </c>
      <c r="D129" s="48" t="s">
        <v>862</v>
      </c>
      <c r="E129" s="169" t="s">
        <v>1096</v>
      </c>
      <c r="F129" s="23"/>
      <c r="G129" s="23" t="s">
        <v>1097</v>
      </c>
      <c r="H129" s="24"/>
      <c r="I129" s="24"/>
      <c r="J129" s="173" t="s">
        <v>1098</v>
      </c>
      <c r="K129" s="110"/>
      <c r="L129" s="24" t="s">
        <v>52</v>
      </c>
      <c r="M129" s="163" t="s">
        <v>1099</v>
      </c>
      <c r="N129" s="163" t="s">
        <v>1100</v>
      </c>
      <c r="O129" s="104" t="s">
        <v>31</v>
      </c>
      <c r="P129" s="168" t="s">
        <v>58</v>
      </c>
      <c r="Q129" s="164"/>
      <c r="R129" s="164"/>
      <c r="S129" s="164"/>
      <c r="T129" s="164"/>
      <c r="U129" s="164"/>
      <c r="V129" s="35"/>
      <c r="W129" s="23" t="s">
        <v>63</v>
      </c>
      <c r="X129" s="35"/>
      <c r="Y129" s="35"/>
      <c r="Z129" s="35"/>
      <c r="AA129" s="35"/>
      <c r="AB129" s="35"/>
      <c r="AC129" s="35"/>
      <c r="AD129" s="35"/>
      <c r="AE129" s="35"/>
      <c r="AF129" s="35"/>
      <c r="AG129" s="35"/>
      <c r="AH129" s="35"/>
    </row>
    <row r="130">
      <c r="A130" s="174" t="s">
        <v>87</v>
      </c>
      <c r="B130" s="23" t="s">
        <v>1101</v>
      </c>
      <c r="C130" s="23" t="s">
        <v>184</v>
      </c>
      <c r="D130" s="163" t="s">
        <v>1102</v>
      </c>
      <c r="E130" s="21"/>
      <c r="F130" s="23"/>
      <c r="G130" s="175" t="s">
        <v>1103</v>
      </c>
      <c r="H130" s="24" t="s">
        <v>261</v>
      </c>
      <c r="I130" s="24" t="s">
        <v>1104</v>
      </c>
      <c r="J130" s="129" t="s">
        <v>1105</v>
      </c>
      <c r="K130" s="110"/>
      <c r="L130" s="23" t="s">
        <v>79</v>
      </c>
      <c r="M130" s="163" t="s">
        <v>1106</v>
      </c>
      <c r="N130" s="163" t="s">
        <v>1107</v>
      </c>
      <c r="O130" s="104"/>
      <c r="P130" s="168" t="s">
        <v>58</v>
      </c>
      <c r="Q130" s="168" t="s">
        <v>58</v>
      </c>
      <c r="R130" s="164"/>
      <c r="S130" s="164"/>
      <c r="T130" s="164"/>
      <c r="U130" s="164"/>
      <c r="V130" s="23" t="s">
        <v>1108</v>
      </c>
      <c r="W130" s="23" t="s">
        <v>130</v>
      </c>
      <c r="X130" s="35"/>
      <c r="Y130" s="35"/>
      <c r="Z130" s="35"/>
      <c r="AA130" s="35"/>
      <c r="AB130" s="35"/>
      <c r="AC130" s="35"/>
      <c r="AD130" s="35"/>
      <c r="AE130" s="35"/>
      <c r="AF130" s="35"/>
      <c r="AG130" s="35"/>
      <c r="AH130" s="35"/>
    </row>
    <row r="131">
      <c r="A131" s="23" t="s">
        <v>1109</v>
      </c>
      <c r="B131" s="23" t="s">
        <v>1110</v>
      </c>
      <c r="C131" s="23" t="s">
        <v>184</v>
      </c>
      <c r="D131" s="163" t="s">
        <v>1111</v>
      </c>
      <c r="E131" s="169" t="s">
        <v>1112</v>
      </c>
      <c r="F131" s="35"/>
      <c r="G131" s="35"/>
      <c r="H131" s="24" t="s">
        <v>231</v>
      </c>
      <c r="I131" s="24" t="s">
        <v>472</v>
      </c>
      <c r="J131" s="177"/>
      <c r="K131" s="155" t="s">
        <v>1115</v>
      </c>
      <c r="L131" s="23" t="s">
        <v>637</v>
      </c>
      <c r="M131" s="172"/>
      <c r="N131" s="172"/>
      <c r="O131" s="35"/>
      <c r="P131" s="164"/>
      <c r="Q131" s="164"/>
      <c r="R131" s="164"/>
      <c r="S131" s="33" t="s">
        <v>58</v>
      </c>
      <c r="T131" s="164"/>
      <c r="U131" s="164"/>
      <c r="V131" s="35"/>
      <c r="W131" s="23" t="s">
        <v>340</v>
      </c>
      <c r="X131" s="35"/>
      <c r="Y131" s="35"/>
      <c r="Z131" s="35"/>
      <c r="AA131" s="35"/>
      <c r="AB131" s="35"/>
      <c r="AC131" s="35"/>
      <c r="AD131" s="35"/>
      <c r="AE131" s="35"/>
      <c r="AF131" s="35"/>
      <c r="AG131" s="35"/>
      <c r="AH131" s="35"/>
    </row>
    <row r="132">
      <c r="A132" s="23" t="s">
        <v>1124</v>
      </c>
      <c r="B132" s="23" t="s">
        <v>1125</v>
      </c>
      <c r="C132" s="23" t="s">
        <v>184</v>
      </c>
      <c r="D132" s="20" t="s">
        <v>1126</v>
      </c>
      <c r="E132" s="169" t="s">
        <v>1127</v>
      </c>
      <c r="F132" s="35"/>
      <c r="G132" s="35"/>
      <c r="H132" s="24" t="s">
        <v>231</v>
      </c>
      <c r="I132" s="24" t="s">
        <v>178</v>
      </c>
      <c r="J132" s="186"/>
      <c r="K132" s="155" t="s">
        <v>1128</v>
      </c>
      <c r="L132" s="23" t="s">
        <v>637</v>
      </c>
      <c r="M132" s="172"/>
      <c r="N132" s="172"/>
      <c r="O132" s="35"/>
      <c r="P132" s="164"/>
      <c r="Q132" s="164"/>
      <c r="R132" s="164"/>
      <c r="S132" s="164"/>
      <c r="T132" s="168" t="s">
        <v>58</v>
      </c>
      <c r="U132" s="164"/>
      <c r="V132" s="35"/>
      <c r="W132" s="23" t="s">
        <v>340</v>
      </c>
      <c r="X132" s="35"/>
      <c r="Y132" s="35"/>
      <c r="Z132" s="35"/>
      <c r="AA132" s="35"/>
      <c r="AB132" s="35"/>
      <c r="AC132" s="35"/>
      <c r="AD132" s="35"/>
      <c r="AE132" s="35"/>
      <c r="AF132" s="35"/>
      <c r="AG132" s="35"/>
      <c r="AH132" s="35"/>
    </row>
    <row r="133">
      <c r="A133" s="23" t="s">
        <v>65</v>
      </c>
      <c r="B133" s="23" t="s">
        <v>1131</v>
      </c>
      <c r="C133" s="23" t="s">
        <v>184</v>
      </c>
      <c r="D133" s="20" t="s">
        <v>1126</v>
      </c>
      <c r="E133" s="169" t="s">
        <v>1127</v>
      </c>
      <c r="F133" s="35"/>
      <c r="G133" s="35"/>
      <c r="H133" s="24" t="s">
        <v>443</v>
      </c>
      <c r="I133" s="24" t="s">
        <v>471</v>
      </c>
      <c r="J133" s="186"/>
      <c r="K133" s="155" t="s">
        <v>1135</v>
      </c>
      <c r="L133" s="23" t="s">
        <v>79</v>
      </c>
      <c r="M133" s="163" t="s">
        <v>1142</v>
      </c>
      <c r="N133" s="163" t="s">
        <v>1144</v>
      </c>
      <c r="O133" s="35"/>
      <c r="P133" s="168" t="s">
        <v>58</v>
      </c>
      <c r="Q133" s="164"/>
      <c r="R133" s="164"/>
      <c r="S133" s="164"/>
      <c r="T133" s="164"/>
      <c r="U133" s="164"/>
      <c r="V133" s="35"/>
      <c r="W133" s="23" t="s">
        <v>130</v>
      </c>
      <c r="X133" s="35"/>
      <c r="Y133" s="35"/>
      <c r="Z133" s="35"/>
      <c r="AA133" s="35"/>
      <c r="AB133" s="35"/>
      <c r="AC133" s="35"/>
      <c r="AD133" s="35"/>
      <c r="AE133" s="35"/>
      <c r="AF133" s="35"/>
      <c r="AG133" s="35"/>
      <c r="AH133" s="35"/>
    </row>
    <row r="134">
      <c r="A134" s="104" t="s">
        <v>1146</v>
      </c>
      <c r="B134" s="23" t="s">
        <v>1147</v>
      </c>
      <c r="C134" s="23" t="s">
        <v>184</v>
      </c>
      <c r="D134" s="48" t="s">
        <v>862</v>
      </c>
      <c r="E134" s="169" t="s">
        <v>1148</v>
      </c>
      <c r="F134" s="35"/>
      <c r="G134" s="23" t="s">
        <v>1149</v>
      </c>
      <c r="H134" s="24"/>
      <c r="I134" s="24"/>
      <c r="J134" s="173" t="s">
        <v>1150</v>
      </c>
      <c r="K134" s="110"/>
      <c r="L134" s="24" t="s">
        <v>52</v>
      </c>
      <c r="M134" s="163" t="s">
        <v>1157</v>
      </c>
      <c r="N134" s="163" t="s">
        <v>1158</v>
      </c>
      <c r="O134" s="104" t="s">
        <v>31</v>
      </c>
      <c r="P134" s="168" t="s">
        <v>58</v>
      </c>
      <c r="Q134" s="164"/>
      <c r="R134" s="164"/>
      <c r="S134" s="164"/>
      <c r="T134" s="164"/>
      <c r="U134" s="164"/>
      <c r="V134" s="35"/>
      <c r="W134" s="23" t="s">
        <v>63</v>
      </c>
      <c r="X134" s="35"/>
      <c r="Y134" s="35"/>
      <c r="Z134" s="35"/>
      <c r="AA134" s="35"/>
      <c r="AB134" s="35"/>
      <c r="AC134" s="35"/>
      <c r="AD134" s="35"/>
      <c r="AE134" s="35"/>
      <c r="AF134" s="35"/>
      <c r="AG134" s="35"/>
      <c r="AH134" s="35"/>
    </row>
    <row r="135">
      <c r="A135" s="104" t="s">
        <v>1160</v>
      </c>
      <c r="B135" s="23" t="s">
        <v>1162</v>
      </c>
      <c r="C135" s="23" t="s">
        <v>184</v>
      </c>
      <c r="D135" s="48" t="s">
        <v>862</v>
      </c>
      <c r="E135" s="169" t="s">
        <v>483</v>
      </c>
      <c r="F135" s="35"/>
      <c r="G135" s="23" t="s">
        <v>1164</v>
      </c>
      <c r="H135" s="24"/>
      <c r="I135" s="24"/>
      <c r="J135" s="173" t="s">
        <v>1166</v>
      </c>
      <c r="K135" s="110"/>
      <c r="L135" s="24" t="s">
        <v>52</v>
      </c>
      <c r="M135" s="163" t="s">
        <v>1168</v>
      </c>
      <c r="N135" s="163" t="s">
        <v>1169</v>
      </c>
      <c r="O135" s="104" t="s">
        <v>31</v>
      </c>
      <c r="P135" s="168" t="s">
        <v>58</v>
      </c>
      <c r="Q135" s="164"/>
      <c r="R135" s="164"/>
      <c r="S135" s="164"/>
      <c r="T135" s="168" t="s">
        <v>58</v>
      </c>
      <c r="U135" s="164"/>
      <c r="V135" s="35"/>
      <c r="W135" s="23" t="s">
        <v>63</v>
      </c>
      <c r="X135" s="35"/>
      <c r="Y135" s="35"/>
      <c r="Z135" s="35"/>
      <c r="AA135" s="35"/>
      <c r="AB135" s="35"/>
      <c r="AC135" s="35"/>
      <c r="AD135" s="35"/>
      <c r="AE135" s="35"/>
      <c r="AF135" s="35"/>
      <c r="AG135" s="35"/>
      <c r="AH135" s="35"/>
    </row>
    <row r="136">
      <c r="A136" s="23" t="s">
        <v>1174</v>
      </c>
      <c r="B136" s="195" t="s">
        <v>1175</v>
      </c>
      <c r="C136" s="23" t="s">
        <v>42</v>
      </c>
      <c r="D136" s="58" t="s">
        <v>1176</v>
      </c>
      <c r="E136" s="21"/>
      <c r="F136" s="23"/>
      <c r="G136" s="35"/>
      <c r="H136" s="24" t="s">
        <v>1177</v>
      </c>
      <c r="I136" s="24" t="s">
        <v>1178</v>
      </c>
      <c r="J136" s="85" t="s">
        <v>1179</v>
      </c>
      <c r="K136" s="110"/>
      <c r="L136" s="23" t="s">
        <v>79</v>
      </c>
      <c r="M136" s="163" t="s">
        <v>1181</v>
      </c>
      <c r="N136" s="163" t="s">
        <v>1182</v>
      </c>
      <c r="O136" s="35"/>
      <c r="P136" s="168" t="s">
        <v>58</v>
      </c>
      <c r="Q136" s="164"/>
      <c r="R136" s="164"/>
      <c r="S136" s="164"/>
      <c r="T136" s="168" t="s">
        <v>58</v>
      </c>
      <c r="U136" s="164"/>
      <c r="V136" s="35"/>
      <c r="W136" s="23" t="s">
        <v>130</v>
      </c>
      <c r="X136" s="35"/>
      <c r="Y136" s="35"/>
      <c r="Z136" s="35"/>
      <c r="AA136" s="35"/>
      <c r="AB136" s="35"/>
      <c r="AC136" s="35"/>
      <c r="AD136" s="35"/>
      <c r="AE136" s="35"/>
      <c r="AF136" s="35"/>
      <c r="AG136" s="35"/>
      <c r="AH136" s="35"/>
    </row>
    <row r="137">
      <c r="A137" s="23" t="s">
        <v>1186</v>
      </c>
      <c r="B137" s="196" t="s">
        <v>1187</v>
      </c>
      <c r="C137" s="23" t="s">
        <v>42</v>
      </c>
      <c r="D137" s="58" t="s">
        <v>1176</v>
      </c>
      <c r="E137" s="21"/>
      <c r="F137" s="23"/>
      <c r="G137" s="35"/>
      <c r="H137" s="24" t="s">
        <v>1188</v>
      </c>
      <c r="I137" s="24" t="s">
        <v>1189</v>
      </c>
      <c r="J137" s="85" t="s">
        <v>1190</v>
      </c>
      <c r="K137" s="110"/>
      <c r="L137" s="23" t="s">
        <v>79</v>
      </c>
      <c r="M137" s="198" t="s">
        <v>1191</v>
      </c>
      <c r="N137" s="163" t="s">
        <v>1193</v>
      </c>
      <c r="O137" s="35"/>
      <c r="P137" s="168" t="s">
        <v>58</v>
      </c>
      <c r="Q137" s="164"/>
      <c r="R137" s="164"/>
      <c r="S137" s="164"/>
      <c r="T137" s="164"/>
      <c r="U137" s="164"/>
      <c r="V137" s="23" t="s">
        <v>1196</v>
      </c>
      <c r="W137" s="23" t="s">
        <v>130</v>
      </c>
      <c r="X137" s="35"/>
      <c r="Y137" s="35"/>
      <c r="Z137" s="35"/>
      <c r="AA137" s="35"/>
      <c r="AB137" s="35"/>
      <c r="AC137" s="35"/>
      <c r="AD137" s="35"/>
      <c r="AE137" s="35"/>
      <c r="AF137" s="35"/>
      <c r="AG137" s="35"/>
      <c r="AH137" s="35"/>
    </row>
    <row r="138">
      <c r="A138" s="23" t="s">
        <v>1197</v>
      </c>
      <c r="B138" s="23" t="s">
        <v>1198</v>
      </c>
      <c r="C138" s="23" t="s">
        <v>184</v>
      </c>
      <c r="D138" s="163" t="s">
        <v>1199</v>
      </c>
      <c r="E138" s="169" t="s">
        <v>471</v>
      </c>
      <c r="F138" s="23" t="s">
        <v>420</v>
      </c>
      <c r="G138" s="35"/>
      <c r="H138" s="24" t="s">
        <v>1200</v>
      </c>
      <c r="I138" s="24" t="s">
        <v>1201</v>
      </c>
      <c r="J138" s="200" t="s">
        <v>1202</v>
      </c>
      <c r="K138" s="110"/>
      <c r="L138" s="24" t="s">
        <v>52</v>
      </c>
      <c r="M138" s="163" t="s">
        <v>1208</v>
      </c>
      <c r="N138" s="163" t="s">
        <v>1209</v>
      </c>
      <c r="O138" s="23" t="s">
        <v>360</v>
      </c>
      <c r="P138" s="164"/>
      <c r="Q138" s="164"/>
      <c r="R138" s="164"/>
      <c r="S138" s="33" t="s">
        <v>58</v>
      </c>
      <c r="T138" s="164"/>
      <c r="U138" s="164"/>
      <c r="V138" s="35"/>
      <c r="W138" s="23" t="s">
        <v>63</v>
      </c>
      <c r="X138" s="35"/>
      <c r="Y138" s="35"/>
      <c r="Z138" s="35"/>
      <c r="AA138" s="35"/>
      <c r="AB138" s="35"/>
      <c r="AC138" s="35"/>
      <c r="AD138" s="35"/>
      <c r="AE138" s="35"/>
      <c r="AF138" s="35"/>
      <c r="AG138" s="35"/>
      <c r="AH138" s="35"/>
    </row>
    <row r="139">
      <c r="A139" s="23" t="s">
        <v>1210</v>
      </c>
      <c r="B139" s="23" t="s">
        <v>1211</v>
      </c>
      <c r="C139" s="23" t="s">
        <v>184</v>
      </c>
      <c r="D139" s="163" t="s">
        <v>1212</v>
      </c>
      <c r="E139" s="169" t="s">
        <v>62</v>
      </c>
      <c r="F139" s="23" t="s">
        <v>348</v>
      </c>
      <c r="G139" s="23"/>
      <c r="H139" s="24"/>
      <c r="I139" s="24"/>
      <c r="J139" s="129" t="s">
        <v>1213</v>
      </c>
      <c r="K139" s="110"/>
      <c r="L139" s="24" t="s">
        <v>52</v>
      </c>
      <c r="M139" s="203" t="s">
        <v>1217</v>
      </c>
      <c r="N139" s="163" t="s">
        <v>1218</v>
      </c>
      <c r="O139" s="23" t="s">
        <v>31</v>
      </c>
      <c r="P139" s="168"/>
      <c r="Q139" s="164"/>
      <c r="R139" s="164"/>
      <c r="S139" s="164"/>
      <c r="T139" s="164"/>
      <c r="U139" s="164"/>
      <c r="V139" s="35"/>
      <c r="W139" s="23" t="s">
        <v>332</v>
      </c>
      <c r="X139" s="35"/>
      <c r="Y139" s="35"/>
      <c r="Z139" s="35"/>
      <c r="AA139" s="35"/>
      <c r="AB139" s="35"/>
      <c r="AC139" s="35"/>
      <c r="AD139" s="35"/>
      <c r="AE139" s="35"/>
      <c r="AF139" s="35"/>
      <c r="AG139" s="35"/>
      <c r="AH139" s="35"/>
    </row>
    <row r="140">
      <c r="A140" s="104" t="s">
        <v>65</v>
      </c>
      <c r="B140" s="23" t="s">
        <v>1220</v>
      </c>
      <c r="C140" s="23" t="s">
        <v>184</v>
      </c>
      <c r="D140" s="163" t="s">
        <v>1212</v>
      </c>
      <c r="E140" s="169" t="s">
        <v>62</v>
      </c>
      <c r="F140" s="23" t="s">
        <v>1221</v>
      </c>
      <c r="G140" s="35"/>
      <c r="H140" s="24"/>
      <c r="I140" s="24"/>
      <c r="J140" s="85" t="s">
        <v>1222</v>
      </c>
      <c r="K140" s="110"/>
      <c r="L140" s="24" t="s">
        <v>52</v>
      </c>
      <c r="M140" s="163" t="s">
        <v>1223</v>
      </c>
      <c r="N140" s="172"/>
      <c r="O140" s="23" t="s">
        <v>31</v>
      </c>
      <c r="P140" s="168" t="s">
        <v>58</v>
      </c>
      <c r="Q140" s="164"/>
      <c r="R140" s="164"/>
      <c r="S140" s="164"/>
      <c r="T140" s="168" t="s">
        <v>58</v>
      </c>
      <c r="U140" s="164"/>
      <c r="V140" s="35"/>
      <c r="W140" s="23" t="s">
        <v>63</v>
      </c>
      <c r="X140" s="35"/>
      <c r="Y140" s="35"/>
      <c r="Z140" s="35"/>
      <c r="AA140" s="35"/>
      <c r="AB140" s="35"/>
      <c r="AC140" s="35"/>
      <c r="AD140" s="35"/>
      <c r="AE140" s="35"/>
      <c r="AF140" s="35"/>
      <c r="AG140" s="35"/>
      <c r="AH140" s="35"/>
    </row>
    <row r="141">
      <c r="A141" s="104" t="s">
        <v>1227</v>
      </c>
      <c r="B141" s="23" t="s">
        <v>1228</v>
      </c>
      <c r="C141" s="23" t="s">
        <v>184</v>
      </c>
      <c r="D141" s="163" t="s">
        <v>1212</v>
      </c>
      <c r="E141" s="169" t="s">
        <v>62</v>
      </c>
      <c r="F141" s="23" t="s">
        <v>148</v>
      </c>
      <c r="G141" s="35"/>
      <c r="H141" s="24"/>
      <c r="I141" s="24"/>
      <c r="J141" s="85" t="s">
        <v>1229</v>
      </c>
      <c r="K141" s="110"/>
      <c r="L141" s="24" t="s">
        <v>52</v>
      </c>
      <c r="M141" s="163" t="s">
        <v>1230</v>
      </c>
      <c r="N141" s="163" t="s">
        <v>1231</v>
      </c>
      <c r="O141" s="23" t="s">
        <v>31</v>
      </c>
      <c r="P141" s="168"/>
      <c r="Q141" s="164"/>
      <c r="R141" s="164"/>
      <c r="S141" s="164"/>
      <c r="T141" s="168" t="s">
        <v>58</v>
      </c>
      <c r="U141" s="164"/>
      <c r="V141" s="35"/>
      <c r="W141" s="23" t="s">
        <v>332</v>
      </c>
      <c r="X141" s="35"/>
      <c r="Y141" s="35"/>
      <c r="Z141" s="35"/>
      <c r="AA141" s="35"/>
      <c r="AB141" s="35"/>
      <c r="AC141" s="35"/>
      <c r="AD141" s="35"/>
      <c r="AE141" s="35"/>
      <c r="AF141" s="35"/>
      <c r="AG141" s="35"/>
      <c r="AH141" s="35"/>
    </row>
    <row r="142">
      <c r="A142" s="118" t="s">
        <v>1232</v>
      </c>
      <c r="B142" s="23" t="s">
        <v>1233</v>
      </c>
      <c r="C142" s="23" t="s">
        <v>42</v>
      </c>
      <c r="D142" s="163" t="s">
        <v>1234</v>
      </c>
      <c r="E142" s="169" t="s">
        <v>177</v>
      </c>
      <c r="F142" s="23" t="s">
        <v>836</v>
      </c>
      <c r="G142" s="35"/>
      <c r="H142" s="24" t="s">
        <v>1236</v>
      </c>
      <c r="I142" s="24" t="s">
        <v>1237</v>
      </c>
      <c r="J142" s="205" t="s">
        <v>1238</v>
      </c>
      <c r="K142" s="110"/>
      <c r="L142" s="23" t="s">
        <v>79</v>
      </c>
      <c r="M142" s="163" t="s">
        <v>1241</v>
      </c>
      <c r="N142" s="172"/>
      <c r="O142" s="35"/>
      <c r="P142" s="164"/>
      <c r="Q142" s="164"/>
      <c r="S142" s="164"/>
      <c r="T142" s="168" t="s">
        <v>58</v>
      </c>
      <c r="U142" s="164"/>
      <c r="V142" s="35"/>
      <c r="W142" s="23" t="s">
        <v>130</v>
      </c>
      <c r="X142" s="35"/>
      <c r="Y142" s="35"/>
      <c r="Z142" s="35"/>
      <c r="AA142" s="35"/>
      <c r="AB142" s="35"/>
      <c r="AC142" s="35"/>
      <c r="AD142" s="35"/>
      <c r="AE142" s="35"/>
      <c r="AF142" s="35"/>
      <c r="AG142" s="35"/>
      <c r="AH142" s="35"/>
    </row>
    <row r="143">
      <c r="A143" s="118" t="s">
        <v>1244</v>
      </c>
      <c r="B143" s="23" t="s">
        <v>1245</v>
      </c>
      <c r="C143" s="23" t="s">
        <v>184</v>
      </c>
      <c r="D143" s="163" t="s">
        <v>1246</v>
      </c>
      <c r="E143" s="169" t="s">
        <v>1247</v>
      </c>
      <c r="F143" s="23"/>
      <c r="G143" s="35"/>
      <c r="H143" s="19" t="s">
        <v>1248</v>
      </c>
      <c r="I143" s="19" t="s">
        <v>1249</v>
      </c>
      <c r="J143" s="85" t="s">
        <v>1250</v>
      </c>
      <c r="K143" s="110"/>
      <c r="L143" s="24" t="s">
        <v>52</v>
      </c>
      <c r="M143" s="163" t="s">
        <v>1251</v>
      </c>
      <c r="N143" s="163" t="s">
        <v>1252</v>
      </c>
      <c r="O143" s="23" t="s">
        <v>31</v>
      </c>
      <c r="P143" s="168" t="s">
        <v>58</v>
      </c>
      <c r="Q143" s="164"/>
      <c r="R143" s="164"/>
      <c r="S143" s="164"/>
      <c r="T143" s="164"/>
      <c r="U143" s="164"/>
      <c r="V143" s="35"/>
      <c r="W143" s="23" t="s">
        <v>63</v>
      </c>
      <c r="X143" s="35"/>
      <c r="Y143" s="35"/>
      <c r="Z143" s="35"/>
      <c r="AA143" s="35"/>
      <c r="AB143" s="35"/>
      <c r="AC143" s="35"/>
      <c r="AD143" s="35"/>
      <c r="AE143" s="35"/>
      <c r="AF143" s="35"/>
      <c r="AG143" s="35"/>
      <c r="AH143" s="35"/>
    </row>
    <row r="144">
      <c r="A144" s="86" t="s">
        <v>1253</v>
      </c>
      <c r="B144" s="86" t="s">
        <v>1254</v>
      </c>
      <c r="C144" s="86" t="s">
        <v>42</v>
      </c>
      <c r="D144" s="86" t="s">
        <v>285</v>
      </c>
      <c r="E144" s="208"/>
      <c r="F144" s="86"/>
      <c r="G144" s="209"/>
      <c r="H144" s="19" t="s">
        <v>1258</v>
      </c>
      <c r="I144" s="19" t="s">
        <v>1259</v>
      </c>
      <c r="J144" s="210" t="s">
        <v>1260</v>
      </c>
      <c r="K144" s="211" t="s">
        <v>1261</v>
      </c>
      <c r="L144" s="86" t="s">
        <v>217</v>
      </c>
      <c r="M144" s="86" t="s">
        <v>1262</v>
      </c>
      <c r="N144" s="212" t="s">
        <v>1263</v>
      </c>
      <c r="O144" s="35"/>
      <c r="P144" s="213" t="s">
        <v>58</v>
      </c>
      <c r="Q144" s="214"/>
      <c r="R144" s="214"/>
      <c r="S144" s="214"/>
      <c r="T144" s="213" t="s">
        <v>58</v>
      </c>
      <c r="U144" s="214"/>
      <c r="V144" s="209"/>
      <c r="W144" s="79" t="s">
        <v>220</v>
      </c>
      <c r="X144" s="209"/>
      <c r="Y144" s="209"/>
      <c r="Z144" s="209"/>
      <c r="AA144" s="209"/>
      <c r="AB144" s="209"/>
      <c r="AC144" s="209"/>
      <c r="AD144" s="209"/>
      <c r="AE144" s="209"/>
      <c r="AF144" s="209"/>
      <c r="AG144" s="209"/>
      <c r="AH144" s="216"/>
    </row>
    <row r="145">
      <c r="A145" s="86" t="s">
        <v>1266</v>
      </c>
      <c r="B145" s="86" t="s">
        <v>1267</v>
      </c>
      <c r="C145" s="86" t="s">
        <v>42</v>
      </c>
      <c r="D145" s="86" t="s">
        <v>285</v>
      </c>
      <c r="E145" s="208"/>
      <c r="F145" s="86"/>
      <c r="G145" s="209"/>
      <c r="H145" s="19" t="s">
        <v>828</v>
      </c>
      <c r="I145" s="19" t="s">
        <v>177</v>
      </c>
      <c r="J145" s="210" t="s">
        <v>1268</v>
      </c>
      <c r="K145" s="217" t="s">
        <v>1269</v>
      </c>
      <c r="L145" s="86" t="s">
        <v>217</v>
      </c>
      <c r="M145" s="86" t="s">
        <v>1272</v>
      </c>
      <c r="N145" s="212" t="s">
        <v>1273</v>
      </c>
      <c r="O145" s="35"/>
      <c r="P145" s="213" t="s">
        <v>58</v>
      </c>
      <c r="Q145" s="214"/>
      <c r="R145" s="214"/>
      <c r="S145" s="214"/>
      <c r="T145" s="213" t="s">
        <v>58</v>
      </c>
      <c r="U145" s="214"/>
      <c r="V145" s="209"/>
      <c r="W145" s="79" t="s">
        <v>220</v>
      </c>
      <c r="X145" s="209"/>
      <c r="Y145" s="209"/>
      <c r="Z145" s="209"/>
      <c r="AA145" s="209"/>
      <c r="AB145" s="209"/>
      <c r="AC145" s="209"/>
      <c r="AD145" s="209"/>
      <c r="AE145" s="209"/>
      <c r="AF145" s="209"/>
      <c r="AG145" s="209"/>
      <c r="AH145" s="218"/>
    </row>
    <row r="146">
      <c r="A146" s="86" t="s">
        <v>1274</v>
      </c>
      <c r="B146" s="86" t="s">
        <v>1275</v>
      </c>
      <c r="C146" s="86" t="s">
        <v>42</v>
      </c>
      <c r="D146" s="86" t="s">
        <v>285</v>
      </c>
      <c r="E146" s="208"/>
      <c r="F146" s="86"/>
      <c r="G146" s="209"/>
      <c r="H146" s="19" t="s">
        <v>1090</v>
      </c>
      <c r="I146" s="19" t="s">
        <v>1277</v>
      </c>
      <c r="J146" s="210" t="s">
        <v>1278</v>
      </c>
      <c r="K146" s="211" t="s">
        <v>1279</v>
      </c>
      <c r="L146" s="86" t="s">
        <v>217</v>
      </c>
      <c r="M146" s="86" t="s">
        <v>1280</v>
      </c>
      <c r="N146" s="212" t="s">
        <v>1281</v>
      </c>
      <c r="O146" s="35"/>
      <c r="P146" s="213" t="s">
        <v>58</v>
      </c>
      <c r="Q146" s="214"/>
      <c r="R146" s="214"/>
      <c r="S146" s="214"/>
      <c r="T146" s="213" t="s">
        <v>58</v>
      </c>
      <c r="U146" s="214"/>
      <c r="V146" s="209"/>
      <c r="W146" s="79" t="s">
        <v>220</v>
      </c>
      <c r="X146" s="209"/>
      <c r="Y146" s="209"/>
      <c r="Z146" s="209"/>
      <c r="AA146" s="209"/>
      <c r="AB146" s="209"/>
      <c r="AC146" s="209"/>
      <c r="AD146" s="209"/>
      <c r="AE146" s="209"/>
      <c r="AF146" s="209"/>
      <c r="AG146" s="209"/>
      <c r="AH146" s="218"/>
    </row>
    <row r="147">
      <c r="A147" s="86" t="s">
        <v>1282</v>
      </c>
      <c r="B147" s="86" t="s">
        <v>1283</v>
      </c>
      <c r="C147" s="86" t="s">
        <v>42</v>
      </c>
      <c r="D147" s="86" t="s">
        <v>285</v>
      </c>
      <c r="E147" s="208"/>
      <c r="F147" s="86"/>
      <c r="G147" s="209"/>
      <c r="H147" s="19" t="s">
        <v>1284</v>
      </c>
      <c r="I147" s="19" t="s">
        <v>1285</v>
      </c>
      <c r="J147" s="210" t="s">
        <v>1286</v>
      </c>
      <c r="K147" s="211" t="s">
        <v>1287</v>
      </c>
      <c r="L147" s="86" t="s">
        <v>217</v>
      </c>
      <c r="M147" s="86" t="s">
        <v>1288</v>
      </c>
      <c r="N147" s="212" t="s">
        <v>1290</v>
      </c>
      <c r="O147" s="35"/>
      <c r="P147" s="213" t="s">
        <v>58</v>
      </c>
      <c r="Q147" s="214"/>
      <c r="R147" s="214"/>
      <c r="S147" s="214"/>
      <c r="T147" s="214"/>
      <c r="U147" s="214"/>
      <c r="V147" s="209"/>
      <c r="W147" s="79" t="s">
        <v>220</v>
      </c>
      <c r="X147" s="209"/>
      <c r="Y147" s="209"/>
      <c r="Z147" s="209"/>
      <c r="AA147" s="209"/>
      <c r="AB147" s="209"/>
      <c r="AC147" s="209"/>
      <c r="AD147" s="209"/>
      <c r="AE147" s="209"/>
      <c r="AF147" s="209"/>
      <c r="AG147" s="209"/>
      <c r="AH147" s="218"/>
    </row>
    <row r="148">
      <c r="A148" s="86" t="s">
        <v>1292</v>
      </c>
      <c r="B148" s="86" t="s">
        <v>1293</v>
      </c>
      <c r="C148" s="86" t="s">
        <v>42</v>
      </c>
      <c r="D148" s="86" t="s">
        <v>285</v>
      </c>
      <c r="E148" s="208"/>
      <c r="F148" s="86"/>
      <c r="G148" s="209"/>
      <c r="H148" s="19" t="s">
        <v>231</v>
      </c>
      <c r="I148" s="19" t="s">
        <v>415</v>
      </c>
      <c r="J148" s="210" t="s">
        <v>1294</v>
      </c>
      <c r="K148" s="211" t="s">
        <v>1295</v>
      </c>
      <c r="L148" s="86" t="s">
        <v>217</v>
      </c>
      <c r="M148" s="86" t="s">
        <v>1299</v>
      </c>
      <c r="N148" s="212" t="s">
        <v>1301</v>
      </c>
      <c r="O148" s="35"/>
      <c r="P148" s="213" t="s">
        <v>58</v>
      </c>
      <c r="Q148" s="214"/>
      <c r="R148" s="214"/>
      <c r="S148" s="214"/>
      <c r="T148" s="213" t="s">
        <v>58</v>
      </c>
      <c r="U148" s="214"/>
      <c r="V148" s="209"/>
      <c r="W148" s="79" t="s">
        <v>220</v>
      </c>
      <c r="X148" s="209"/>
      <c r="Y148" s="209"/>
      <c r="Z148" s="209"/>
      <c r="AA148" s="209"/>
      <c r="AB148" s="209"/>
      <c r="AC148" s="209"/>
      <c r="AD148" s="209"/>
      <c r="AE148" s="209"/>
      <c r="AF148" s="209"/>
      <c r="AG148" s="209"/>
      <c r="AH148" s="218"/>
    </row>
    <row r="149">
      <c r="A149" s="86" t="s">
        <v>1302</v>
      </c>
      <c r="B149" s="86" t="s">
        <v>1303</v>
      </c>
      <c r="C149" s="86" t="s">
        <v>42</v>
      </c>
      <c r="D149" s="86" t="s">
        <v>285</v>
      </c>
      <c r="E149" s="208"/>
      <c r="F149" s="86"/>
      <c r="G149" s="209"/>
      <c r="H149" s="19" t="s">
        <v>274</v>
      </c>
      <c r="I149" s="19" t="s">
        <v>1304</v>
      </c>
      <c r="J149" s="210" t="s">
        <v>1305</v>
      </c>
      <c r="K149" s="211" t="s">
        <v>1306</v>
      </c>
      <c r="L149" s="86" t="s">
        <v>217</v>
      </c>
      <c r="M149" s="86" t="s">
        <v>1307</v>
      </c>
      <c r="N149" s="212" t="s">
        <v>1308</v>
      </c>
      <c r="O149" s="35"/>
      <c r="P149" s="213" t="s">
        <v>58</v>
      </c>
      <c r="Q149" s="214"/>
      <c r="R149" s="214"/>
      <c r="S149" s="214"/>
      <c r="T149" s="213" t="s">
        <v>58</v>
      </c>
      <c r="U149" s="214"/>
      <c r="V149" s="209"/>
      <c r="W149" s="79" t="s">
        <v>220</v>
      </c>
      <c r="X149" s="209"/>
      <c r="Y149" s="209"/>
      <c r="Z149" s="209"/>
      <c r="AA149" s="209"/>
      <c r="AB149" s="209"/>
      <c r="AC149" s="209"/>
      <c r="AD149" s="209"/>
      <c r="AE149" s="209"/>
      <c r="AF149" s="209"/>
      <c r="AG149" s="209"/>
      <c r="AH149" s="218"/>
    </row>
    <row r="150">
      <c r="A150" s="86" t="s">
        <v>1313</v>
      </c>
      <c r="B150" s="86" t="s">
        <v>1314</v>
      </c>
      <c r="C150" s="86" t="s">
        <v>42</v>
      </c>
      <c r="D150" s="86" t="s">
        <v>285</v>
      </c>
      <c r="E150" s="208"/>
      <c r="F150" s="86"/>
      <c r="G150" s="209"/>
      <c r="H150" s="19" t="s">
        <v>1315</v>
      </c>
      <c r="I150" s="19" t="s">
        <v>1316</v>
      </c>
      <c r="J150" s="210" t="s">
        <v>1317</v>
      </c>
      <c r="K150" s="211" t="s">
        <v>1318</v>
      </c>
      <c r="L150" s="86" t="s">
        <v>217</v>
      </c>
      <c r="M150" s="86" t="s">
        <v>1319</v>
      </c>
      <c r="N150" s="212" t="s">
        <v>1320</v>
      </c>
      <c r="O150" s="35"/>
      <c r="P150" s="213" t="s">
        <v>58</v>
      </c>
      <c r="Q150" s="214"/>
      <c r="R150" s="214"/>
      <c r="S150" s="214"/>
      <c r="T150" s="214"/>
      <c r="U150" s="214"/>
      <c r="V150" s="209"/>
      <c r="W150" s="79" t="s">
        <v>220</v>
      </c>
      <c r="X150" s="209"/>
      <c r="Y150" s="209"/>
      <c r="Z150" s="209"/>
      <c r="AA150" s="209"/>
      <c r="AB150" s="209"/>
      <c r="AC150" s="209"/>
      <c r="AD150" s="209"/>
      <c r="AE150" s="209"/>
      <c r="AF150" s="209"/>
      <c r="AG150" s="209"/>
      <c r="AH150" s="218"/>
    </row>
    <row r="151">
      <c r="A151" s="86" t="s">
        <v>1321</v>
      </c>
      <c r="B151" s="86" t="s">
        <v>1322</v>
      </c>
      <c r="C151" s="86" t="s">
        <v>42</v>
      </c>
      <c r="D151" s="86" t="s">
        <v>285</v>
      </c>
      <c r="E151" s="208"/>
      <c r="F151" s="86"/>
      <c r="G151" s="209"/>
      <c r="H151" s="19" t="s">
        <v>1323</v>
      </c>
      <c r="I151" s="19" t="s">
        <v>249</v>
      </c>
      <c r="J151" s="210" t="s">
        <v>1324</v>
      </c>
      <c r="K151" s="211" t="s">
        <v>1326</v>
      </c>
      <c r="L151" s="86" t="s">
        <v>217</v>
      </c>
      <c r="M151" s="86" t="s">
        <v>1327</v>
      </c>
      <c r="N151" s="212" t="s">
        <v>1328</v>
      </c>
      <c r="O151" s="35"/>
      <c r="P151" s="213" t="s">
        <v>58</v>
      </c>
      <c r="Q151" s="214"/>
      <c r="R151" s="214"/>
      <c r="S151" s="214"/>
      <c r="T151" s="214"/>
      <c r="U151" s="214"/>
      <c r="V151" s="209"/>
      <c r="W151" s="79" t="s">
        <v>220</v>
      </c>
      <c r="X151" s="209"/>
      <c r="Y151" s="209"/>
      <c r="Z151" s="209"/>
      <c r="AA151" s="209"/>
      <c r="AB151" s="209"/>
      <c r="AC151" s="209"/>
      <c r="AD151" s="209"/>
      <c r="AE151" s="209"/>
      <c r="AF151" s="209"/>
      <c r="AG151" s="209"/>
      <c r="AH151" s="218"/>
    </row>
    <row r="152">
      <c r="A152" s="86" t="s">
        <v>1329</v>
      </c>
      <c r="B152" s="86" t="s">
        <v>1330</v>
      </c>
      <c r="C152" s="86" t="s">
        <v>42</v>
      </c>
      <c r="D152" s="86" t="s">
        <v>285</v>
      </c>
      <c r="E152" s="208"/>
      <c r="F152" s="86"/>
      <c r="G152" s="209"/>
      <c r="H152" s="19" t="s">
        <v>1331</v>
      </c>
      <c r="I152" s="19" t="s">
        <v>966</v>
      </c>
      <c r="J152" s="210" t="s">
        <v>1332</v>
      </c>
      <c r="K152" s="211" t="s">
        <v>1333</v>
      </c>
      <c r="L152" s="86" t="s">
        <v>217</v>
      </c>
      <c r="M152" s="86" t="s">
        <v>1334</v>
      </c>
      <c r="N152" s="212" t="s">
        <v>1335</v>
      </c>
      <c r="O152" s="35"/>
      <c r="P152" s="213" t="s">
        <v>58</v>
      </c>
      <c r="Q152" s="214"/>
      <c r="R152" s="214"/>
      <c r="S152" s="214"/>
      <c r="T152" s="214"/>
      <c r="U152" s="214"/>
      <c r="V152" s="209"/>
      <c r="W152" s="79" t="s">
        <v>220</v>
      </c>
      <c r="X152" s="209"/>
      <c r="Y152" s="209"/>
      <c r="Z152" s="209"/>
      <c r="AA152" s="209"/>
      <c r="AB152" s="209"/>
      <c r="AC152" s="209"/>
      <c r="AD152" s="209"/>
      <c r="AE152" s="209"/>
      <c r="AF152" s="209"/>
      <c r="AG152" s="209"/>
      <c r="AH152" s="218"/>
    </row>
    <row r="153">
      <c r="A153" s="86" t="s">
        <v>65</v>
      </c>
      <c r="B153" s="86" t="s">
        <v>1337</v>
      </c>
      <c r="C153" s="86" t="s">
        <v>42</v>
      </c>
      <c r="D153" s="86" t="s">
        <v>285</v>
      </c>
      <c r="E153" s="208"/>
      <c r="F153" s="86"/>
      <c r="G153" s="209"/>
      <c r="H153" s="19" t="s">
        <v>1340</v>
      </c>
      <c r="I153" s="19" t="s">
        <v>1341</v>
      </c>
      <c r="J153" s="210" t="s">
        <v>1342</v>
      </c>
      <c r="K153" s="211" t="s">
        <v>1343</v>
      </c>
      <c r="L153" s="86" t="s">
        <v>217</v>
      </c>
      <c r="M153" s="86" t="s">
        <v>1344</v>
      </c>
      <c r="N153" s="212" t="s">
        <v>1345</v>
      </c>
      <c r="O153" s="35"/>
      <c r="P153" s="213" t="s">
        <v>58</v>
      </c>
      <c r="Q153" s="214"/>
      <c r="R153" s="214"/>
      <c r="S153" s="214"/>
      <c r="T153" s="213" t="s">
        <v>58</v>
      </c>
      <c r="U153" s="214"/>
      <c r="V153" s="209"/>
      <c r="W153" s="79" t="s">
        <v>220</v>
      </c>
      <c r="X153" s="209"/>
      <c r="Y153" s="209"/>
      <c r="Z153" s="209"/>
      <c r="AA153" s="209"/>
      <c r="AB153" s="209"/>
      <c r="AC153" s="209"/>
      <c r="AD153" s="209"/>
      <c r="AE153" s="209"/>
      <c r="AF153" s="209"/>
      <c r="AG153" s="209"/>
      <c r="AH153" s="218"/>
    </row>
    <row r="154">
      <c r="A154" s="86" t="s">
        <v>65</v>
      </c>
      <c r="B154" s="86" t="s">
        <v>1346</v>
      </c>
      <c r="C154" s="86" t="s">
        <v>42</v>
      </c>
      <c r="D154" s="86" t="s">
        <v>285</v>
      </c>
      <c r="E154" s="208"/>
      <c r="F154" s="86"/>
      <c r="G154" s="209"/>
      <c r="H154" s="19" t="s">
        <v>451</v>
      </c>
      <c r="I154" s="19" t="s">
        <v>1347</v>
      </c>
      <c r="J154" s="210" t="s">
        <v>1348</v>
      </c>
      <c r="K154" s="211" t="s">
        <v>1349</v>
      </c>
      <c r="L154" s="86" t="s">
        <v>217</v>
      </c>
      <c r="M154" s="86" t="s">
        <v>1350</v>
      </c>
      <c r="N154" s="212" t="s">
        <v>1351</v>
      </c>
      <c r="O154" s="35"/>
      <c r="P154" s="213" t="s">
        <v>58</v>
      </c>
      <c r="Q154" s="214"/>
      <c r="R154" s="214"/>
      <c r="S154" s="214"/>
      <c r="T154" s="213" t="s">
        <v>58</v>
      </c>
      <c r="U154" s="214"/>
      <c r="V154" s="209"/>
      <c r="W154" s="79" t="s">
        <v>220</v>
      </c>
      <c r="X154" s="209"/>
      <c r="Y154" s="209"/>
      <c r="Z154" s="209"/>
      <c r="AA154" s="209"/>
      <c r="AB154" s="209"/>
      <c r="AC154" s="209"/>
      <c r="AD154" s="209"/>
      <c r="AE154" s="209"/>
      <c r="AF154" s="209"/>
      <c r="AG154" s="209"/>
      <c r="AH154" s="218"/>
    </row>
    <row r="155">
      <c r="A155" s="86" t="s">
        <v>1353</v>
      </c>
      <c r="B155" s="86" t="s">
        <v>1354</v>
      </c>
      <c r="C155" s="86" t="s">
        <v>42</v>
      </c>
      <c r="D155" s="86" t="s">
        <v>285</v>
      </c>
      <c r="E155" s="208"/>
      <c r="F155" s="86"/>
      <c r="G155" s="209"/>
      <c r="H155" s="19" t="s">
        <v>1355</v>
      </c>
      <c r="I155" s="19" t="s">
        <v>878</v>
      </c>
      <c r="J155" s="210" t="s">
        <v>1356</v>
      </c>
      <c r="K155" s="211" t="s">
        <v>1357</v>
      </c>
      <c r="L155" s="86" t="s">
        <v>217</v>
      </c>
      <c r="M155" s="86" t="s">
        <v>1358</v>
      </c>
      <c r="N155" s="212" t="s">
        <v>1359</v>
      </c>
      <c r="O155" s="35"/>
      <c r="P155" s="213" t="s">
        <v>58</v>
      </c>
      <c r="Q155" s="214"/>
      <c r="R155" s="214"/>
      <c r="S155" s="214"/>
      <c r="T155" s="214"/>
      <c r="U155" s="214"/>
      <c r="V155" s="209"/>
      <c r="W155" s="79" t="s">
        <v>220</v>
      </c>
      <c r="X155" s="209"/>
      <c r="Y155" s="209"/>
      <c r="Z155" s="209"/>
      <c r="AA155" s="209"/>
      <c r="AB155" s="209"/>
      <c r="AC155" s="209"/>
      <c r="AD155" s="209"/>
      <c r="AE155" s="209"/>
      <c r="AF155" s="209"/>
      <c r="AG155" s="209"/>
      <c r="AH155" s="218"/>
    </row>
    <row r="156">
      <c r="A156" s="86" t="s">
        <v>1360</v>
      </c>
      <c r="B156" s="86" t="s">
        <v>1361</v>
      </c>
      <c r="C156" s="86" t="s">
        <v>42</v>
      </c>
      <c r="D156" s="86" t="s">
        <v>285</v>
      </c>
      <c r="E156" s="208"/>
      <c r="F156" s="86"/>
      <c r="G156" s="209"/>
      <c r="H156" s="19" t="s">
        <v>1362</v>
      </c>
      <c r="I156" s="19" t="s">
        <v>1363</v>
      </c>
      <c r="J156" s="210" t="s">
        <v>1364</v>
      </c>
      <c r="K156" s="211" t="s">
        <v>1365</v>
      </c>
      <c r="L156" s="86" t="s">
        <v>217</v>
      </c>
      <c r="M156" s="86" t="s">
        <v>1366</v>
      </c>
      <c r="N156" s="212" t="s">
        <v>1367</v>
      </c>
      <c r="O156" s="35"/>
      <c r="P156" s="213" t="s">
        <v>58</v>
      </c>
      <c r="Q156" s="214"/>
      <c r="R156" s="214"/>
      <c r="S156" s="214"/>
      <c r="T156" s="214"/>
      <c r="U156" s="214"/>
      <c r="V156" s="209"/>
      <c r="W156" s="79" t="s">
        <v>220</v>
      </c>
      <c r="X156" s="209"/>
      <c r="Y156" s="209"/>
      <c r="Z156" s="209"/>
      <c r="AA156" s="209"/>
      <c r="AB156" s="209"/>
      <c r="AC156" s="209"/>
      <c r="AD156" s="209"/>
      <c r="AE156" s="209"/>
      <c r="AF156" s="209"/>
      <c r="AG156" s="209"/>
      <c r="AH156" s="218"/>
    </row>
    <row r="157">
      <c r="A157" s="86" t="s">
        <v>1360</v>
      </c>
      <c r="B157" s="86" t="s">
        <v>1368</v>
      </c>
      <c r="C157" s="86" t="s">
        <v>42</v>
      </c>
      <c r="D157" s="86" t="s">
        <v>285</v>
      </c>
      <c r="E157" s="208"/>
      <c r="F157" s="86"/>
      <c r="G157" s="209"/>
      <c r="H157" s="19" t="s">
        <v>1369</v>
      </c>
      <c r="I157" s="19" t="s">
        <v>1370</v>
      </c>
      <c r="J157" s="210" t="s">
        <v>1371</v>
      </c>
      <c r="K157" s="211" t="s">
        <v>1372</v>
      </c>
      <c r="L157" s="86" t="s">
        <v>217</v>
      </c>
      <c r="M157" s="86" t="s">
        <v>1373</v>
      </c>
      <c r="N157" s="212" t="s">
        <v>1374</v>
      </c>
      <c r="O157" s="35"/>
      <c r="P157" s="213" t="s">
        <v>58</v>
      </c>
      <c r="Q157" s="214"/>
      <c r="R157" s="214"/>
      <c r="S157" s="214"/>
      <c r="T157" s="213" t="s">
        <v>58</v>
      </c>
      <c r="U157" s="214"/>
      <c r="V157" s="209"/>
      <c r="W157" s="79" t="s">
        <v>220</v>
      </c>
      <c r="X157" s="209"/>
      <c r="Y157" s="209"/>
      <c r="Z157" s="209"/>
      <c r="AA157" s="209"/>
      <c r="AB157" s="209"/>
      <c r="AC157" s="209"/>
      <c r="AD157" s="209"/>
      <c r="AE157" s="209"/>
      <c r="AF157" s="209"/>
      <c r="AG157" s="209"/>
      <c r="AH157" s="218"/>
    </row>
    <row r="158">
      <c r="A158" s="86" t="s">
        <v>1375</v>
      </c>
      <c r="B158" s="86" t="s">
        <v>1376</v>
      </c>
      <c r="C158" s="86" t="s">
        <v>42</v>
      </c>
      <c r="D158" s="86" t="s">
        <v>285</v>
      </c>
      <c r="E158" s="208"/>
      <c r="F158" s="86"/>
      <c r="G158" s="209"/>
      <c r="H158" s="19" t="s">
        <v>347</v>
      </c>
      <c r="I158" s="19" t="s">
        <v>1377</v>
      </c>
      <c r="J158" s="210" t="s">
        <v>1378</v>
      </c>
      <c r="K158" s="211" t="s">
        <v>1379</v>
      </c>
      <c r="L158" s="86" t="s">
        <v>217</v>
      </c>
      <c r="M158" s="86" t="s">
        <v>1380</v>
      </c>
      <c r="N158" s="212" t="s">
        <v>1381</v>
      </c>
      <c r="O158" s="35"/>
      <c r="P158" s="213" t="s">
        <v>58</v>
      </c>
      <c r="Q158" s="214"/>
      <c r="R158" s="214"/>
      <c r="S158" s="214"/>
      <c r="T158" s="213" t="s">
        <v>58</v>
      </c>
      <c r="U158" s="214"/>
      <c r="V158" s="209"/>
      <c r="W158" s="79" t="s">
        <v>220</v>
      </c>
      <c r="X158" s="209"/>
      <c r="Y158" s="209"/>
      <c r="Z158" s="209"/>
      <c r="AA158" s="209"/>
      <c r="AB158" s="209"/>
      <c r="AC158" s="209"/>
      <c r="AD158" s="209"/>
      <c r="AE158" s="209"/>
      <c r="AF158" s="209"/>
      <c r="AG158" s="209"/>
      <c r="AH158" s="218"/>
    </row>
    <row r="159">
      <c r="A159" s="86" t="s">
        <v>1382</v>
      </c>
      <c r="B159" s="86" t="s">
        <v>1383</v>
      </c>
      <c r="C159" s="86" t="s">
        <v>42</v>
      </c>
      <c r="D159" s="86" t="s">
        <v>285</v>
      </c>
      <c r="E159" s="208"/>
      <c r="F159" s="86"/>
      <c r="G159" s="216"/>
      <c r="H159" s="19" t="s">
        <v>1384</v>
      </c>
      <c r="I159" s="19" t="s">
        <v>1385</v>
      </c>
      <c r="J159" s="210" t="s">
        <v>1386</v>
      </c>
      <c r="K159" s="211" t="s">
        <v>1387</v>
      </c>
      <c r="L159" s="86" t="s">
        <v>217</v>
      </c>
      <c r="M159" s="228" t="s">
        <v>1388</v>
      </c>
      <c r="N159" s="228" t="s">
        <v>1389</v>
      </c>
      <c r="O159" s="35"/>
      <c r="P159" s="213" t="s">
        <v>58</v>
      </c>
      <c r="Q159" s="229"/>
      <c r="R159" s="229"/>
      <c r="S159" s="230"/>
      <c r="T159" s="213" t="s">
        <v>58</v>
      </c>
      <c r="U159" s="216"/>
      <c r="V159" s="216"/>
      <c r="W159" s="79" t="s">
        <v>220</v>
      </c>
      <c r="X159" s="216"/>
      <c r="Y159" s="216"/>
      <c r="Z159" s="216"/>
      <c r="AA159" s="216"/>
      <c r="AB159" s="216"/>
      <c r="AC159" s="216"/>
      <c r="AD159" s="216"/>
      <c r="AE159" s="216"/>
      <c r="AF159" s="216"/>
      <c r="AG159" s="216"/>
      <c r="AH159" s="218"/>
    </row>
    <row r="160">
      <c r="A160" s="86" t="s">
        <v>1375</v>
      </c>
      <c r="B160" s="23" t="s">
        <v>1390</v>
      </c>
      <c r="C160" s="86" t="s">
        <v>42</v>
      </c>
      <c r="D160" s="86" t="s">
        <v>285</v>
      </c>
      <c r="E160" s="21"/>
      <c r="F160" s="86"/>
      <c r="G160" s="35"/>
      <c r="H160" s="19" t="s">
        <v>214</v>
      </c>
      <c r="I160" s="19" t="s">
        <v>1096</v>
      </c>
      <c r="J160" s="210" t="s">
        <v>1391</v>
      </c>
      <c r="K160" s="104" t="s">
        <v>1392</v>
      </c>
      <c r="L160" s="86" t="s">
        <v>217</v>
      </c>
      <c r="M160" s="163" t="s">
        <v>1393</v>
      </c>
      <c r="N160" s="163" t="s">
        <v>1394</v>
      </c>
      <c r="O160" s="35"/>
      <c r="P160" s="168" t="s">
        <v>58</v>
      </c>
      <c r="Q160" s="164"/>
      <c r="R160" s="164"/>
      <c r="S160" s="164"/>
      <c r="T160" s="168" t="s">
        <v>58</v>
      </c>
      <c r="U160" s="164"/>
      <c r="V160" s="35"/>
      <c r="W160" s="79" t="s">
        <v>220</v>
      </c>
      <c r="X160" s="35"/>
      <c r="Y160" s="35"/>
      <c r="Z160" s="35"/>
      <c r="AA160" s="35"/>
      <c r="AB160" s="35"/>
      <c r="AC160" s="35"/>
      <c r="AD160" s="35"/>
      <c r="AE160" s="35"/>
      <c r="AF160" s="35"/>
      <c r="AG160" s="35"/>
      <c r="AH160" s="35"/>
    </row>
    <row r="161">
      <c r="A161" s="23" t="s">
        <v>1395</v>
      </c>
      <c r="B161" s="23" t="s">
        <v>1396</v>
      </c>
      <c r="C161" s="23" t="s">
        <v>42</v>
      </c>
      <c r="D161" s="163" t="s">
        <v>1397</v>
      </c>
      <c r="E161" s="169" t="s">
        <v>1398</v>
      </c>
      <c r="F161" s="86"/>
      <c r="G161" s="35"/>
      <c r="H161" s="24" t="s">
        <v>178</v>
      </c>
      <c r="I161" s="24" t="s">
        <v>415</v>
      </c>
      <c r="J161" s="231" t="s">
        <v>1399</v>
      </c>
      <c r="K161" s="232"/>
      <c r="L161" s="23" t="s">
        <v>79</v>
      </c>
      <c r="M161" s="233" t="s">
        <v>1400</v>
      </c>
      <c r="N161" s="163" t="s">
        <v>1401</v>
      </c>
      <c r="O161" s="35"/>
      <c r="P161" s="164"/>
      <c r="Q161" s="168" t="s">
        <v>58</v>
      </c>
      <c r="R161" s="164"/>
      <c r="S161" s="164"/>
      <c r="T161" s="164"/>
      <c r="U161" s="164"/>
      <c r="V161" s="35"/>
      <c r="W161" s="23" t="s">
        <v>130</v>
      </c>
      <c r="X161" s="35"/>
      <c r="Y161" s="35"/>
      <c r="Z161" s="35"/>
      <c r="AA161" s="35"/>
      <c r="AB161" s="35"/>
      <c r="AC161" s="35"/>
      <c r="AD161" s="35"/>
      <c r="AE161" s="35"/>
      <c r="AF161" s="35"/>
      <c r="AG161" s="35"/>
      <c r="AH161" s="35"/>
    </row>
    <row r="162">
      <c r="A162" s="23" t="s">
        <v>1402</v>
      </c>
      <c r="B162" s="23" t="s">
        <v>1403</v>
      </c>
      <c r="C162" s="23" t="s">
        <v>42</v>
      </c>
      <c r="D162" s="163" t="s">
        <v>1404</v>
      </c>
      <c r="F162" s="35"/>
      <c r="G162" s="23"/>
      <c r="H162" s="24" t="s">
        <v>1405</v>
      </c>
      <c r="I162" s="24" t="s">
        <v>1406</v>
      </c>
      <c r="J162" s="167" t="s">
        <v>1407</v>
      </c>
      <c r="K162" s="110"/>
      <c r="L162" s="23" t="s">
        <v>79</v>
      </c>
      <c r="M162" s="163" t="s">
        <v>1408</v>
      </c>
      <c r="N162" s="163" t="s">
        <v>1409</v>
      </c>
      <c r="O162" s="35"/>
      <c r="P162" s="168" t="s">
        <v>58</v>
      </c>
      <c r="Q162" s="164"/>
      <c r="R162" s="164"/>
      <c r="S162" s="164"/>
      <c r="T162" s="164"/>
      <c r="U162" s="164"/>
      <c r="V162" s="35"/>
      <c r="W162" s="23" t="s">
        <v>130</v>
      </c>
      <c r="X162" s="35"/>
      <c r="Y162" s="35"/>
      <c r="Z162" s="35"/>
      <c r="AA162" s="35"/>
      <c r="AB162" s="35"/>
      <c r="AC162" s="35"/>
      <c r="AD162" s="35"/>
      <c r="AE162" s="35"/>
      <c r="AF162" s="35"/>
      <c r="AG162" s="35"/>
      <c r="AH162" s="35"/>
    </row>
    <row r="163">
      <c r="A163" s="23" t="s">
        <v>1410</v>
      </c>
      <c r="B163" s="23" t="s">
        <v>1411</v>
      </c>
      <c r="C163" s="23" t="s">
        <v>42</v>
      </c>
      <c r="D163" s="163" t="s">
        <v>1412</v>
      </c>
      <c r="E163" s="169" t="s">
        <v>1413</v>
      </c>
      <c r="F163" s="35"/>
      <c r="G163" s="23" t="s">
        <v>1414</v>
      </c>
      <c r="H163" s="24"/>
      <c r="I163" s="24"/>
      <c r="J163" s="85" t="s">
        <v>1415</v>
      </c>
      <c r="K163" s="110"/>
      <c r="L163" s="24" t="s">
        <v>52</v>
      </c>
      <c r="M163" s="163" t="s">
        <v>1416</v>
      </c>
      <c r="N163" s="163" t="s">
        <v>1417</v>
      </c>
      <c r="O163" s="23" t="s">
        <v>31</v>
      </c>
      <c r="P163" s="164"/>
      <c r="Q163" s="164"/>
      <c r="R163" s="168" t="s">
        <v>58</v>
      </c>
      <c r="S163" s="164"/>
      <c r="T163" s="164"/>
      <c r="U163" s="164"/>
      <c r="V163" s="35"/>
      <c r="W163" s="23" t="s">
        <v>332</v>
      </c>
      <c r="X163" s="35"/>
      <c r="Y163" s="35"/>
      <c r="Z163" s="35"/>
      <c r="AA163" s="35"/>
      <c r="AB163" s="35"/>
      <c r="AC163" s="35"/>
      <c r="AD163" s="35"/>
      <c r="AE163" s="35"/>
      <c r="AF163" s="35"/>
      <c r="AG163" s="35"/>
      <c r="AH163" s="35"/>
    </row>
    <row r="164">
      <c r="A164" s="23" t="s">
        <v>1418</v>
      </c>
      <c r="B164" s="23" t="s">
        <v>1419</v>
      </c>
      <c r="C164" s="23" t="s">
        <v>42</v>
      </c>
      <c r="D164" s="163" t="s">
        <v>1420</v>
      </c>
      <c r="E164" s="169" t="s">
        <v>1421</v>
      </c>
      <c r="F164" s="23" t="s">
        <v>1422</v>
      </c>
      <c r="G164" s="23"/>
      <c r="H164" s="24"/>
      <c r="I164" s="24"/>
      <c r="J164" s="234" t="s">
        <v>1423</v>
      </c>
      <c r="K164" s="110"/>
      <c r="L164" s="23" t="s">
        <v>79</v>
      </c>
      <c r="M164" s="163" t="s">
        <v>1424</v>
      </c>
      <c r="N164" s="163" t="s">
        <v>1425</v>
      </c>
      <c r="O164" s="35"/>
      <c r="P164" s="168" t="s">
        <v>58</v>
      </c>
      <c r="Q164" s="164"/>
      <c r="R164" s="164"/>
      <c r="S164" s="164"/>
      <c r="T164" s="164"/>
      <c r="U164" s="164"/>
      <c r="V164" s="35"/>
      <c r="W164" s="23" t="s">
        <v>130</v>
      </c>
      <c r="X164" s="35"/>
      <c r="Y164" s="35"/>
      <c r="Z164" s="35"/>
      <c r="AA164" s="35"/>
      <c r="AB164" s="35"/>
      <c r="AC164" s="35"/>
      <c r="AD164" s="35"/>
      <c r="AE164" s="35"/>
      <c r="AF164" s="35"/>
      <c r="AG164" s="35"/>
      <c r="AH164" s="35"/>
    </row>
    <row r="165">
      <c r="A165" s="23" t="s">
        <v>1426</v>
      </c>
      <c r="B165" s="23" t="s">
        <v>1427</v>
      </c>
      <c r="C165" s="23" t="s">
        <v>42</v>
      </c>
      <c r="D165" s="163" t="s">
        <v>1428</v>
      </c>
      <c r="E165" s="169" t="s">
        <v>1429</v>
      </c>
      <c r="F165" s="35"/>
      <c r="G165" s="23"/>
      <c r="H165" s="24"/>
      <c r="I165" s="24"/>
      <c r="J165" s="186"/>
      <c r="K165" s="155" t="s">
        <v>1430</v>
      </c>
      <c r="L165" s="23" t="s">
        <v>637</v>
      </c>
      <c r="M165" s="172"/>
      <c r="N165" s="172"/>
      <c r="O165" s="35"/>
      <c r="P165" s="168"/>
      <c r="Q165" s="168"/>
      <c r="R165" s="164"/>
      <c r="S165" s="164"/>
      <c r="T165" s="168" t="s">
        <v>58</v>
      </c>
      <c r="U165" s="164"/>
      <c r="V165" s="35"/>
      <c r="W165" s="23" t="s">
        <v>340</v>
      </c>
      <c r="X165" s="35"/>
      <c r="Y165" s="35"/>
      <c r="Z165" s="35"/>
      <c r="AA165" s="35"/>
      <c r="AB165" s="35"/>
      <c r="AC165" s="35"/>
      <c r="AD165" s="35"/>
      <c r="AE165" s="35"/>
      <c r="AF165" s="35"/>
      <c r="AG165" s="35"/>
      <c r="AH165" s="35"/>
    </row>
    <row r="166">
      <c r="A166" s="23" t="s">
        <v>1431</v>
      </c>
      <c r="B166" s="23" t="s">
        <v>1432</v>
      </c>
      <c r="C166" s="23" t="s">
        <v>42</v>
      </c>
      <c r="D166" s="20" t="s">
        <v>1433</v>
      </c>
      <c r="E166" s="169" t="s">
        <v>1434</v>
      </c>
      <c r="F166" s="23" t="s">
        <v>519</v>
      </c>
      <c r="G166" s="23"/>
      <c r="H166" s="24"/>
      <c r="I166" s="24"/>
      <c r="J166" s="85" t="s">
        <v>1435</v>
      </c>
      <c r="K166" s="235"/>
      <c r="L166" s="23" t="s">
        <v>79</v>
      </c>
      <c r="M166" s="163" t="s">
        <v>1436</v>
      </c>
      <c r="N166" s="163" t="s">
        <v>1437</v>
      </c>
      <c r="O166" s="35"/>
      <c r="P166" s="168" t="s">
        <v>58</v>
      </c>
      <c r="Q166" s="164"/>
      <c r="R166" s="164"/>
      <c r="S166" s="168" t="s">
        <v>58</v>
      </c>
      <c r="T166" s="168" t="s">
        <v>58</v>
      </c>
      <c r="U166" s="164"/>
      <c r="V166" s="35"/>
      <c r="W166" s="23" t="s">
        <v>130</v>
      </c>
      <c r="X166" s="35"/>
      <c r="Y166" s="35"/>
      <c r="Z166" s="35"/>
      <c r="AA166" s="35"/>
      <c r="AB166" s="35"/>
      <c r="AC166" s="35"/>
      <c r="AD166" s="35"/>
      <c r="AE166" s="35"/>
      <c r="AF166" s="35"/>
      <c r="AG166" s="35"/>
      <c r="AH166" s="35"/>
    </row>
    <row r="167">
      <c r="A167" s="23" t="s">
        <v>1438</v>
      </c>
      <c r="B167" s="23" t="s">
        <v>1439</v>
      </c>
      <c r="C167" s="23" t="s">
        <v>42</v>
      </c>
      <c r="D167" s="163" t="s">
        <v>1428</v>
      </c>
      <c r="E167" s="169" t="s">
        <v>1429</v>
      </c>
      <c r="F167" s="35"/>
      <c r="G167" s="23"/>
      <c r="H167" s="24">
        <v>5.0</v>
      </c>
      <c r="I167" s="24" t="s">
        <v>62</v>
      </c>
      <c r="J167" s="186"/>
      <c r="K167" s="155" t="s">
        <v>1440</v>
      </c>
      <c r="L167" s="23" t="s">
        <v>79</v>
      </c>
      <c r="M167" s="163" t="s">
        <v>1441</v>
      </c>
      <c r="N167" s="163" t="s">
        <v>1442</v>
      </c>
      <c r="O167" s="35"/>
      <c r="P167" s="168" t="s">
        <v>58</v>
      </c>
      <c r="Q167" s="164"/>
      <c r="R167" s="164"/>
      <c r="S167" s="164"/>
      <c r="T167" s="168" t="s">
        <v>58</v>
      </c>
      <c r="U167" s="164"/>
      <c r="V167" s="35"/>
      <c r="W167" s="23" t="s">
        <v>130</v>
      </c>
      <c r="X167" s="35"/>
      <c r="Y167" s="35"/>
      <c r="Z167" s="35"/>
      <c r="AA167" s="35"/>
      <c r="AB167" s="35"/>
      <c r="AC167" s="35"/>
      <c r="AD167" s="35"/>
      <c r="AE167" s="35"/>
      <c r="AF167" s="35"/>
      <c r="AG167" s="35"/>
      <c r="AH167" s="35"/>
    </row>
    <row r="168">
      <c r="A168" s="86" t="s">
        <v>1443</v>
      </c>
      <c r="B168" s="23" t="s">
        <v>1444</v>
      </c>
      <c r="C168" s="23" t="s">
        <v>42</v>
      </c>
      <c r="D168" s="172"/>
      <c r="E168" s="21"/>
      <c r="F168" s="35"/>
      <c r="G168" s="23"/>
      <c r="H168" s="24"/>
      <c r="I168" s="24"/>
      <c r="J168" s="236" t="s">
        <v>1445</v>
      </c>
      <c r="K168" s="112"/>
      <c r="L168" s="23" t="s">
        <v>700</v>
      </c>
      <c r="M168" s="163" t="s">
        <v>1446</v>
      </c>
      <c r="N168" s="172"/>
      <c r="O168" s="35"/>
      <c r="P168" s="164"/>
      <c r="Q168" s="168" t="s">
        <v>58</v>
      </c>
      <c r="R168" s="164"/>
      <c r="S168" s="164"/>
      <c r="T168" s="164"/>
      <c r="U168" s="164"/>
      <c r="V168" s="35"/>
      <c r="W168" s="23" t="s">
        <v>1447</v>
      </c>
      <c r="X168" s="35"/>
      <c r="Y168" s="35"/>
      <c r="Z168" s="35"/>
      <c r="AA168" s="35"/>
      <c r="AB168" s="35"/>
      <c r="AC168" s="35"/>
      <c r="AD168" s="35"/>
      <c r="AE168" s="35"/>
      <c r="AF168" s="35"/>
      <c r="AG168" s="35"/>
      <c r="AH168" s="35"/>
    </row>
    <row r="169">
      <c r="A169" s="86" t="s">
        <v>1448</v>
      </c>
      <c r="B169" s="23" t="s">
        <v>1449</v>
      </c>
      <c r="C169" s="23" t="s">
        <v>184</v>
      </c>
      <c r="D169" s="163" t="s">
        <v>1450</v>
      </c>
      <c r="E169" s="21"/>
      <c r="F169" s="35"/>
      <c r="G169" s="23"/>
      <c r="H169" s="24"/>
      <c r="I169" s="24"/>
      <c r="J169" s="238" t="s">
        <v>1451</v>
      </c>
      <c r="K169" s="232"/>
      <c r="L169" s="23" t="s">
        <v>700</v>
      </c>
      <c r="M169" s="163" t="s">
        <v>1454</v>
      </c>
      <c r="N169" s="172"/>
      <c r="O169" s="35"/>
      <c r="P169" s="164"/>
      <c r="Q169" s="168" t="s">
        <v>58</v>
      </c>
      <c r="R169" s="164"/>
      <c r="S169" s="164"/>
      <c r="T169" s="164"/>
      <c r="U169" s="164"/>
      <c r="V169" s="35"/>
      <c r="W169" s="23" t="s">
        <v>1455</v>
      </c>
      <c r="X169" s="35"/>
      <c r="Y169" s="35"/>
      <c r="Z169" s="35"/>
      <c r="AA169" s="35"/>
      <c r="AB169" s="35"/>
      <c r="AC169" s="35"/>
      <c r="AD169" s="35"/>
      <c r="AE169" s="35"/>
      <c r="AF169" s="35"/>
      <c r="AG169" s="35"/>
      <c r="AH169" s="35"/>
    </row>
    <row r="170">
      <c r="A170" s="23" t="s">
        <v>1174</v>
      </c>
      <c r="B170" s="23" t="s">
        <v>1456</v>
      </c>
      <c r="C170" s="23" t="s">
        <v>42</v>
      </c>
      <c r="D170" s="163" t="s">
        <v>313</v>
      </c>
      <c r="E170" s="169" t="s">
        <v>554</v>
      </c>
      <c r="F170" s="23" t="s">
        <v>231</v>
      </c>
      <c r="G170" s="23"/>
      <c r="H170" s="24" t="s">
        <v>554</v>
      </c>
      <c r="I170" s="24" t="s">
        <v>315</v>
      </c>
      <c r="J170" s="85" t="s">
        <v>1457</v>
      </c>
      <c r="K170" s="239"/>
      <c r="L170" s="24" t="s">
        <v>52</v>
      </c>
      <c r="M170" s="163" t="s">
        <v>1458</v>
      </c>
      <c r="N170" s="163" t="s">
        <v>1459</v>
      </c>
      <c r="O170" s="23" t="s">
        <v>31</v>
      </c>
      <c r="P170" s="168" t="s">
        <v>58</v>
      </c>
      <c r="Q170" s="164"/>
      <c r="R170" s="164"/>
      <c r="S170" s="164"/>
      <c r="T170" s="168" t="s">
        <v>58</v>
      </c>
      <c r="U170" s="164"/>
      <c r="V170" s="35"/>
      <c r="W170" s="23" t="s">
        <v>332</v>
      </c>
      <c r="X170" s="35"/>
      <c r="Y170" s="35"/>
      <c r="Z170" s="35"/>
      <c r="AA170" s="35"/>
      <c r="AB170" s="35"/>
      <c r="AC170" s="35"/>
      <c r="AD170" s="35"/>
      <c r="AE170" s="35"/>
      <c r="AF170" s="35"/>
      <c r="AG170" s="35"/>
      <c r="AH170" s="35"/>
    </row>
    <row r="171">
      <c r="A171" s="23" t="s">
        <v>1461</v>
      </c>
      <c r="B171" s="23" t="s">
        <v>1462</v>
      </c>
      <c r="C171" s="23" t="s">
        <v>42</v>
      </c>
      <c r="D171" s="84" t="s">
        <v>827</v>
      </c>
      <c r="E171" s="169" t="s">
        <v>301</v>
      </c>
      <c r="F171" s="23"/>
      <c r="G171" s="23"/>
      <c r="H171" s="24" t="s">
        <v>1464</v>
      </c>
      <c r="I171" s="24" t="s">
        <v>1465</v>
      </c>
      <c r="J171" s="84" t="s">
        <v>1466</v>
      </c>
      <c r="K171" s="110"/>
      <c r="L171" s="24" t="s">
        <v>52</v>
      </c>
      <c r="M171" s="163" t="s">
        <v>1468</v>
      </c>
      <c r="N171" s="172" t="s">
        <v>1470</v>
      </c>
      <c r="O171" s="23" t="s">
        <v>31</v>
      </c>
      <c r="P171" s="168" t="s">
        <v>58</v>
      </c>
      <c r="Q171" s="164"/>
      <c r="R171" s="164"/>
      <c r="S171" s="164"/>
      <c r="T171" s="168" t="s">
        <v>58</v>
      </c>
      <c r="U171" s="168" t="s">
        <v>472</v>
      </c>
      <c r="V171" s="35"/>
      <c r="W171" s="23" t="s">
        <v>63</v>
      </c>
      <c r="X171" s="35"/>
      <c r="Y171" s="35"/>
      <c r="Z171" s="35"/>
      <c r="AA171" s="35"/>
      <c r="AB171" s="35"/>
      <c r="AC171" s="35"/>
      <c r="AD171" s="35"/>
      <c r="AE171" s="35"/>
      <c r="AF171" s="35"/>
      <c r="AG171" s="35"/>
      <c r="AH171" s="35"/>
    </row>
    <row r="172">
      <c r="A172" s="23" t="s">
        <v>1472</v>
      </c>
      <c r="B172" s="23" t="s">
        <v>1473</v>
      </c>
      <c r="C172" s="23" t="s">
        <v>42</v>
      </c>
      <c r="D172" s="242" t="s">
        <v>1246</v>
      </c>
      <c r="E172" s="169" t="s">
        <v>1247</v>
      </c>
      <c r="F172" s="23"/>
      <c r="G172" s="23"/>
      <c r="H172" s="24" t="s">
        <v>1475</v>
      </c>
      <c r="I172" s="24" t="s">
        <v>1476</v>
      </c>
      <c r="J172" s="85" t="s">
        <v>1478</v>
      </c>
      <c r="K172" s="110"/>
      <c r="L172" s="24" t="s">
        <v>52</v>
      </c>
      <c r="M172" s="163" t="s">
        <v>1479</v>
      </c>
      <c r="N172" s="163" t="s">
        <v>1480</v>
      </c>
      <c r="O172" s="23" t="s">
        <v>31</v>
      </c>
      <c r="P172" s="168" t="s">
        <v>58</v>
      </c>
      <c r="Q172" s="164"/>
      <c r="R172" s="164"/>
      <c r="S172" s="164"/>
      <c r="T172" s="164"/>
      <c r="U172" s="164"/>
      <c r="V172" s="35"/>
      <c r="W172" s="23" t="s">
        <v>63</v>
      </c>
      <c r="X172" s="35"/>
      <c r="Y172" s="35"/>
      <c r="Z172" s="35"/>
      <c r="AA172" s="35"/>
      <c r="AB172" s="35"/>
      <c r="AC172" s="35"/>
      <c r="AD172" s="35"/>
      <c r="AE172" s="35"/>
      <c r="AF172" s="35"/>
      <c r="AG172" s="35"/>
      <c r="AH172" s="35"/>
    </row>
    <row r="173">
      <c r="A173" s="23" t="s">
        <v>1481</v>
      </c>
      <c r="B173" s="23" t="s">
        <v>1482</v>
      </c>
      <c r="C173" s="23" t="s">
        <v>42</v>
      </c>
      <c r="D173" s="65" t="s">
        <v>489</v>
      </c>
      <c r="E173" s="21"/>
      <c r="F173" s="23"/>
      <c r="G173" s="23"/>
      <c r="H173" s="24"/>
      <c r="I173" s="24"/>
      <c r="J173" s="85" t="s">
        <v>1483</v>
      </c>
      <c r="K173" s="110"/>
      <c r="L173" s="23" t="s">
        <v>79</v>
      </c>
      <c r="M173" s="163" t="s">
        <v>1485</v>
      </c>
      <c r="N173" s="163" t="s">
        <v>1486</v>
      </c>
      <c r="O173" s="35"/>
      <c r="P173" s="164"/>
      <c r="Q173" s="164"/>
      <c r="R173" s="164"/>
      <c r="S173" s="164"/>
      <c r="T173" s="168" t="s">
        <v>58</v>
      </c>
      <c r="U173" s="164"/>
      <c r="V173" s="35"/>
      <c r="W173" s="23" t="s">
        <v>130</v>
      </c>
      <c r="X173" s="35"/>
      <c r="Y173" s="35"/>
      <c r="Z173" s="35"/>
      <c r="AA173" s="35"/>
      <c r="AB173" s="35"/>
      <c r="AC173" s="35"/>
      <c r="AD173" s="35"/>
      <c r="AE173" s="35"/>
      <c r="AF173" s="35"/>
      <c r="AG173" s="35"/>
      <c r="AH173" s="35"/>
    </row>
    <row r="174">
      <c r="A174" s="23" t="s">
        <v>65</v>
      </c>
      <c r="B174" s="79" t="s">
        <v>1488</v>
      </c>
      <c r="C174" s="23" t="s">
        <v>42</v>
      </c>
      <c r="D174" s="65" t="s">
        <v>294</v>
      </c>
      <c r="E174" s="169" t="s">
        <v>135</v>
      </c>
      <c r="F174" s="23"/>
      <c r="G174" s="23" t="s">
        <v>1489</v>
      </c>
      <c r="H174" s="24"/>
      <c r="I174" s="24"/>
      <c r="J174" s="244" t="s">
        <v>1490</v>
      </c>
      <c r="K174" s="110"/>
      <c r="L174" s="24" t="s">
        <v>52</v>
      </c>
      <c r="M174" s="163" t="s">
        <v>1496</v>
      </c>
      <c r="N174" s="6" t="s">
        <v>1497</v>
      </c>
      <c r="O174" s="23" t="s">
        <v>31</v>
      </c>
      <c r="P174" s="168" t="s">
        <v>58</v>
      </c>
      <c r="Q174" s="164"/>
      <c r="R174" s="164"/>
      <c r="S174" s="164"/>
      <c r="T174" s="164"/>
      <c r="U174" s="164"/>
      <c r="V174" s="35"/>
      <c r="W174" s="23" t="s">
        <v>63</v>
      </c>
      <c r="X174" s="35"/>
      <c r="Y174" s="35"/>
      <c r="Z174" s="35"/>
      <c r="AA174" s="35"/>
      <c r="AB174" s="35"/>
      <c r="AC174" s="35"/>
      <c r="AD174" s="35"/>
      <c r="AE174" s="35"/>
      <c r="AF174" s="35"/>
      <c r="AG174" s="35"/>
      <c r="AH174" s="35"/>
    </row>
    <row r="175">
      <c r="A175" s="86" t="s">
        <v>1499</v>
      </c>
      <c r="B175" s="79" t="s">
        <v>1500</v>
      </c>
      <c r="C175" s="23" t="s">
        <v>42</v>
      </c>
      <c r="D175" s="245" t="s">
        <v>1502</v>
      </c>
      <c r="E175" s="21"/>
      <c r="F175" s="23" t="s">
        <v>61</v>
      </c>
      <c r="G175" s="23"/>
      <c r="H175" s="24"/>
      <c r="I175" s="24"/>
      <c r="J175" s="186"/>
      <c r="K175" s="110"/>
      <c r="L175" s="23" t="s">
        <v>79</v>
      </c>
      <c r="M175" s="163" t="s">
        <v>1504</v>
      </c>
      <c r="N175" s="163" t="s">
        <v>1505</v>
      </c>
      <c r="O175" s="35"/>
      <c r="P175" s="168" t="s">
        <v>58</v>
      </c>
      <c r="Q175" s="164"/>
      <c r="R175" s="164"/>
      <c r="S175" s="164"/>
      <c r="T175" s="164"/>
      <c r="U175" s="164"/>
      <c r="V175" s="23" t="s">
        <v>1506</v>
      </c>
      <c r="W175" s="23" t="s">
        <v>130</v>
      </c>
      <c r="X175" s="35"/>
      <c r="Y175" s="35"/>
      <c r="Z175" s="35"/>
      <c r="AA175" s="35"/>
      <c r="AB175" s="35"/>
      <c r="AC175" s="35"/>
      <c r="AD175" s="35"/>
      <c r="AE175" s="35"/>
      <c r="AF175" s="35"/>
      <c r="AG175" s="35"/>
      <c r="AH175" s="35"/>
    </row>
    <row r="176">
      <c r="A176" s="86" t="s">
        <v>1508</v>
      </c>
      <c r="B176" s="23" t="s">
        <v>1509</v>
      </c>
      <c r="C176" s="23" t="s">
        <v>42</v>
      </c>
      <c r="D176" s="245" t="s">
        <v>1502</v>
      </c>
      <c r="E176" s="21"/>
      <c r="F176" s="23" t="s">
        <v>61</v>
      </c>
      <c r="G176" s="23"/>
      <c r="H176" s="24"/>
      <c r="I176" s="24"/>
      <c r="J176" s="186"/>
      <c r="K176" s="110"/>
      <c r="L176" s="23" t="s">
        <v>79</v>
      </c>
      <c r="M176" s="163" t="s">
        <v>1511</v>
      </c>
      <c r="N176" s="163" t="s">
        <v>1512</v>
      </c>
      <c r="O176" s="35"/>
      <c r="P176" s="168" t="s">
        <v>58</v>
      </c>
      <c r="Q176" s="164"/>
      <c r="R176" s="164"/>
      <c r="S176" s="164"/>
      <c r="T176" s="164"/>
      <c r="U176" s="164"/>
      <c r="V176" s="35"/>
      <c r="W176" s="23" t="s">
        <v>130</v>
      </c>
      <c r="X176" s="35"/>
      <c r="Y176" s="35"/>
      <c r="Z176" s="35"/>
      <c r="AA176" s="35"/>
      <c r="AB176" s="35"/>
      <c r="AC176" s="35"/>
      <c r="AD176" s="35"/>
      <c r="AE176" s="35"/>
      <c r="AF176" s="35"/>
      <c r="AG176" s="35"/>
      <c r="AH176" s="35"/>
    </row>
    <row r="177">
      <c r="A177" s="246" t="s">
        <v>1517</v>
      </c>
      <c r="B177" s="247" t="s">
        <v>1518</v>
      </c>
      <c r="C177" s="23" t="s">
        <v>42</v>
      </c>
      <c r="D177" s="245" t="s">
        <v>1502</v>
      </c>
      <c r="E177" s="21"/>
      <c r="F177" s="23" t="s">
        <v>61</v>
      </c>
      <c r="G177" s="23"/>
      <c r="H177" s="24"/>
      <c r="I177" s="24"/>
      <c r="J177" s="186"/>
      <c r="K177" s="110"/>
      <c r="L177" s="23" t="s">
        <v>79</v>
      </c>
      <c r="M177" s="163" t="s">
        <v>1522</v>
      </c>
      <c r="N177" s="163" t="s">
        <v>1523</v>
      </c>
      <c r="O177" s="35"/>
      <c r="P177" s="168" t="s">
        <v>58</v>
      </c>
      <c r="Q177" s="164"/>
      <c r="R177" s="164"/>
      <c r="S177" s="164"/>
      <c r="T177" s="164"/>
      <c r="U177" s="164"/>
      <c r="V177" s="35"/>
      <c r="W177" s="23" t="s">
        <v>130</v>
      </c>
      <c r="X177" s="35"/>
      <c r="Y177" s="35"/>
      <c r="Z177" s="35"/>
      <c r="AA177" s="35"/>
      <c r="AB177" s="35"/>
      <c r="AC177" s="35"/>
      <c r="AD177" s="35"/>
      <c r="AE177" s="35"/>
      <c r="AF177" s="35"/>
      <c r="AG177" s="35"/>
      <c r="AH177" s="35"/>
    </row>
    <row r="178">
      <c r="A178" s="23" t="s">
        <v>1525</v>
      </c>
      <c r="B178" s="6" t="s">
        <v>1526</v>
      </c>
      <c r="C178" s="23" t="s">
        <v>42</v>
      </c>
      <c r="D178" s="163" t="s">
        <v>1527</v>
      </c>
      <c r="E178" s="169" t="s">
        <v>1528</v>
      </c>
      <c r="F178" s="23" t="s">
        <v>472</v>
      </c>
      <c r="G178" s="35"/>
      <c r="H178" s="24" t="s">
        <v>1529</v>
      </c>
      <c r="I178" s="24" t="s">
        <v>1530</v>
      </c>
      <c r="J178" s="85" t="s">
        <v>1531</v>
      </c>
      <c r="K178" s="110"/>
      <c r="L178" s="24" t="s">
        <v>52</v>
      </c>
      <c r="M178" s="163" t="s">
        <v>1532</v>
      </c>
      <c r="N178" s="163" t="s">
        <v>1533</v>
      </c>
      <c r="O178" s="23" t="s">
        <v>31</v>
      </c>
      <c r="P178" s="168" t="s">
        <v>58</v>
      </c>
      <c r="Q178" s="164"/>
      <c r="R178" s="164"/>
      <c r="S178" s="164"/>
      <c r="T178" s="168" t="s">
        <v>58</v>
      </c>
      <c r="U178" s="164"/>
      <c r="V178" s="35"/>
      <c r="W178" s="23" t="s">
        <v>63</v>
      </c>
      <c r="X178" s="35"/>
      <c r="Y178" s="35"/>
      <c r="Z178" s="35"/>
      <c r="AA178" s="35"/>
      <c r="AB178" s="35"/>
      <c r="AC178" s="35"/>
      <c r="AD178" s="35"/>
      <c r="AE178" s="35"/>
      <c r="AF178" s="35"/>
      <c r="AG178" s="35"/>
      <c r="AH178" s="35"/>
    </row>
    <row r="179">
      <c r="A179" s="23" t="s">
        <v>1534</v>
      </c>
      <c r="B179" s="6" t="s">
        <v>1535</v>
      </c>
      <c r="C179" s="23" t="s">
        <v>42</v>
      </c>
      <c r="D179" s="163" t="s">
        <v>1536</v>
      </c>
      <c r="E179" s="169" t="s">
        <v>1529</v>
      </c>
      <c r="F179" s="23"/>
      <c r="G179" s="23" t="s">
        <v>1537</v>
      </c>
      <c r="H179" s="24"/>
      <c r="I179" s="24"/>
      <c r="J179" s="167" t="s">
        <v>1538</v>
      </c>
      <c r="K179" s="110"/>
      <c r="L179" s="24" t="s">
        <v>52</v>
      </c>
      <c r="M179" s="79" t="s">
        <v>1539</v>
      </c>
      <c r="N179" s="163" t="s">
        <v>1540</v>
      </c>
      <c r="O179" s="23" t="s">
        <v>31</v>
      </c>
      <c r="P179" s="168" t="s">
        <v>58</v>
      </c>
      <c r="Q179" s="164"/>
      <c r="R179" s="164"/>
      <c r="S179" s="164"/>
      <c r="T179" s="33"/>
      <c r="U179" s="164"/>
      <c r="V179" s="35"/>
      <c r="W179" s="23" t="s">
        <v>63</v>
      </c>
      <c r="X179" s="35"/>
      <c r="Y179" s="35"/>
      <c r="Z179" s="35"/>
      <c r="AA179" s="35"/>
      <c r="AB179" s="35"/>
      <c r="AC179" s="35"/>
      <c r="AD179" s="35"/>
      <c r="AE179" s="35"/>
      <c r="AF179" s="35"/>
      <c r="AG179" s="35"/>
      <c r="AH179" s="35"/>
    </row>
    <row r="180">
      <c r="A180" s="23" t="s">
        <v>1541</v>
      </c>
      <c r="B180" s="248" t="s">
        <v>1542</v>
      </c>
      <c r="C180" s="23" t="s">
        <v>42</v>
      </c>
      <c r="D180" s="84" t="s">
        <v>321</v>
      </c>
      <c r="E180" s="21"/>
      <c r="F180" s="23" t="s">
        <v>61</v>
      </c>
      <c r="G180" s="23" t="s">
        <v>1543</v>
      </c>
      <c r="H180" s="24"/>
      <c r="I180" s="24"/>
      <c r="J180" s="85" t="s">
        <v>1544</v>
      </c>
      <c r="K180" s="110"/>
      <c r="L180" s="24" t="s">
        <v>52</v>
      </c>
      <c r="M180" s="249" t="s">
        <v>1545</v>
      </c>
      <c r="N180" s="163" t="s">
        <v>1546</v>
      </c>
      <c r="O180" s="23" t="s">
        <v>31</v>
      </c>
      <c r="P180" s="168" t="s">
        <v>58</v>
      </c>
      <c r="Q180" s="164"/>
      <c r="R180" s="164"/>
      <c r="S180" s="164"/>
      <c r="T180" s="33" t="s">
        <v>58</v>
      </c>
      <c r="U180" s="164"/>
      <c r="V180" s="35"/>
      <c r="W180" s="23" t="s">
        <v>63</v>
      </c>
      <c r="X180" s="35"/>
      <c r="Y180" s="35"/>
      <c r="Z180" s="35"/>
      <c r="AA180" s="35"/>
      <c r="AB180" s="35"/>
      <c r="AC180" s="35"/>
      <c r="AD180" s="35"/>
      <c r="AE180" s="35"/>
      <c r="AF180" s="35"/>
      <c r="AG180" s="35"/>
      <c r="AH180" s="35"/>
    </row>
    <row r="181">
      <c r="A181" s="23" t="s">
        <v>1547</v>
      </c>
      <c r="B181" s="248" t="s">
        <v>1548</v>
      </c>
      <c r="C181" s="23" t="s">
        <v>42</v>
      </c>
      <c r="D181" s="163" t="s">
        <v>1549</v>
      </c>
      <c r="E181" s="169" t="s">
        <v>1550</v>
      </c>
      <c r="F181" s="23"/>
      <c r="G181" s="35"/>
      <c r="H181" s="19" t="s">
        <v>1551</v>
      </c>
      <c r="I181" s="19" t="s">
        <v>1552</v>
      </c>
      <c r="J181" s="85" t="s">
        <v>1553</v>
      </c>
      <c r="K181" s="110"/>
      <c r="L181" s="23" t="s">
        <v>79</v>
      </c>
      <c r="M181" s="250" t="s">
        <v>1554</v>
      </c>
      <c r="N181" s="163" t="s">
        <v>1555</v>
      </c>
      <c r="O181" s="35"/>
      <c r="P181" s="168" t="s">
        <v>58</v>
      </c>
      <c r="Q181" s="164"/>
      <c r="R181" s="164"/>
      <c r="S181" s="164"/>
      <c r="T181" s="164"/>
      <c r="U181" s="164"/>
      <c r="V181" s="35"/>
      <c r="W181" s="23" t="s">
        <v>130</v>
      </c>
      <c r="X181" s="35"/>
      <c r="Y181" s="35"/>
      <c r="Z181" s="35"/>
      <c r="AA181" s="35"/>
      <c r="AB181" s="35"/>
      <c r="AC181" s="35"/>
      <c r="AD181" s="35"/>
      <c r="AE181" s="35"/>
      <c r="AF181" s="35"/>
      <c r="AG181" s="35"/>
      <c r="AH181" s="35"/>
    </row>
    <row r="182">
      <c r="A182" s="23" t="s">
        <v>1556</v>
      </c>
      <c r="B182" s="6" t="s">
        <v>1557</v>
      </c>
      <c r="C182" s="23" t="s">
        <v>42</v>
      </c>
      <c r="D182" s="163" t="s">
        <v>1558</v>
      </c>
      <c r="E182" s="21"/>
      <c r="F182" s="23" t="s">
        <v>61</v>
      </c>
      <c r="G182" s="35"/>
      <c r="H182" s="24"/>
      <c r="I182" s="24"/>
      <c r="J182" s="251" t="s">
        <v>1559</v>
      </c>
      <c r="K182" s="110"/>
      <c r="L182" s="24" t="s">
        <v>52</v>
      </c>
      <c r="M182" s="252" t="s">
        <v>1560</v>
      </c>
      <c r="N182" s="163" t="s">
        <v>1561</v>
      </c>
      <c r="O182" s="23" t="s">
        <v>31</v>
      </c>
      <c r="P182" s="168" t="s">
        <v>58</v>
      </c>
      <c r="Q182" s="164"/>
      <c r="R182" s="164"/>
      <c r="S182" s="164"/>
      <c r="T182" s="168" t="s">
        <v>58</v>
      </c>
      <c r="U182" s="164"/>
      <c r="V182" s="35"/>
      <c r="W182" s="23" t="s">
        <v>63</v>
      </c>
      <c r="X182" s="35"/>
      <c r="Y182" s="35"/>
      <c r="Z182" s="35"/>
      <c r="AA182" s="35"/>
      <c r="AB182" s="35"/>
      <c r="AC182" s="35"/>
      <c r="AD182" s="35"/>
      <c r="AE182" s="35"/>
      <c r="AF182" s="35"/>
      <c r="AG182" s="35"/>
      <c r="AH182" s="35"/>
    </row>
    <row r="183">
      <c r="A183" s="23" t="s">
        <v>1562</v>
      </c>
      <c r="B183" s="6" t="s">
        <v>1563</v>
      </c>
      <c r="C183" s="23" t="s">
        <v>42</v>
      </c>
      <c r="D183" s="163" t="s">
        <v>1564</v>
      </c>
      <c r="E183" s="169" t="s">
        <v>414</v>
      </c>
      <c r="F183" s="23" t="s">
        <v>231</v>
      </c>
      <c r="G183" s="23" t="s">
        <v>472</v>
      </c>
      <c r="H183" s="24"/>
      <c r="I183" s="24"/>
      <c r="J183" s="205" t="s">
        <v>1565</v>
      </c>
      <c r="K183" s="110"/>
      <c r="L183" s="24" t="s">
        <v>52</v>
      </c>
      <c r="M183" s="196" t="s">
        <v>1566</v>
      </c>
      <c r="N183" s="163" t="s">
        <v>1567</v>
      </c>
      <c r="O183" s="23" t="s">
        <v>31</v>
      </c>
      <c r="P183" s="168"/>
      <c r="Q183" s="168"/>
      <c r="R183" s="168" t="s">
        <v>58</v>
      </c>
      <c r="S183" s="168"/>
      <c r="T183" s="168"/>
      <c r="U183" s="168"/>
      <c r="V183" s="35"/>
      <c r="W183" s="23" t="s">
        <v>63</v>
      </c>
      <c r="X183" s="35"/>
      <c r="Y183" s="35"/>
      <c r="Z183" s="35"/>
      <c r="AA183" s="35"/>
      <c r="AB183" s="35"/>
      <c r="AC183" s="35"/>
      <c r="AD183" s="35"/>
      <c r="AE183" s="35"/>
      <c r="AF183" s="35"/>
      <c r="AG183" s="35"/>
      <c r="AH183" s="35"/>
    </row>
    <row r="184">
      <c r="A184" s="23" t="s">
        <v>1568</v>
      </c>
      <c r="B184" s="23" t="s">
        <v>1569</v>
      </c>
      <c r="C184" s="23" t="s">
        <v>42</v>
      </c>
      <c r="D184" s="163" t="s">
        <v>1570</v>
      </c>
      <c r="E184" s="169" t="s">
        <v>1571</v>
      </c>
      <c r="F184" s="35"/>
      <c r="G184" s="23"/>
      <c r="H184" s="24">
        <v>1.0</v>
      </c>
      <c r="I184" s="24" t="s">
        <v>378</v>
      </c>
      <c r="J184" s="186"/>
      <c r="K184" s="155" t="s">
        <v>1572</v>
      </c>
      <c r="L184" s="23" t="s">
        <v>79</v>
      </c>
      <c r="M184" s="163" t="s">
        <v>1573</v>
      </c>
      <c r="N184" s="163" t="s">
        <v>1574</v>
      </c>
      <c r="O184" s="35"/>
      <c r="P184" s="168" t="s">
        <v>58</v>
      </c>
      <c r="Q184" s="168"/>
      <c r="R184" s="168"/>
      <c r="S184" s="168"/>
      <c r="T184" s="168"/>
      <c r="U184" s="168"/>
      <c r="V184" s="35"/>
      <c r="W184" s="23" t="s">
        <v>130</v>
      </c>
      <c r="X184" s="35"/>
      <c r="Y184" s="35"/>
      <c r="Z184" s="35"/>
      <c r="AA184" s="35"/>
      <c r="AB184" s="35"/>
      <c r="AC184" s="35"/>
      <c r="AD184" s="35"/>
      <c r="AE184" s="35"/>
      <c r="AF184" s="35"/>
      <c r="AG184" s="35"/>
      <c r="AH184" s="35"/>
    </row>
    <row r="185">
      <c r="A185" s="86" t="s">
        <v>1575</v>
      </c>
      <c r="B185" s="6" t="s">
        <v>1576</v>
      </c>
      <c r="C185" s="23" t="s">
        <v>42</v>
      </c>
      <c r="D185" s="37" t="s">
        <v>1577</v>
      </c>
      <c r="F185" s="23" t="s">
        <v>61</v>
      </c>
      <c r="H185" s="24"/>
      <c r="I185" s="24"/>
      <c r="J185" s="253" t="s">
        <v>1578</v>
      </c>
      <c r="L185" s="23" t="s">
        <v>79</v>
      </c>
      <c r="M185" s="6" t="s">
        <v>1579</v>
      </c>
      <c r="N185" s="6" t="s">
        <v>1580</v>
      </c>
      <c r="P185" s="168" t="s">
        <v>58</v>
      </c>
      <c r="Q185" s="168"/>
      <c r="R185" s="168"/>
      <c r="S185" s="168"/>
      <c r="T185" s="168" t="s">
        <v>58</v>
      </c>
      <c r="U185" s="168"/>
      <c r="W185" s="6" t="s">
        <v>130</v>
      </c>
    </row>
    <row r="186">
      <c r="A186" s="23" t="s">
        <v>1581</v>
      </c>
      <c r="B186" s="6" t="s">
        <v>1582</v>
      </c>
      <c r="C186" s="23" t="s">
        <v>42</v>
      </c>
      <c r="D186" s="48" t="s">
        <v>1045</v>
      </c>
      <c r="E186" s="21"/>
      <c r="F186" s="23" t="s">
        <v>61</v>
      </c>
      <c r="G186" s="23"/>
      <c r="H186" s="24"/>
      <c r="I186" s="24"/>
      <c r="J186" s="253" t="s">
        <v>1583</v>
      </c>
      <c r="K186" s="110"/>
      <c r="L186" s="24" t="s">
        <v>52</v>
      </c>
      <c r="M186" s="163" t="s">
        <v>1584</v>
      </c>
      <c r="N186" s="163" t="s">
        <v>1585</v>
      </c>
      <c r="O186" s="23" t="s">
        <v>31</v>
      </c>
      <c r="P186" s="168" t="s">
        <v>58</v>
      </c>
      <c r="Q186" s="164"/>
      <c r="R186" s="164"/>
      <c r="S186" s="164"/>
      <c r="T186" s="164"/>
      <c r="U186" s="168" t="s">
        <v>378</v>
      </c>
      <c r="V186" s="35"/>
      <c r="W186" s="23" t="s">
        <v>63</v>
      </c>
      <c r="X186" s="35"/>
      <c r="Y186" s="35"/>
      <c r="Z186" s="35"/>
      <c r="AA186" s="35"/>
      <c r="AB186" s="35"/>
      <c r="AC186" s="35"/>
      <c r="AD186" s="35"/>
      <c r="AE186" s="35"/>
      <c r="AF186" s="35"/>
      <c r="AG186" s="35"/>
      <c r="AH186" s="35"/>
    </row>
    <row r="187">
      <c r="A187" s="37" t="s">
        <v>1586</v>
      </c>
      <c r="B187" s="40" t="s">
        <v>1587</v>
      </c>
      <c r="C187" s="23" t="s">
        <v>59</v>
      </c>
      <c r="D187" s="37" t="s">
        <v>1588</v>
      </c>
      <c r="E187" s="254"/>
      <c r="F187" s="255" t="s">
        <v>61</v>
      </c>
      <c r="G187" s="40"/>
      <c r="H187" s="24"/>
      <c r="I187" s="24"/>
      <c r="J187" s="256"/>
      <c r="K187" s="40"/>
      <c r="L187" s="255" t="s">
        <v>79</v>
      </c>
      <c r="M187" s="257"/>
      <c r="N187" s="257"/>
      <c r="O187" s="258"/>
      <c r="P187" s="259" t="s">
        <v>58</v>
      </c>
      <c r="Q187" s="260"/>
      <c r="R187" s="260"/>
      <c r="S187" s="260"/>
      <c r="T187" s="259" t="s">
        <v>58</v>
      </c>
      <c r="U187" s="260"/>
      <c r="V187" s="258"/>
      <c r="W187" s="255" t="s">
        <v>130</v>
      </c>
      <c r="X187" s="258"/>
      <c r="Y187" s="258"/>
      <c r="Z187" s="258"/>
      <c r="AA187" s="258"/>
      <c r="AB187" s="258"/>
      <c r="AC187" s="258"/>
      <c r="AD187" s="258"/>
      <c r="AE187" s="258"/>
      <c r="AF187" s="258"/>
      <c r="AG187" s="258"/>
      <c r="AH187" s="258"/>
    </row>
    <row r="188">
      <c r="A188" s="37" t="s">
        <v>1589</v>
      </c>
      <c r="B188" s="37" t="s">
        <v>1590</v>
      </c>
      <c r="C188" s="23" t="s">
        <v>59</v>
      </c>
      <c r="D188" s="37" t="s">
        <v>1588</v>
      </c>
      <c r="E188" s="254"/>
      <c r="F188" s="255" t="s">
        <v>61</v>
      </c>
      <c r="G188" s="40"/>
      <c r="H188" s="24"/>
      <c r="I188" s="24"/>
      <c r="J188" s="256"/>
      <c r="K188" s="40"/>
      <c r="L188" s="255" t="s">
        <v>79</v>
      </c>
      <c r="M188" s="40"/>
      <c r="N188" s="40"/>
      <c r="O188" s="40"/>
      <c r="P188" s="259" t="s">
        <v>58</v>
      </c>
      <c r="Q188" s="40"/>
      <c r="R188" s="40"/>
      <c r="S188" s="40"/>
      <c r="T188" s="259" t="s">
        <v>58</v>
      </c>
      <c r="U188" s="40"/>
      <c r="V188" s="255" t="s">
        <v>1591</v>
      </c>
      <c r="W188" s="255" t="s">
        <v>130</v>
      </c>
      <c r="X188" s="40"/>
      <c r="Y188" s="40"/>
      <c r="Z188" s="40"/>
      <c r="AA188" s="40"/>
      <c r="AB188" s="40"/>
      <c r="AC188" s="40"/>
      <c r="AD188" s="40"/>
      <c r="AE188" s="40"/>
      <c r="AF188" s="40"/>
      <c r="AG188" s="40"/>
      <c r="AH188" s="40"/>
    </row>
    <row r="189">
      <c r="A189" s="37" t="s">
        <v>1592</v>
      </c>
      <c r="B189" s="40" t="s">
        <v>1593</v>
      </c>
      <c r="C189" s="23" t="s">
        <v>59</v>
      </c>
      <c r="D189" s="37" t="s">
        <v>1588</v>
      </c>
      <c r="E189" s="254"/>
      <c r="F189" s="255" t="s">
        <v>61</v>
      </c>
      <c r="G189" s="40"/>
      <c r="H189" s="24"/>
      <c r="I189" s="24"/>
      <c r="J189" s="256"/>
      <c r="K189" s="261" t="s">
        <v>1594</v>
      </c>
      <c r="L189" s="255" t="s">
        <v>79</v>
      </c>
      <c r="M189" s="242" t="s">
        <v>1595</v>
      </c>
      <c r="N189" s="262" t="s">
        <v>1596</v>
      </c>
      <c r="O189" s="258"/>
      <c r="P189" s="260"/>
      <c r="Q189" s="259" t="s">
        <v>58</v>
      </c>
      <c r="R189" s="260"/>
      <c r="S189" s="260"/>
      <c r="T189" s="259" t="s">
        <v>58</v>
      </c>
      <c r="U189" s="260"/>
      <c r="V189" s="258"/>
      <c r="W189" s="255" t="s">
        <v>130</v>
      </c>
      <c r="X189" s="258"/>
      <c r="Y189" s="258"/>
      <c r="Z189" s="258"/>
      <c r="AA189" s="258"/>
      <c r="AB189" s="258"/>
      <c r="AC189" s="258"/>
      <c r="AD189" s="258"/>
      <c r="AE189" s="258"/>
      <c r="AF189" s="258"/>
      <c r="AG189" s="258"/>
      <c r="AH189" s="258"/>
    </row>
    <row r="190">
      <c r="A190" s="37" t="s">
        <v>1597</v>
      </c>
      <c r="B190" s="37" t="s">
        <v>1598</v>
      </c>
      <c r="C190" s="23" t="s">
        <v>59</v>
      </c>
      <c r="D190" s="37" t="s">
        <v>1588</v>
      </c>
      <c r="E190" s="254"/>
      <c r="F190" s="255" t="s">
        <v>61</v>
      </c>
      <c r="G190" s="40"/>
      <c r="H190" s="24"/>
      <c r="I190" s="24"/>
      <c r="J190" s="256"/>
      <c r="K190" s="40"/>
      <c r="L190" s="255" t="s">
        <v>79</v>
      </c>
      <c r="M190" s="257"/>
      <c r="N190" s="257"/>
      <c r="O190" s="258"/>
      <c r="P190" s="259" t="s">
        <v>58</v>
      </c>
      <c r="Q190" s="260"/>
      <c r="R190" s="260"/>
      <c r="S190" s="260"/>
      <c r="T190" s="259" t="s">
        <v>58</v>
      </c>
      <c r="U190" s="260"/>
      <c r="V190" s="258"/>
      <c r="W190" s="255" t="s">
        <v>130</v>
      </c>
      <c r="X190" s="258"/>
      <c r="Y190" s="258"/>
      <c r="Z190" s="258"/>
      <c r="AA190" s="258"/>
      <c r="AB190" s="258"/>
      <c r="AC190" s="258"/>
      <c r="AD190" s="258"/>
      <c r="AE190" s="258"/>
      <c r="AF190" s="258"/>
      <c r="AG190" s="258"/>
      <c r="AH190" s="258"/>
    </row>
    <row r="191">
      <c r="A191" s="37" t="s">
        <v>1599</v>
      </c>
      <c r="B191" s="40" t="s">
        <v>1600</v>
      </c>
      <c r="C191" s="23" t="s">
        <v>59</v>
      </c>
      <c r="D191" s="37" t="s">
        <v>1588</v>
      </c>
      <c r="E191" s="254"/>
      <c r="F191" s="255" t="s">
        <v>61</v>
      </c>
      <c r="G191" s="40"/>
      <c r="H191" s="24"/>
      <c r="I191" s="24"/>
      <c r="J191" s="256"/>
      <c r="K191" s="261" t="s">
        <v>1601</v>
      </c>
      <c r="L191" s="255" t="s">
        <v>79</v>
      </c>
      <c r="M191" s="242" t="s">
        <v>1602</v>
      </c>
      <c r="N191" s="242" t="s">
        <v>1603</v>
      </c>
      <c r="O191" s="258"/>
      <c r="P191" s="259" t="s">
        <v>58</v>
      </c>
      <c r="Q191" s="260"/>
      <c r="R191" s="260"/>
      <c r="S191" s="260"/>
      <c r="T191" s="260"/>
      <c r="U191" s="260"/>
      <c r="V191" s="255" t="s">
        <v>1591</v>
      </c>
      <c r="W191" s="255" t="s">
        <v>130</v>
      </c>
      <c r="X191" s="258"/>
      <c r="Y191" s="258"/>
      <c r="Z191" s="258"/>
      <c r="AA191" s="258"/>
      <c r="AB191" s="258"/>
      <c r="AC191" s="258"/>
      <c r="AD191" s="258"/>
      <c r="AE191" s="258"/>
      <c r="AF191" s="258"/>
      <c r="AG191" s="258"/>
      <c r="AH191" s="258"/>
    </row>
    <row r="192">
      <c r="A192" s="37" t="s">
        <v>1604</v>
      </c>
      <c r="B192" s="40" t="s">
        <v>1605</v>
      </c>
      <c r="C192" s="23" t="s">
        <v>59</v>
      </c>
      <c r="D192" s="37" t="s">
        <v>1588</v>
      </c>
      <c r="E192" s="254"/>
      <c r="F192" s="255" t="s">
        <v>61</v>
      </c>
      <c r="G192" s="40"/>
      <c r="H192" s="24"/>
      <c r="I192" s="24"/>
      <c r="J192" s="256"/>
      <c r="K192" s="40"/>
      <c r="L192" s="255" t="s">
        <v>79</v>
      </c>
      <c r="M192" s="257"/>
      <c r="N192" s="257"/>
      <c r="O192" s="258"/>
      <c r="P192" s="259" t="s">
        <v>58</v>
      </c>
      <c r="Q192" s="260"/>
      <c r="R192" s="260"/>
      <c r="S192" s="260"/>
      <c r="T192" s="259" t="s">
        <v>58</v>
      </c>
      <c r="U192" s="260"/>
      <c r="V192" s="258"/>
      <c r="W192" s="255" t="s">
        <v>130</v>
      </c>
      <c r="X192" s="258"/>
      <c r="Y192" s="258"/>
      <c r="Z192" s="258"/>
      <c r="AA192" s="258"/>
      <c r="AB192" s="258"/>
      <c r="AC192" s="258"/>
      <c r="AD192" s="258"/>
      <c r="AE192" s="258"/>
      <c r="AF192" s="258"/>
      <c r="AG192" s="258"/>
      <c r="AH192" s="258"/>
    </row>
    <row r="193">
      <c r="A193" s="37" t="s">
        <v>1606</v>
      </c>
      <c r="B193" s="37" t="s">
        <v>1607</v>
      </c>
      <c r="C193" s="23" t="s">
        <v>59</v>
      </c>
      <c r="D193" s="37" t="s">
        <v>1588</v>
      </c>
      <c r="E193" s="254"/>
      <c r="F193" s="255" t="s">
        <v>61</v>
      </c>
      <c r="G193" s="40"/>
      <c r="H193" s="24"/>
      <c r="I193" s="24"/>
      <c r="J193" s="256"/>
      <c r="K193" s="40"/>
      <c r="L193" s="255" t="s">
        <v>79</v>
      </c>
      <c r="M193" s="257"/>
      <c r="N193" s="257"/>
      <c r="O193" s="258"/>
      <c r="P193" s="260"/>
      <c r="Q193" s="260"/>
      <c r="R193" s="260"/>
      <c r="S193" s="260"/>
      <c r="T193" s="259" t="s">
        <v>58</v>
      </c>
      <c r="U193" s="260"/>
      <c r="V193" s="258"/>
      <c r="W193" s="255" t="s">
        <v>130</v>
      </c>
      <c r="X193" s="258"/>
      <c r="Y193" s="258"/>
      <c r="Z193" s="258"/>
      <c r="AA193" s="258"/>
      <c r="AB193" s="258"/>
      <c r="AC193" s="258"/>
      <c r="AD193" s="258"/>
      <c r="AE193" s="258"/>
      <c r="AF193" s="258"/>
      <c r="AG193" s="258"/>
      <c r="AH193" s="258"/>
    </row>
    <row r="194">
      <c r="A194" s="37" t="s">
        <v>1608</v>
      </c>
      <c r="B194" s="40" t="s">
        <v>1609</v>
      </c>
      <c r="C194" s="23" t="s">
        <v>59</v>
      </c>
      <c r="D194" s="37" t="s">
        <v>1588</v>
      </c>
      <c r="E194" s="254"/>
      <c r="F194" s="255" t="s">
        <v>61</v>
      </c>
      <c r="G194" s="40"/>
      <c r="H194" s="24"/>
      <c r="I194" s="24"/>
      <c r="J194" s="256"/>
      <c r="K194" s="40"/>
      <c r="L194" s="255" t="s">
        <v>79</v>
      </c>
      <c r="M194" s="257"/>
      <c r="N194" s="257"/>
      <c r="O194" s="258"/>
      <c r="P194" s="259" t="s">
        <v>58</v>
      </c>
      <c r="Q194" s="260"/>
      <c r="R194" s="260"/>
      <c r="S194" s="260"/>
      <c r="T194" s="260"/>
      <c r="U194" s="260"/>
      <c r="V194" s="258"/>
      <c r="W194" s="255" t="s">
        <v>130</v>
      </c>
      <c r="X194" s="258"/>
      <c r="Y194" s="258"/>
      <c r="Z194" s="258"/>
      <c r="AA194" s="258"/>
      <c r="AB194" s="258"/>
      <c r="AC194" s="258"/>
      <c r="AD194" s="258"/>
      <c r="AE194" s="258"/>
      <c r="AF194" s="258"/>
      <c r="AG194" s="258"/>
      <c r="AH194" s="258"/>
    </row>
    <row r="195">
      <c r="A195" s="37" t="s">
        <v>1610</v>
      </c>
      <c r="B195" s="40" t="s">
        <v>1611</v>
      </c>
      <c r="C195" s="23" t="s">
        <v>59</v>
      </c>
      <c r="D195" s="37" t="s">
        <v>1588</v>
      </c>
      <c r="E195" s="254"/>
      <c r="F195" s="255" t="s">
        <v>61</v>
      </c>
      <c r="G195" s="40"/>
      <c r="H195" s="24"/>
      <c r="I195" s="24"/>
      <c r="J195" s="256"/>
      <c r="K195" s="40"/>
      <c r="L195" s="255" t="s">
        <v>79</v>
      </c>
      <c r="M195" s="257"/>
      <c r="N195" s="257"/>
      <c r="O195" s="258"/>
      <c r="P195" s="259" t="s">
        <v>58</v>
      </c>
      <c r="Q195" s="260"/>
      <c r="R195" s="260"/>
      <c r="S195" s="260"/>
      <c r="T195" s="259" t="s">
        <v>58</v>
      </c>
      <c r="U195" s="260"/>
      <c r="V195" s="258"/>
      <c r="W195" s="255" t="s">
        <v>130</v>
      </c>
      <c r="X195" s="258"/>
      <c r="Y195" s="258"/>
      <c r="Z195" s="258"/>
      <c r="AA195" s="258"/>
      <c r="AB195" s="258"/>
      <c r="AC195" s="258"/>
      <c r="AD195" s="258"/>
      <c r="AE195" s="258"/>
      <c r="AF195" s="258"/>
      <c r="AG195" s="258"/>
      <c r="AH195" s="258"/>
    </row>
    <row r="196">
      <c r="A196" s="37" t="s">
        <v>1612</v>
      </c>
      <c r="B196" s="37" t="s">
        <v>1613</v>
      </c>
      <c r="C196" s="23" t="s">
        <v>59</v>
      </c>
      <c r="D196" s="37" t="s">
        <v>1588</v>
      </c>
      <c r="E196" s="254"/>
      <c r="F196" s="255" t="s">
        <v>61</v>
      </c>
      <c r="G196" s="40"/>
      <c r="H196" s="24"/>
      <c r="I196" s="24"/>
      <c r="J196" s="256"/>
      <c r="K196" s="40"/>
      <c r="L196" s="255" t="s">
        <v>79</v>
      </c>
      <c r="M196" s="257"/>
      <c r="N196" s="257"/>
      <c r="O196" s="258"/>
      <c r="P196" s="259" t="s">
        <v>58</v>
      </c>
      <c r="Q196" s="260"/>
      <c r="R196" s="260"/>
      <c r="S196" s="260"/>
      <c r="T196" s="259" t="s">
        <v>58</v>
      </c>
      <c r="U196" s="260"/>
      <c r="V196" s="258"/>
      <c r="W196" s="255" t="s">
        <v>130</v>
      </c>
      <c r="X196" s="258"/>
      <c r="Y196" s="258"/>
      <c r="Z196" s="258"/>
      <c r="AA196" s="258"/>
      <c r="AB196" s="258"/>
      <c r="AC196" s="258"/>
      <c r="AD196" s="258"/>
      <c r="AE196" s="258"/>
      <c r="AF196" s="258"/>
      <c r="AG196" s="258"/>
      <c r="AH196" s="258"/>
    </row>
    <row r="197">
      <c r="A197" s="37" t="s">
        <v>1614</v>
      </c>
      <c r="B197" s="37" t="s">
        <v>1615</v>
      </c>
      <c r="C197" s="23" t="s">
        <v>59</v>
      </c>
      <c r="D197" s="37" t="s">
        <v>1588</v>
      </c>
      <c r="E197" s="254"/>
      <c r="F197" s="255" t="s">
        <v>61</v>
      </c>
      <c r="G197" s="40"/>
      <c r="H197" s="24"/>
      <c r="I197" s="24"/>
      <c r="J197" s="256"/>
      <c r="K197" s="40"/>
      <c r="L197" s="255" t="s">
        <v>79</v>
      </c>
      <c r="M197" s="257"/>
      <c r="N197" s="257"/>
      <c r="O197" s="258"/>
      <c r="P197" s="260"/>
      <c r="Q197" s="260"/>
      <c r="R197" s="260"/>
      <c r="S197" s="260"/>
      <c r="T197" s="259" t="s">
        <v>58</v>
      </c>
      <c r="U197" s="260"/>
      <c r="V197" s="258"/>
      <c r="W197" s="255" t="s">
        <v>130</v>
      </c>
      <c r="X197" s="258"/>
      <c r="Y197" s="258"/>
      <c r="Z197" s="258"/>
      <c r="AA197" s="258"/>
      <c r="AB197" s="258"/>
      <c r="AC197" s="258"/>
      <c r="AD197" s="258"/>
      <c r="AE197" s="258"/>
      <c r="AF197" s="258"/>
      <c r="AG197" s="258"/>
      <c r="AH197" s="258"/>
    </row>
    <row r="198">
      <c r="A198" s="6" t="s">
        <v>1616</v>
      </c>
      <c r="B198" s="6" t="s">
        <v>1617</v>
      </c>
      <c r="C198" s="23" t="s">
        <v>42</v>
      </c>
      <c r="D198" s="6" t="s">
        <v>1618</v>
      </c>
      <c r="E198" s="6">
        <v>13.0</v>
      </c>
      <c r="F198" s="23"/>
      <c r="G198" s="6" t="s">
        <v>1619</v>
      </c>
      <c r="J198" s="253" t="s">
        <v>1620</v>
      </c>
      <c r="L198" s="24" t="s">
        <v>52</v>
      </c>
      <c r="M198" s="6" t="s">
        <v>1621</v>
      </c>
      <c r="N198" s="6" t="s">
        <v>1622</v>
      </c>
      <c r="O198" s="6" t="s">
        <v>31</v>
      </c>
      <c r="P198" s="25"/>
      <c r="Q198" s="26" t="s">
        <v>58</v>
      </c>
      <c r="R198" s="25"/>
      <c r="S198" s="25"/>
      <c r="T198" s="25"/>
      <c r="U198" s="25"/>
      <c r="W198" s="6" t="s">
        <v>332</v>
      </c>
    </row>
    <row r="199">
      <c r="A199" s="37" t="s">
        <v>1623</v>
      </c>
      <c r="B199" s="37" t="s">
        <v>1624</v>
      </c>
      <c r="C199" s="23" t="s">
        <v>59</v>
      </c>
      <c r="D199" s="37" t="s">
        <v>1625</v>
      </c>
      <c r="E199" s="254"/>
      <c r="F199" s="23" t="s">
        <v>61</v>
      </c>
      <c r="G199" s="40"/>
      <c r="H199" s="24"/>
      <c r="I199" s="24"/>
      <c r="J199" s="256"/>
      <c r="K199" s="40"/>
      <c r="L199" s="255" t="s">
        <v>79</v>
      </c>
      <c r="M199" s="257"/>
      <c r="N199" s="257"/>
      <c r="O199" s="258"/>
      <c r="P199" s="260"/>
      <c r="Q199" s="260"/>
      <c r="R199" s="260"/>
      <c r="S199" s="260"/>
      <c r="T199" s="259" t="s">
        <v>58</v>
      </c>
      <c r="U199" s="260"/>
      <c r="V199" s="258"/>
      <c r="W199" s="255" t="s">
        <v>220</v>
      </c>
      <c r="X199" s="258"/>
      <c r="Y199" s="258"/>
      <c r="Z199" s="258"/>
      <c r="AA199" s="258"/>
      <c r="AB199" s="258"/>
      <c r="AC199" s="258"/>
      <c r="AD199" s="258"/>
      <c r="AE199" s="258"/>
      <c r="AF199" s="258"/>
      <c r="AG199" s="258"/>
      <c r="AH199" s="258"/>
    </row>
    <row r="200">
      <c r="A200" s="37" t="s">
        <v>1626</v>
      </c>
      <c r="B200" s="37" t="s">
        <v>1627</v>
      </c>
      <c r="C200" s="23" t="s">
        <v>42</v>
      </c>
      <c r="D200" s="37" t="s">
        <v>1628</v>
      </c>
      <c r="E200" s="254"/>
      <c r="F200" s="255"/>
      <c r="G200" s="40"/>
      <c r="H200" s="19" t="s">
        <v>1629</v>
      </c>
      <c r="I200" s="19" t="s">
        <v>1630</v>
      </c>
      <c r="J200" s="263" t="s">
        <v>1631</v>
      </c>
      <c r="K200" s="40"/>
      <c r="L200" s="19" t="s">
        <v>79</v>
      </c>
      <c r="M200" s="242" t="s">
        <v>1632</v>
      </c>
      <c r="N200" s="242" t="s">
        <v>1633</v>
      </c>
      <c r="O200" s="258"/>
      <c r="P200" s="259" t="s">
        <v>58</v>
      </c>
      <c r="Q200" s="260"/>
      <c r="R200" s="260"/>
      <c r="S200" s="260"/>
      <c r="T200" s="259" t="s">
        <v>58</v>
      </c>
      <c r="U200" s="260"/>
      <c r="V200" s="258"/>
      <c r="W200" s="255" t="s">
        <v>130</v>
      </c>
      <c r="X200" s="258"/>
      <c r="Y200" s="258"/>
      <c r="Z200" s="258"/>
      <c r="AA200" s="258"/>
      <c r="AB200" s="258"/>
      <c r="AC200" s="258"/>
      <c r="AD200" s="258"/>
      <c r="AE200" s="258"/>
      <c r="AF200" s="258"/>
      <c r="AG200" s="258"/>
      <c r="AH200" s="258"/>
    </row>
    <row r="201">
      <c r="A201" s="37" t="s">
        <v>1634</v>
      </c>
      <c r="B201" s="40" t="s">
        <v>1635</v>
      </c>
      <c r="C201" s="23" t="s">
        <v>59</v>
      </c>
      <c r="D201" s="37" t="s">
        <v>1588</v>
      </c>
      <c r="E201" s="254"/>
      <c r="F201" s="255" t="s">
        <v>61</v>
      </c>
      <c r="G201" s="40"/>
      <c r="H201" s="24"/>
      <c r="I201" s="24"/>
      <c r="J201" s="256"/>
      <c r="K201" s="40"/>
      <c r="L201" s="255" t="s">
        <v>79</v>
      </c>
      <c r="M201" s="257"/>
      <c r="N201" s="257"/>
      <c r="O201" s="258"/>
      <c r="P201" s="260"/>
      <c r="Q201" s="260"/>
      <c r="R201" s="260"/>
      <c r="S201" s="260"/>
      <c r="T201" s="259" t="s">
        <v>58</v>
      </c>
      <c r="U201" s="260"/>
      <c r="V201" s="258"/>
      <c r="W201" s="255" t="s">
        <v>130</v>
      </c>
      <c r="X201" s="258"/>
      <c r="Y201" s="258"/>
      <c r="Z201" s="258"/>
      <c r="AA201" s="258"/>
      <c r="AB201" s="258"/>
      <c r="AC201" s="258"/>
      <c r="AD201" s="258"/>
      <c r="AE201" s="258"/>
      <c r="AF201" s="258"/>
      <c r="AG201" s="258"/>
      <c r="AH201" s="258"/>
    </row>
    <row r="202">
      <c r="A202" s="37" t="s">
        <v>1636</v>
      </c>
      <c r="B202" s="37" t="s">
        <v>1637</v>
      </c>
      <c r="C202" s="23" t="s">
        <v>59</v>
      </c>
      <c r="D202" s="37" t="s">
        <v>1638</v>
      </c>
      <c r="E202" s="264" t="s">
        <v>301</v>
      </c>
      <c r="F202" s="255" t="s">
        <v>472</v>
      </c>
      <c r="G202" s="40"/>
      <c r="H202" s="265">
        <v>233.0</v>
      </c>
      <c r="I202" s="265">
        <v>245.0</v>
      </c>
      <c r="J202" s="263" t="s">
        <v>1639</v>
      </c>
      <c r="K202" s="40"/>
      <c r="L202" s="258" t="s">
        <v>52</v>
      </c>
      <c r="M202" s="266" t="s">
        <v>1640</v>
      </c>
      <c r="N202" s="266" t="s">
        <v>1641</v>
      </c>
      <c r="O202" s="267" t="s">
        <v>56</v>
      </c>
      <c r="P202" s="268"/>
      <c r="Q202" s="269" t="s">
        <v>58</v>
      </c>
      <c r="R202" s="269" t="s">
        <v>58</v>
      </c>
      <c r="S202" s="268"/>
      <c r="T202" s="268"/>
      <c r="U202" s="268"/>
      <c r="V202" s="270"/>
      <c r="W202" s="267" t="s">
        <v>63</v>
      </c>
      <c r="X202" s="258"/>
      <c r="Y202" s="258"/>
      <c r="Z202" s="258"/>
      <c r="AA202" s="258"/>
      <c r="AB202" s="258"/>
      <c r="AC202" s="258"/>
      <c r="AD202" s="258"/>
      <c r="AE202" s="258"/>
      <c r="AF202" s="258"/>
      <c r="AG202" s="258"/>
      <c r="AH202" s="258"/>
    </row>
    <row r="203">
      <c r="A203" s="37" t="s">
        <v>1642</v>
      </c>
      <c r="B203" s="37" t="s">
        <v>1643</v>
      </c>
      <c r="C203" s="23" t="s">
        <v>59</v>
      </c>
      <c r="D203" s="163" t="s">
        <v>1644</v>
      </c>
      <c r="E203" s="264"/>
      <c r="F203" s="255"/>
      <c r="G203" s="37"/>
      <c r="H203" s="265">
        <v>216.0</v>
      </c>
      <c r="I203" s="265">
        <v>226.0</v>
      </c>
      <c r="J203" s="271" t="s">
        <v>1645</v>
      </c>
      <c r="K203" s="40"/>
      <c r="L203" s="255" t="s">
        <v>79</v>
      </c>
      <c r="M203" s="266" t="s">
        <v>1646</v>
      </c>
      <c r="N203" s="266" t="s">
        <v>1647</v>
      </c>
      <c r="O203" s="6"/>
      <c r="P203" s="259" t="s">
        <v>58</v>
      </c>
      <c r="Q203" s="269"/>
      <c r="R203" s="269"/>
      <c r="S203" s="268"/>
      <c r="T203" s="268"/>
      <c r="U203" s="268"/>
      <c r="V203" s="270"/>
      <c r="W203" s="255" t="s">
        <v>130</v>
      </c>
      <c r="X203" s="258"/>
      <c r="Y203" s="258"/>
      <c r="Z203" s="258"/>
      <c r="AA203" s="258"/>
      <c r="AB203" s="258"/>
      <c r="AC203" s="258"/>
      <c r="AD203" s="258"/>
      <c r="AE203" s="258"/>
      <c r="AF203" s="258"/>
      <c r="AG203" s="258"/>
      <c r="AH203" s="258"/>
    </row>
    <row r="204">
      <c r="A204" s="37" t="s">
        <v>1648</v>
      </c>
      <c r="B204" s="37" t="s">
        <v>1649</v>
      </c>
      <c r="C204" s="23" t="s">
        <v>59</v>
      </c>
      <c r="D204" s="163" t="s">
        <v>1650</v>
      </c>
      <c r="E204" s="264" t="s">
        <v>1651</v>
      </c>
      <c r="F204" s="255"/>
      <c r="G204" s="37"/>
      <c r="H204" s="265">
        <v>350.0</v>
      </c>
      <c r="I204" s="265">
        <v>366.0</v>
      </c>
      <c r="J204" s="263" t="s">
        <v>1652</v>
      </c>
      <c r="K204" s="40"/>
      <c r="L204" s="255" t="s">
        <v>79</v>
      </c>
      <c r="M204" s="266" t="s">
        <v>1653</v>
      </c>
      <c r="N204" s="266" t="s">
        <v>1654</v>
      </c>
      <c r="O204" s="6"/>
      <c r="P204" s="259"/>
      <c r="Q204" s="269" t="s">
        <v>58</v>
      </c>
      <c r="R204" s="269"/>
      <c r="S204" s="268"/>
      <c r="T204" s="268"/>
      <c r="U204" s="268"/>
      <c r="V204" s="270"/>
      <c r="W204" s="255" t="s">
        <v>130</v>
      </c>
      <c r="X204" s="258"/>
      <c r="Y204" s="258"/>
      <c r="Z204" s="258"/>
      <c r="AA204" s="258"/>
      <c r="AB204" s="258"/>
      <c r="AC204" s="258"/>
      <c r="AD204" s="258"/>
      <c r="AE204" s="258"/>
      <c r="AF204" s="258"/>
      <c r="AG204" s="258"/>
      <c r="AH204" s="258"/>
    </row>
    <row r="205">
      <c r="A205" s="37" t="s">
        <v>1655</v>
      </c>
      <c r="B205" s="37"/>
      <c r="C205" s="23" t="s">
        <v>59</v>
      </c>
      <c r="D205" s="37" t="s">
        <v>1656</v>
      </c>
      <c r="E205" s="264"/>
      <c r="F205" s="255" t="s">
        <v>61</v>
      </c>
      <c r="G205" s="37"/>
      <c r="H205" s="272"/>
      <c r="I205" s="272"/>
      <c r="J205" s="253" t="s">
        <v>1657</v>
      </c>
      <c r="K205" s="40"/>
      <c r="L205" s="255" t="s">
        <v>52</v>
      </c>
      <c r="M205" s="266" t="s">
        <v>1658</v>
      </c>
      <c r="N205" s="266" t="s">
        <v>1659</v>
      </c>
      <c r="O205" s="6"/>
      <c r="P205" s="259" t="s">
        <v>58</v>
      </c>
      <c r="Q205" s="269"/>
      <c r="R205" s="269"/>
      <c r="S205" s="268"/>
      <c r="T205" s="268"/>
      <c r="U205" s="268"/>
      <c r="V205" s="270"/>
      <c r="W205" s="267" t="s">
        <v>63</v>
      </c>
      <c r="X205" s="258"/>
      <c r="Y205" s="258"/>
      <c r="Z205" s="258"/>
      <c r="AA205" s="258"/>
      <c r="AB205" s="258"/>
      <c r="AC205" s="258"/>
      <c r="AD205" s="258"/>
      <c r="AE205" s="258"/>
      <c r="AF205" s="258"/>
      <c r="AG205" s="258"/>
      <c r="AH205" s="258"/>
    </row>
    <row r="206">
      <c r="A206" s="37" t="s">
        <v>1244</v>
      </c>
      <c r="B206" s="37" t="s">
        <v>1660</v>
      </c>
      <c r="C206" s="23" t="s">
        <v>59</v>
      </c>
      <c r="D206" s="37" t="s">
        <v>1656</v>
      </c>
      <c r="E206" s="264"/>
      <c r="F206" s="255" t="s">
        <v>61</v>
      </c>
      <c r="G206" s="37"/>
      <c r="H206" s="272"/>
      <c r="I206" s="272"/>
      <c r="J206" s="273" t="s">
        <v>1661</v>
      </c>
      <c r="K206" s="40"/>
      <c r="L206" s="255" t="s">
        <v>52</v>
      </c>
      <c r="M206" s="266" t="s">
        <v>1662</v>
      </c>
      <c r="N206" s="266" t="s">
        <v>1663</v>
      </c>
      <c r="O206" s="6"/>
      <c r="P206" s="259" t="s">
        <v>58</v>
      </c>
      <c r="Q206" s="269"/>
      <c r="R206" s="269"/>
      <c r="S206" s="268"/>
      <c r="T206" s="268"/>
      <c r="U206" s="268"/>
      <c r="V206" s="270"/>
      <c r="W206" s="267" t="s">
        <v>63</v>
      </c>
      <c r="X206" s="258"/>
      <c r="Y206" s="258"/>
      <c r="Z206" s="258"/>
      <c r="AA206" s="258"/>
      <c r="AB206" s="258"/>
      <c r="AC206" s="258"/>
      <c r="AD206" s="258"/>
      <c r="AE206" s="258"/>
      <c r="AF206" s="258"/>
      <c r="AG206" s="258"/>
      <c r="AH206" s="258"/>
    </row>
    <row r="207">
      <c r="A207" s="37" t="s">
        <v>1664</v>
      </c>
      <c r="B207" s="37" t="s">
        <v>1665</v>
      </c>
      <c r="C207" s="23" t="s">
        <v>59</v>
      </c>
      <c r="D207" s="37" t="s">
        <v>1666</v>
      </c>
      <c r="E207" s="264"/>
      <c r="F207" s="6">
        <v>21.0</v>
      </c>
      <c r="H207" s="255" t="s">
        <v>1667</v>
      </c>
      <c r="I207" s="37">
        <v>270.0</v>
      </c>
      <c r="J207" s="253" t="s">
        <v>1668</v>
      </c>
      <c r="K207" s="40"/>
      <c r="L207" s="255" t="s">
        <v>52</v>
      </c>
      <c r="M207" s="266" t="s">
        <v>1669</v>
      </c>
      <c r="N207" s="266" t="s">
        <v>1670</v>
      </c>
      <c r="O207" s="6" t="s">
        <v>31</v>
      </c>
      <c r="P207" s="259" t="s">
        <v>58</v>
      </c>
      <c r="Q207" s="269"/>
      <c r="R207" s="269"/>
      <c r="S207" s="268"/>
      <c r="T207" s="268"/>
      <c r="U207" s="268"/>
      <c r="V207" s="270"/>
      <c r="W207" s="267" t="s">
        <v>63</v>
      </c>
      <c r="X207" s="258"/>
      <c r="Y207" s="258"/>
      <c r="Z207" s="258"/>
      <c r="AA207" s="258"/>
      <c r="AB207" s="258"/>
      <c r="AC207" s="258"/>
      <c r="AD207" s="258"/>
      <c r="AE207" s="258"/>
      <c r="AF207" s="258"/>
      <c r="AG207" s="258"/>
      <c r="AH207" s="258"/>
    </row>
    <row r="208">
      <c r="A208" s="37" t="s">
        <v>1671</v>
      </c>
      <c r="B208" s="37" t="s">
        <v>1672</v>
      </c>
      <c r="C208" s="23" t="s">
        <v>42</v>
      </c>
      <c r="D208" s="37" t="s">
        <v>1673</v>
      </c>
      <c r="E208" s="264" t="s">
        <v>419</v>
      </c>
      <c r="F208" s="255"/>
      <c r="G208" s="37">
        <v>1691414.0</v>
      </c>
      <c r="H208" s="272"/>
      <c r="I208" s="272"/>
      <c r="J208" s="263" t="s">
        <v>1674</v>
      </c>
      <c r="K208" s="40"/>
      <c r="L208" s="258" t="s">
        <v>52</v>
      </c>
      <c r="M208" s="266" t="s">
        <v>1675</v>
      </c>
      <c r="N208" s="266" t="s">
        <v>1676</v>
      </c>
      <c r="O208" s="6" t="s">
        <v>31</v>
      </c>
      <c r="P208" s="259"/>
      <c r="Q208" s="269"/>
      <c r="R208" s="269"/>
      <c r="S208" s="268"/>
      <c r="T208" s="259" t="s">
        <v>58</v>
      </c>
      <c r="U208" s="268"/>
      <c r="V208" s="270"/>
      <c r="W208" s="267" t="s">
        <v>63</v>
      </c>
      <c r="X208" s="258"/>
      <c r="Y208" s="258"/>
      <c r="Z208" s="258"/>
      <c r="AA208" s="258"/>
      <c r="AB208" s="258"/>
      <c r="AC208" s="258"/>
      <c r="AD208" s="258"/>
      <c r="AE208" s="258"/>
      <c r="AF208" s="258"/>
      <c r="AG208" s="258"/>
      <c r="AH208" s="258"/>
    </row>
    <row r="209">
      <c r="A209" s="37" t="s">
        <v>1677</v>
      </c>
      <c r="B209" s="37" t="s">
        <v>1678</v>
      </c>
      <c r="C209" s="23" t="s">
        <v>59</v>
      </c>
      <c r="D209" s="37" t="s">
        <v>294</v>
      </c>
      <c r="E209" s="264" t="s">
        <v>1679</v>
      </c>
      <c r="F209" s="255"/>
      <c r="G209" s="37">
        <v>101087.0</v>
      </c>
      <c r="H209" s="272"/>
      <c r="I209" s="272"/>
      <c r="J209" s="271" t="s">
        <v>1680</v>
      </c>
      <c r="K209" s="40"/>
      <c r="L209" s="258" t="s">
        <v>52</v>
      </c>
      <c r="M209" s="266" t="s">
        <v>1681</v>
      </c>
      <c r="N209" s="266" t="s">
        <v>1682</v>
      </c>
      <c r="O209" s="6" t="s">
        <v>31</v>
      </c>
      <c r="P209" s="259" t="s">
        <v>58</v>
      </c>
      <c r="Q209" s="269"/>
      <c r="R209" s="269"/>
      <c r="S209" s="268"/>
      <c r="T209" s="259" t="s">
        <v>58</v>
      </c>
      <c r="U209" s="268"/>
      <c r="V209" s="270"/>
      <c r="W209" s="267" t="s">
        <v>63</v>
      </c>
      <c r="X209" s="258"/>
      <c r="Y209" s="258"/>
      <c r="Z209" s="258"/>
      <c r="AA209" s="258"/>
      <c r="AB209" s="258"/>
      <c r="AC209" s="258"/>
      <c r="AD209" s="258"/>
      <c r="AE209" s="258"/>
      <c r="AF209" s="258"/>
      <c r="AG209" s="258"/>
      <c r="AH209" s="258"/>
    </row>
    <row r="210">
      <c r="A210" s="274" t="s">
        <v>1059</v>
      </c>
      <c r="B210" s="37" t="s">
        <v>1683</v>
      </c>
      <c r="C210" s="23" t="s">
        <v>59</v>
      </c>
      <c r="D210" s="37" t="s">
        <v>1656</v>
      </c>
      <c r="E210" s="264"/>
      <c r="F210" s="255" t="s">
        <v>61</v>
      </c>
      <c r="G210" s="37"/>
      <c r="H210" s="272"/>
      <c r="I210" s="272"/>
      <c r="J210" s="263" t="s">
        <v>1684</v>
      </c>
      <c r="K210" s="40"/>
      <c r="L210" s="258" t="s">
        <v>52</v>
      </c>
      <c r="M210" s="266" t="s">
        <v>1685</v>
      </c>
      <c r="N210" s="266" t="s">
        <v>1686</v>
      </c>
      <c r="O210" s="6" t="s">
        <v>31</v>
      </c>
      <c r="P210" s="259" t="s">
        <v>58</v>
      </c>
      <c r="Q210" s="269"/>
      <c r="R210" s="269"/>
      <c r="S210" s="268"/>
      <c r="T210" s="268"/>
      <c r="U210" s="268"/>
      <c r="V210" s="270"/>
      <c r="W210" s="267" t="s">
        <v>332</v>
      </c>
      <c r="X210" s="258"/>
      <c r="Y210" s="258"/>
      <c r="Z210" s="258"/>
      <c r="AA210" s="258"/>
      <c r="AB210" s="258"/>
      <c r="AC210" s="258"/>
      <c r="AD210" s="258"/>
      <c r="AE210" s="258"/>
      <c r="AF210" s="258"/>
      <c r="AG210" s="258"/>
      <c r="AH210" s="258"/>
    </row>
    <row r="211">
      <c r="A211" s="37" t="s">
        <v>1244</v>
      </c>
      <c r="B211" s="37" t="s">
        <v>1687</v>
      </c>
      <c r="C211" s="23" t="s">
        <v>59</v>
      </c>
      <c r="D211" s="37" t="s">
        <v>1212</v>
      </c>
      <c r="E211" s="264" t="s">
        <v>314</v>
      </c>
      <c r="F211" s="255" t="s">
        <v>836</v>
      </c>
      <c r="G211" s="37"/>
      <c r="H211" s="272"/>
      <c r="I211" s="272"/>
      <c r="J211" s="263" t="s">
        <v>1688</v>
      </c>
      <c r="K211" s="40"/>
      <c r="L211" s="258" t="s">
        <v>52</v>
      </c>
      <c r="M211" s="266" t="s">
        <v>1689</v>
      </c>
      <c r="N211" s="266" t="s">
        <v>1690</v>
      </c>
      <c r="O211" s="6" t="s">
        <v>31</v>
      </c>
      <c r="P211" s="259" t="s">
        <v>58</v>
      </c>
      <c r="Q211" s="269"/>
      <c r="R211" s="269"/>
      <c r="S211" s="268"/>
      <c r="T211" s="268"/>
      <c r="U211" s="268"/>
      <c r="V211" s="270"/>
      <c r="W211" s="267" t="s">
        <v>63</v>
      </c>
      <c r="X211" s="258"/>
      <c r="Y211" s="258"/>
      <c r="Z211" s="258"/>
      <c r="AA211" s="258"/>
      <c r="AB211" s="258"/>
      <c r="AC211" s="258"/>
      <c r="AD211" s="258"/>
      <c r="AE211" s="258"/>
      <c r="AF211" s="258"/>
      <c r="AG211" s="258"/>
      <c r="AH211" s="258"/>
    </row>
    <row r="212">
      <c r="A212" s="37" t="s">
        <v>1691</v>
      </c>
      <c r="B212" s="37" t="s">
        <v>1692</v>
      </c>
      <c r="C212" s="23" t="s">
        <v>59</v>
      </c>
      <c r="D212" s="37" t="s">
        <v>1693</v>
      </c>
      <c r="E212" s="264" t="s">
        <v>355</v>
      </c>
      <c r="F212" s="255" t="s">
        <v>178</v>
      </c>
      <c r="G212" s="37" t="s">
        <v>1694</v>
      </c>
      <c r="H212" s="272"/>
      <c r="I212" s="272"/>
      <c r="J212" s="6" t="s">
        <v>1695</v>
      </c>
      <c r="K212" s="40"/>
      <c r="L212" s="258" t="s">
        <v>52</v>
      </c>
      <c r="M212" s="266" t="s">
        <v>1696</v>
      </c>
      <c r="N212" s="266" t="s">
        <v>1697</v>
      </c>
      <c r="O212" s="6" t="s">
        <v>31</v>
      </c>
      <c r="P212" s="259" t="s">
        <v>58</v>
      </c>
      <c r="Q212" s="269"/>
      <c r="R212" s="269"/>
      <c r="S212" s="268"/>
      <c r="T212" s="269" t="s">
        <v>58</v>
      </c>
      <c r="U212" s="268"/>
      <c r="V212" s="270"/>
      <c r="W212" s="267" t="s">
        <v>63</v>
      </c>
      <c r="X212" s="258"/>
      <c r="Y212" s="258"/>
      <c r="Z212" s="258"/>
      <c r="AA212" s="258"/>
      <c r="AB212" s="258"/>
      <c r="AC212" s="258"/>
      <c r="AD212" s="258"/>
      <c r="AE212" s="258"/>
      <c r="AF212" s="258"/>
      <c r="AG212" s="258"/>
      <c r="AH212" s="258"/>
    </row>
    <row r="213">
      <c r="A213" s="23" t="s">
        <v>1174</v>
      </c>
      <c r="B213" s="37" t="s">
        <v>1698</v>
      </c>
      <c r="C213" s="23" t="s">
        <v>59</v>
      </c>
      <c r="D213" s="37" t="s">
        <v>1699</v>
      </c>
      <c r="E213" s="264" t="s">
        <v>540</v>
      </c>
      <c r="F213" s="255"/>
      <c r="G213" s="37">
        <v>101130.0</v>
      </c>
      <c r="H213" s="272"/>
      <c r="I213" s="272"/>
      <c r="J213" s="263" t="s">
        <v>1700</v>
      </c>
      <c r="K213" s="40"/>
      <c r="L213" s="258" t="s">
        <v>52</v>
      </c>
      <c r="M213" s="266" t="s">
        <v>1701</v>
      </c>
      <c r="N213" s="266" t="s">
        <v>1702</v>
      </c>
      <c r="O213" s="6" t="s">
        <v>31</v>
      </c>
      <c r="P213" s="259" t="s">
        <v>58</v>
      </c>
      <c r="Q213" s="269"/>
      <c r="R213" s="269"/>
      <c r="S213" s="268"/>
      <c r="T213" s="259" t="s">
        <v>58</v>
      </c>
      <c r="U213" s="268"/>
      <c r="V213" s="270"/>
      <c r="W213" s="267" t="s">
        <v>63</v>
      </c>
      <c r="X213" s="258"/>
      <c r="Y213" s="258"/>
      <c r="Z213" s="258"/>
      <c r="AA213" s="258"/>
      <c r="AB213" s="258"/>
      <c r="AC213" s="258"/>
      <c r="AD213" s="258"/>
      <c r="AE213" s="258"/>
      <c r="AF213" s="258"/>
      <c r="AG213" s="258"/>
      <c r="AH213" s="258"/>
    </row>
    <row r="214">
      <c r="A214" s="37" t="s">
        <v>1186</v>
      </c>
      <c r="B214" s="37" t="s">
        <v>1703</v>
      </c>
      <c r="C214" s="23" t="s">
        <v>59</v>
      </c>
      <c r="D214" s="37" t="s">
        <v>1699</v>
      </c>
      <c r="E214" s="264" t="s">
        <v>540</v>
      </c>
      <c r="F214" s="255"/>
      <c r="G214" s="37">
        <v>101038.0</v>
      </c>
      <c r="H214" s="272"/>
      <c r="I214" s="272"/>
      <c r="J214" s="263" t="s">
        <v>1704</v>
      </c>
      <c r="K214" s="40"/>
      <c r="L214" s="258" t="s">
        <v>52</v>
      </c>
      <c r="M214" s="266" t="s">
        <v>1705</v>
      </c>
      <c r="N214" s="266" t="s">
        <v>1706</v>
      </c>
      <c r="O214" s="6" t="s">
        <v>31</v>
      </c>
      <c r="P214" s="259" t="s">
        <v>58</v>
      </c>
      <c r="Q214" s="269"/>
      <c r="R214" s="269"/>
      <c r="S214" s="268"/>
      <c r="T214" s="268"/>
      <c r="U214" s="268"/>
      <c r="V214" s="270"/>
      <c r="W214" s="267" t="s">
        <v>63</v>
      </c>
      <c r="X214" s="258"/>
      <c r="Y214" s="258"/>
      <c r="Z214" s="258"/>
      <c r="AA214" s="258"/>
      <c r="AB214" s="258"/>
      <c r="AC214" s="258"/>
      <c r="AD214" s="258"/>
      <c r="AE214" s="258"/>
      <c r="AF214" s="258"/>
      <c r="AG214" s="258"/>
      <c r="AH214" s="258"/>
    </row>
    <row r="215">
      <c r="A215" s="37" t="s">
        <v>1707</v>
      </c>
      <c r="B215" s="37" t="s">
        <v>1708</v>
      </c>
      <c r="C215" s="23" t="s">
        <v>59</v>
      </c>
      <c r="D215" s="37" t="s">
        <v>1709</v>
      </c>
      <c r="E215" s="264"/>
      <c r="F215" s="255" t="s">
        <v>61</v>
      </c>
      <c r="G215" s="37"/>
      <c r="H215" s="272"/>
      <c r="I215" s="272"/>
      <c r="J215" s="263" t="s">
        <v>1710</v>
      </c>
      <c r="K215" s="40"/>
      <c r="L215" s="258" t="s">
        <v>52</v>
      </c>
      <c r="M215" s="266" t="s">
        <v>1711</v>
      </c>
      <c r="N215" s="266" t="s">
        <v>1712</v>
      </c>
      <c r="O215" s="6" t="s">
        <v>31</v>
      </c>
      <c r="P215" s="259"/>
      <c r="Q215" s="269"/>
      <c r="R215" s="269"/>
      <c r="S215" s="268"/>
      <c r="T215" s="268"/>
      <c r="U215" s="268"/>
      <c r="V215" s="270"/>
      <c r="W215" s="267" t="s">
        <v>332</v>
      </c>
      <c r="X215" s="258"/>
      <c r="Y215" s="258"/>
      <c r="Z215" s="258"/>
      <c r="AA215" s="258"/>
      <c r="AB215" s="258"/>
      <c r="AC215" s="258"/>
      <c r="AD215" s="258"/>
      <c r="AE215" s="258"/>
      <c r="AF215" s="258"/>
      <c r="AG215" s="258"/>
      <c r="AH215" s="258"/>
    </row>
    <row r="216">
      <c r="A216" s="37" t="s">
        <v>1713</v>
      </c>
      <c r="B216" s="37" t="s">
        <v>1714</v>
      </c>
      <c r="C216" s="23" t="s">
        <v>59</v>
      </c>
      <c r="D216" s="6" t="s">
        <v>1715</v>
      </c>
      <c r="E216" s="264"/>
      <c r="F216" s="255" t="s">
        <v>61</v>
      </c>
      <c r="G216" s="37"/>
      <c r="H216" s="272"/>
      <c r="I216" s="272"/>
      <c r="J216" s="271" t="s">
        <v>1716</v>
      </c>
      <c r="K216" s="40"/>
      <c r="L216" s="258" t="s">
        <v>52</v>
      </c>
      <c r="M216" s="266" t="s">
        <v>1717</v>
      </c>
      <c r="N216" s="266"/>
      <c r="O216" s="6" t="s">
        <v>31</v>
      </c>
      <c r="P216" s="259"/>
      <c r="Q216" s="269"/>
      <c r="R216" s="269"/>
      <c r="S216" s="268"/>
      <c r="T216" s="268"/>
      <c r="U216" s="268"/>
      <c r="V216" s="270"/>
      <c r="W216" s="267" t="s">
        <v>63</v>
      </c>
      <c r="X216" s="258"/>
      <c r="Y216" s="258"/>
      <c r="Z216" s="258"/>
      <c r="AA216" s="258"/>
      <c r="AB216" s="258"/>
      <c r="AC216" s="258"/>
      <c r="AD216" s="258"/>
      <c r="AE216" s="258"/>
      <c r="AF216" s="258"/>
      <c r="AG216" s="258"/>
      <c r="AH216" s="258"/>
    </row>
    <row r="217">
      <c r="A217" s="37" t="s">
        <v>1718</v>
      </c>
      <c r="B217" s="37" t="s">
        <v>1719</v>
      </c>
      <c r="C217" s="23" t="s">
        <v>59</v>
      </c>
      <c r="D217" s="6" t="s">
        <v>1720</v>
      </c>
      <c r="E217" s="264"/>
      <c r="F217" s="255" t="s">
        <v>61</v>
      </c>
      <c r="G217" s="37"/>
      <c r="H217" s="272"/>
      <c r="I217" s="272"/>
      <c r="J217" s="6" t="s">
        <v>1721</v>
      </c>
      <c r="K217" s="40"/>
      <c r="L217" s="258" t="s">
        <v>52</v>
      </c>
      <c r="M217" s="266" t="s">
        <v>1722</v>
      </c>
      <c r="N217" s="266" t="s">
        <v>1723</v>
      </c>
      <c r="O217" s="6" t="s">
        <v>31</v>
      </c>
      <c r="P217" s="259" t="s">
        <v>58</v>
      </c>
      <c r="Q217" s="269"/>
      <c r="R217" s="269"/>
      <c r="S217" s="268"/>
      <c r="T217" s="268"/>
      <c r="U217" s="268"/>
      <c r="V217" s="270"/>
      <c r="W217" s="267" t="s">
        <v>63</v>
      </c>
      <c r="X217" s="258"/>
      <c r="Y217" s="258"/>
      <c r="Z217" s="258"/>
      <c r="AA217" s="258"/>
      <c r="AB217" s="258"/>
      <c r="AC217" s="258"/>
      <c r="AD217" s="258"/>
      <c r="AE217" s="258"/>
      <c r="AF217" s="258"/>
      <c r="AG217" s="258"/>
      <c r="AH217" s="258"/>
    </row>
    <row r="218">
      <c r="A218" s="23" t="s">
        <v>55</v>
      </c>
      <c r="B218" s="37" t="s">
        <v>1724</v>
      </c>
      <c r="C218" s="23" t="s">
        <v>59</v>
      </c>
      <c r="D218" s="37" t="s">
        <v>1693</v>
      </c>
      <c r="E218" s="264" t="s">
        <v>355</v>
      </c>
      <c r="F218" s="255" t="s">
        <v>420</v>
      </c>
      <c r="G218" s="37" t="s">
        <v>1725</v>
      </c>
      <c r="H218" s="272"/>
      <c r="I218" s="272"/>
      <c r="J218" s="6" t="s">
        <v>1726</v>
      </c>
      <c r="K218" s="40"/>
      <c r="L218" s="258" t="s">
        <v>52</v>
      </c>
      <c r="M218" s="266" t="s">
        <v>1727</v>
      </c>
      <c r="N218" s="266" t="s">
        <v>1728</v>
      </c>
      <c r="O218" s="6" t="s">
        <v>31</v>
      </c>
      <c r="P218" s="259" t="s">
        <v>58</v>
      </c>
      <c r="Q218" s="269"/>
      <c r="R218" s="269"/>
      <c r="S218" s="268"/>
      <c r="T218" s="259" t="s">
        <v>58</v>
      </c>
      <c r="U218" s="269">
        <v>4.0</v>
      </c>
      <c r="V218" s="270"/>
      <c r="W218" s="267" t="s">
        <v>63</v>
      </c>
      <c r="X218" s="258"/>
      <c r="Y218" s="258"/>
      <c r="Z218" s="258"/>
      <c r="AA218" s="258"/>
      <c r="AB218" s="258"/>
      <c r="AC218" s="258"/>
      <c r="AD218" s="258"/>
      <c r="AE218" s="258"/>
      <c r="AF218" s="258"/>
      <c r="AG218" s="258"/>
      <c r="AH218" s="258"/>
    </row>
    <row r="219">
      <c r="A219" s="37" t="s">
        <v>1729</v>
      </c>
      <c r="B219" s="37" t="s">
        <v>1730</v>
      </c>
      <c r="C219" s="23" t="s">
        <v>59</v>
      </c>
      <c r="D219" s="37" t="s">
        <v>1731</v>
      </c>
      <c r="E219" s="264"/>
      <c r="F219" s="255" t="s">
        <v>61</v>
      </c>
      <c r="G219" s="37"/>
      <c r="H219" s="272"/>
      <c r="I219" s="272"/>
      <c r="J219" s="263" t="s">
        <v>1732</v>
      </c>
      <c r="K219" s="40"/>
      <c r="L219" s="258" t="s">
        <v>52</v>
      </c>
      <c r="M219" s="266" t="s">
        <v>1733</v>
      </c>
      <c r="N219" s="266" t="s">
        <v>1734</v>
      </c>
      <c r="O219" s="6" t="s">
        <v>31</v>
      </c>
      <c r="P219" s="259"/>
      <c r="Q219" s="259" t="s">
        <v>58</v>
      </c>
      <c r="R219" s="269"/>
      <c r="S219" s="268"/>
      <c r="T219" s="268"/>
      <c r="U219" s="268"/>
      <c r="V219" s="270"/>
      <c r="W219" s="267" t="s">
        <v>332</v>
      </c>
      <c r="X219" s="258"/>
      <c r="Y219" s="258"/>
      <c r="Z219" s="258"/>
      <c r="AA219" s="258"/>
      <c r="AB219" s="258"/>
      <c r="AC219" s="258"/>
      <c r="AD219" s="258"/>
      <c r="AE219" s="258"/>
      <c r="AF219" s="258"/>
      <c r="AG219" s="258"/>
      <c r="AH219" s="258"/>
    </row>
    <row r="220">
      <c r="A220" s="37" t="s">
        <v>1735</v>
      </c>
      <c r="B220" s="37" t="s">
        <v>1736</v>
      </c>
      <c r="C220" s="23" t="s">
        <v>59</v>
      </c>
      <c r="D220" s="274" t="s">
        <v>1246</v>
      </c>
      <c r="E220" s="264"/>
      <c r="F220" s="255" t="s">
        <v>61</v>
      </c>
      <c r="G220" s="37"/>
      <c r="H220" s="272"/>
      <c r="I220" s="272"/>
      <c r="J220" s="263" t="s">
        <v>1737</v>
      </c>
      <c r="K220" s="40"/>
      <c r="L220" s="258" t="s">
        <v>52</v>
      </c>
      <c r="M220" s="266" t="s">
        <v>1738</v>
      </c>
      <c r="N220" s="266" t="s">
        <v>1739</v>
      </c>
      <c r="O220" s="6" t="s">
        <v>31</v>
      </c>
      <c r="P220" s="259" t="s">
        <v>58</v>
      </c>
      <c r="Q220" s="269"/>
      <c r="R220" s="269"/>
      <c r="S220" s="268"/>
      <c r="T220" s="259" t="s">
        <v>58</v>
      </c>
      <c r="U220" s="268"/>
      <c r="V220" s="270"/>
      <c r="W220" s="267" t="s">
        <v>63</v>
      </c>
      <c r="X220" s="258"/>
      <c r="Y220" s="258"/>
      <c r="Z220" s="258"/>
      <c r="AA220" s="258"/>
      <c r="AB220" s="258"/>
      <c r="AC220" s="258"/>
      <c r="AD220" s="258"/>
      <c r="AE220" s="258"/>
      <c r="AF220" s="258"/>
      <c r="AG220" s="258"/>
      <c r="AH220" s="258"/>
    </row>
    <row r="221">
      <c r="A221" s="37" t="s">
        <v>1740</v>
      </c>
      <c r="B221" s="6" t="s">
        <v>1741</v>
      </c>
      <c r="C221" s="23" t="s">
        <v>59</v>
      </c>
      <c r="D221" s="6" t="s">
        <v>1742</v>
      </c>
      <c r="E221" s="264" t="s">
        <v>414</v>
      </c>
      <c r="F221" s="255" t="s">
        <v>1743</v>
      </c>
      <c r="G221" s="37">
        <v>5.0</v>
      </c>
      <c r="H221" s="272"/>
      <c r="I221" s="272"/>
      <c r="J221" s="263" t="s">
        <v>1744</v>
      </c>
      <c r="K221" s="40"/>
      <c r="L221" s="258" t="s">
        <v>52</v>
      </c>
      <c r="M221" s="266" t="s">
        <v>1745</v>
      </c>
      <c r="N221" s="266" t="s">
        <v>1746</v>
      </c>
      <c r="O221" s="6" t="s">
        <v>56</v>
      </c>
      <c r="P221" s="259"/>
      <c r="Q221" s="269"/>
      <c r="R221" s="269"/>
      <c r="S221" s="268"/>
      <c r="T221" s="259" t="s">
        <v>58</v>
      </c>
      <c r="U221" s="268"/>
      <c r="V221" s="270"/>
      <c r="W221" s="267" t="s">
        <v>63</v>
      </c>
      <c r="X221" s="258"/>
      <c r="Y221" s="258"/>
      <c r="Z221" s="258"/>
      <c r="AA221" s="258"/>
      <c r="AB221" s="258"/>
      <c r="AC221" s="258"/>
      <c r="AD221" s="258"/>
      <c r="AE221" s="258"/>
      <c r="AF221" s="258"/>
      <c r="AG221" s="258"/>
      <c r="AH221" s="258"/>
    </row>
    <row r="222">
      <c r="A222" s="37" t="s">
        <v>1747</v>
      </c>
      <c r="B222" s="37" t="s">
        <v>1748</v>
      </c>
      <c r="C222" s="23" t="s">
        <v>59</v>
      </c>
      <c r="D222" s="37" t="s">
        <v>1749</v>
      </c>
      <c r="E222" s="264" t="s">
        <v>1750</v>
      </c>
      <c r="F222" s="255"/>
      <c r="G222" s="37"/>
      <c r="H222" s="265">
        <v>469.0</v>
      </c>
      <c r="I222" s="265">
        <v>478.0</v>
      </c>
      <c r="J222" s="263" t="s">
        <v>1751</v>
      </c>
      <c r="K222" s="40"/>
      <c r="L222" s="255" t="s">
        <v>79</v>
      </c>
      <c r="M222" s="266" t="s">
        <v>1752</v>
      </c>
      <c r="N222" s="266" t="s">
        <v>1753</v>
      </c>
      <c r="O222" s="6"/>
      <c r="P222" s="259"/>
      <c r="Q222" s="269"/>
      <c r="R222" s="269"/>
      <c r="S222" s="268"/>
      <c r="T222" s="259" t="s">
        <v>58</v>
      </c>
      <c r="U222" s="268"/>
      <c r="V222" s="270"/>
      <c r="W222" s="255" t="s">
        <v>130</v>
      </c>
      <c r="X222" s="258"/>
      <c r="Y222" s="258"/>
      <c r="Z222" s="258"/>
      <c r="AA222" s="258"/>
      <c r="AB222" s="258"/>
      <c r="AC222" s="258"/>
      <c r="AD222" s="258"/>
      <c r="AE222" s="258"/>
      <c r="AF222" s="258"/>
      <c r="AG222" s="258"/>
      <c r="AH222" s="258"/>
    </row>
    <row r="223">
      <c r="A223" s="37" t="s">
        <v>1754</v>
      </c>
      <c r="B223" s="37" t="s">
        <v>1755</v>
      </c>
      <c r="C223" s="23" t="s">
        <v>59</v>
      </c>
      <c r="D223" s="37" t="s">
        <v>1749</v>
      </c>
      <c r="E223" s="264" t="s">
        <v>1756</v>
      </c>
      <c r="F223" s="255"/>
      <c r="G223" s="37"/>
      <c r="H223" s="265">
        <v>515.0</v>
      </c>
      <c r="I223" s="265">
        <v>530.0</v>
      </c>
      <c r="J223" s="263" t="s">
        <v>1757</v>
      </c>
      <c r="K223" s="40"/>
      <c r="L223" s="255" t="s">
        <v>79</v>
      </c>
      <c r="M223" s="266" t="s">
        <v>1758</v>
      </c>
      <c r="N223" s="266" t="s">
        <v>1759</v>
      </c>
      <c r="O223" s="6"/>
      <c r="P223" s="259" t="s">
        <v>58</v>
      </c>
      <c r="Q223" s="269"/>
      <c r="R223" s="269"/>
      <c r="S223" s="268"/>
      <c r="T223" s="259" t="s">
        <v>58</v>
      </c>
      <c r="U223" s="268"/>
      <c r="V223" s="267" t="s">
        <v>1760</v>
      </c>
      <c r="W223" s="255" t="s">
        <v>130</v>
      </c>
      <c r="X223" s="258"/>
      <c r="Y223" s="258"/>
      <c r="Z223" s="258"/>
      <c r="AA223" s="258"/>
      <c r="AB223" s="258"/>
      <c r="AC223" s="258"/>
      <c r="AD223" s="258"/>
      <c r="AE223" s="258"/>
      <c r="AF223" s="258"/>
      <c r="AG223" s="258"/>
      <c r="AH223" s="258"/>
    </row>
    <row r="224">
      <c r="A224" s="37" t="s">
        <v>1575</v>
      </c>
      <c r="B224" s="37" t="s">
        <v>1761</v>
      </c>
      <c r="C224" s="23" t="s">
        <v>59</v>
      </c>
      <c r="D224" s="37" t="s">
        <v>1762</v>
      </c>
      <c r="E224" s="254"/>
      <c r="F224" s="255" t="s">
        <v>61</v>
      </c>
      <c r="G224" s="40"/>
      <c r="H224" s="272"/>
      <c r="I224" s="272"/>
      <c r="J224" s="263" t="s">
        <v>1763</v>
      </c>
      <c r="K224" s="40"/>
      <c r="L224" s="255" t="s">
        <v>217</v>
      </c>
      <c r="M224" s="266" t="s">
        <v>1764</v>
      </c>
      <c r="N224" s="266" t="s">
        <v>1765</v>
      </c>
      <c r="P224" s="268"/>
      <c r="Q224" s="268"/>
      <c r="R224" s="268"/>
      <c r="S224" s="268"/>
      <c r="T224" s="269" t="s">
        <v>58</v>
      </c>
      <c r="U224" s="268"/>
      <c r="V224" s="270"/>
      <c r="W224" s="79" t="s">
        <v>220</v>
      </c>
      <c r="X224" s="270"/>
      <c r="Y224" s="270"/>
      <c r="Z224" s="270"/>
      <c r="AA224" s="270"/>
      <c r="AB224" s="270"/>
      <c r="AC224" s="270"/>
      <c r="AD224" s="270"/>
      <c r="AE224" s="270"/>
      <c r="AF224" s="270"/>
      <c r="AG224" s="270"/>
      <c r="AH224" s="258"/>
    </row>
    <row r="225">
      <c r="A225" s="37" t="s">
        <v>1766</v>
      </c>
      <c r="B225" s="37" t="s">
        <v>1767</v>
      </c>
      <c r="C225" s="23" t="s">
        <v>59</v>
      </c>
      <c r="D225" s="37" t="s">
        <v>470</v>
      </c>
      <c r="E225" s="264"/>
      <c r="F225" s="255" t="s">
        <v>61</v>
      </c>
      <c r="G225" s="37"/>
      <c r="H225" s="272"/>
      <c r="I225" s="272"/>
      <c r="K225" s="40"/>
      <c r="L225" s="258" t="s">
        <v>52</v>
      </c>
      <c r="M225" s="266"/>
      <c r="N225" s="266"/>
      <c r="O225" s="6" t="s">
        <v>360</v>
      </c>
      <c r="P225" s="259"/>
      <c r="Q225" s="269" t="s">
        <v>58</v>
      </c>
      <c r="R225" s="269"/>
      <c r="S225" s="268"/>
      <c r="T225" s="269" t="s">
        <v>58</v>
      </c>
      <c r="U225" s="268"/>
      <c r="V225" s="270"/>
      <c r="W225" s="267" t="s">
        <v>63</v>
      </c>
      <c r="X225" s="258"/>
      <c r="Y225" s="258"/>
      <c r="Z225" s="258"/>
      <c r="AA225" s="258"/>
      <c r="AB225" s="258"/>
      <c r="AC225" s="258"/>
      <c r="AD225" s="258"/>
      <c r="AE225" s="258"/>
      <c r="AF225" s="258"/>
      <c r="AG225" s="258"/>
      <c r="AH225" s="258"/>
    </row>
    <row r="226">
      <c r="A226" s="37" t="s">
        <v>1768</v>
      </c>
      <c r="B226" s="37" t="s">
        <v>1769</v>
      </c>
      <c r="C226" s="23" t="s">
        <v>59</v>
      </c>
      <c r="D226" s="37" t="s">
        <v>1770</v>
      </c>
      <c r="E226" s="264"/>
      <c r="F226" s="255" t="s">
        <v>61</v>
      </c>
      <c r="G226" s="37"/>
      <c r="H226" s="272"/>
      <c r="I226" s="272"/>
      <c r="J226" s="263" t="s">
        <v>1771</v>
      </c>
      <c r="K226" s="40"/>
      <c r="L226" s="258" t="s">
        <v>52</v>
      </c>
      <c r="M226" s="266" t="s">
        <v>1772</v>
      </c>
      <c r="N226" s="266" t="s">
        <v>1773</v>
      </c>
      <c r="O226" s="6"/>
      <c r="P226" s="259" t="s">
        <v>58</v>
      </c>
      <c r="Q226" s="269"/>
      <c r="R226" s="269"/>
      <c r="S226" s="268"/>
      <c r="T226" s="269" t="s">
        <v>58</v>
      </c>
      <c r="U226" s="268"/>
      <c r="V226" s="270"/>
      <c r="W226" s="267" t="s">
        <v>63</v>
      </c>
      <c r="X226" s="258"/>
      <c r="Y226" s="258"/>
      <c r="Z226" s="258"/>
      <c r="AA226" s="258"/>
      <c r="AB226" s="258"/>
      <c r="AC226" s="258"/>
      <c r="AD226" s="258"/>
      <c r="AE226" s="258"/>
      <c r="AF226" s="258"/>
      <c r="AG226" s="258"/>
      <c r="AH226" s="258"/>
    </row>
    <row r="227">
      <c r="A227" s="6" t="s">
        <v>1774</v>
      </c>
      <c r="B227" s="6" t="s">
        <v>1775</v>
      </c>
      <c r="C227" s="23" t="s">
        <v>59</v>
      </c>
      <c r="D227" s="6" t="s">
        <v>1776</v>
      </c>
      <c r="E227" s="264"/>
      <c r="F227" s="255" t="s">
        <v>61</v>
      </c>
      <c r="G227" s="37"/>
      <c r="H227" s="272"/>
      <c r="I227" s="272"/>
      <c r="J227" s="6" t="s">
        <v>1777</v>
      </c>
      <c r="K227" s="40"/>
      <c r="L227" s="258" t="s">
        <v>52</v>
      </c>
      <c r="M227" s="266"/>
      <c r="N227" s="266"/>
      <c r="O227" s="6" t="s">
        <v>31</v>
      </c>
      <c r="P227" s="259"/>
      <c r="Q227" s="269"/>
      <c r="R227" s="269" t="s">
        <v>58</v>
      </c>
      <c r="S227" s="268"/>
      <c r="T227" s="269"/>
      <c r="U227" s="268"/>
      <c r="V227" s="270"/>
      <c r="W227" s="267" t="s">
        <v>332</v>
      </c>
      <c r="X227" s="258"/>
      <c r="Y227" s="258"/>
      <c r="Z227" s="258"/>
      <c r="AA227" s="258"/>
      <c r="AB227" s="258"/>
      <c r="AC227" s="258"/>
      <c r="AD227" s="258"/>
      <c r="AE227" s="258"/>
      <c r="AF227" s="258"/>
      <c r="AG227" s="258"/>
      <c r="AH227" s="258"/>
    </row>
    <row r="228">
      <c r="A228" s="37" t="s">
        <v>1778</v>
      </c>
      <c r="B228" s="37" t="s">
        <v>1779</v>
      </c>
      <c r="C228" s="23" t="s">
        <v>59</v>
      </c>
      <c r="D228" s="37" t="s">
        <v>1780</v>
      </c>
      <c r="E228" s="264"/>
      <c r="F228" s="255" t="s">
        <v>61</v>
      </c>
      <c r="G228" s="37"/>
      <c r="H228" s="272"/>
      <c r="I228" s="272"/>
      <c r="J228" s="271" t="s">
        <v>1781</v>
      </c>
      <c r="K228" s="40"/>
      <c r="L228" s="258" t="s">
        <v>52</v>
      </c>
      <c r="M228" s="266"/>
      <c r="N228" s="266"/>
      <c r="O228" s="6" t="s">
        <v>31</v>
      </c>
      <c r="P228" s="259" t="s">
        <v>58</v>
      </c>
      <c r="Q228" s="269"/>
      <c r="R228" s="269"/>
      <c r="S228" s="268"/>
      <c r="T228" s="259" t="s">
        <v>58</v>
      </c>
      <c r="U228" s="268"/>
      <c r="V228" s="270"/>
      <c r="W228" s="267" t="s">
        <v>63</v>
      </c>
      <c r="X228" s="258"/>
      <c r="Y228" s="258"/>
      <c r="Z228" s="258"/>
      <c r="AA228" s="258"/>
      <c r="AB228" s="258"/>
      <c r="AC228" s="258"/>
      <c r="AD228" s="258"/>
      <c r="AE228" s="258"/>
      <c r="AF228" s="258"/>
      <c r="AG228" s="258"/>
      <c r="AH228" s="258"/>
    </row>
    <row r="229">
      <c r="A229" s="37" t="s">
        <v>1782</v>
      </c>
      <c r="B229" s="37" t="s">
        <v>1784</v>
      </c>
      <c r="C229" s="23" t="s">
        <v>59</v>
      </c>
      <c r="D229" s="37" t="s">
        <v>1786</v>
      </c>
      <c r="E229" s="264"/>
      <c r="F229" s="255" t="s">
        <v>61</v>
      </c>
      <c r="G229" s="37"/>
      <c r="H229" s="272"/>
      <c r="I229" s="272"/>
      <c r="J229" s="276" t="s">
        <v>1787</v>
      </c>
      <c r="K229" s="40"/>
      <c r="L229" s="255" t="s">
        <v>217</v>
      </c>
      <c r="M229" s="266" t="s">
        <v>1795</v>
      </c>
      <c r="N229" s="266" t="s">
        <v>1797</v>
      </c>
      <c r="O229" s="6"/>
      <c r="P229" s="259" t="s">
        <v>58</v>
      </c>
      <c r="Q229" s="269"/>
      <c r="R229" s="269"/>
      <c r="S229" s="268"/>
      <c r="T229" s="269" t="s">
        <v>58</v>
      </c>
      <c r="U229" s="268"/>
      <c r="V229" s="270"/>
      <c r="W229" s="79" t="s">
        <v>220</v>
      </c>
      <c r="X229" s="258"/>
      <c r="Y229" s="258"/>
      <c r="Z229" s="258"/>
      <c r="AA229" s="258"/>
      <c r="AB229" s="258"/>
      <c r="AC229" s="258"/>
      <c r="AD229" s="258"/>
      <c r="AE229" s="258"/>
      <c r="AF229" s="258"/>
      <c r="AG229" s="258"/>
      <c r="AH229" s="258"/>
    </row>
    <row r="230">
      <c r="A230" s="274" t="s">
        <v>1360</v>
      </c>
      <c r="B230" s="37" t="s">
        <v>1801</v>
      </c>
      <c r="C230" s="23" t="s">
        <v>59</v>
      </c>
      <c r="D230" s="37" t="s">
        <v>1802</v>
      </c>
      <c r="E230" s="264"/>
      <c r="F230" s="255"/>
      <c r="G230" s="37"/>
      <c r="H230" s="265">
        <v>51.0</v>
      </c>
      <c r="I230" s="265">
        <v>61.0</v>
      </c>
      <c r="J230" s="263" t="s">
        <v>1806</v>
      </c>
      <c r="K230" s="40"/>
      <c r="L230" s="255" t="s">
        <v>79</v>
      </c>
      <c r="M230" s="266" t="s">
        <v>1809</v>
      </c>
      <c r="N230" s="266"/>
      <c r="O230" s="6"/>
      <c r="P230" s="259" t="s">
        <v>58</v>
      </c>
      <c r="Q230" s="269"/>
      <c r="R230" s="269"/>
      <c r="S230" s="268"/>
      <c r="T230" s="269"/>
      <c r="U230" s="268"/>
      <c r="V230" s="270"/>
      <c r="W230" s="255" t="s">
        <v>130</v>
      </c>
      <c r="X230" s="258"/>
      <c r="Y230" s="258"/>
      <c r="Z230" s="258"/>
      <c r="AA230" s="258"/>
      <c r="AB230" s="258"/>
      <c r="AC230" s="258"/>
      <c r="AD230" s="258"/>
      <c r="AE230" s="258"/>
      <c r="AF230" s="258"/>
      <c r="AG230" s="258"/>
      <c r="AH230" s="258"/>
    </row>
    <row r="231">
      <c r="A231" s="37" t="s">
        <v>1812</v>
      </c>
      <c r="B231" s="37" t="s">
        <v>1813</v>
      </c>
      <c r="C231" s="23" t="s">
        <v>59</v>
      </c>
      <c r="D231" s="37" t="s">
        <v>1802</v>
      </c>
      <c r="E231" s="264"/>
      <c r="F231" s="255"/>
      <c r="G231" s="37"/>
      <c r="H231" s="265">
        <v>34.0</v>
      </c>
      <c r="I231" s="265">
        <v>50.0</v>
      </c>
      <c r="J231" s="263" t="s">
        <v>1817</v>
      </c>
      <c r="K231" s="40"/>
      <c r="L231" s="255" t="s">
        <v>79</v>
      </c>
      <c r="M231" s="266" t="s">
        <v>1818</v>
      </c>
      <c r="N231" s="266"/>
      <c r="O231" s="6"/>
      <c r="P231" s="259" t="s">
        <v>58</v>
      </c>
      <c r="Q231" s="269"/>
      <c r="R231" s="269"/>
      <c r="S231" s="268"/>
      <c r="T231" s="269"/>
      <c r="U231" s="268"/>
      <c r="V231" s="270"/>
      <c r="W231" s="255" t="s">
        <v>130</v>
      </c>
      <c r="X231" s="258"/>
      <c r="Y231" s="258"/>
      <c r="Z231" s="258"/>
      <c r="AA231" s="258"/>
      <c r="AB231" s="258"/>
      <c r="AC231" s="258"/>
      <c r="AD231" s="258"/>
      <c r="AE231" s="258"/>
      <c r="AF231" s="258"/>
      <c r="AG231" s="258"/>
      <c r="AH231" s="258"/>
    </row>
    <row r="232">
      <c r="A232" s="37" t="s">
        <v>1819</v>
      </c>
      <c r="B232" s="37" t="s">
        <v>1820</v>
      </c>
      <c r="C232" s="23" t="s">
        <v>59</v>
      </c>
      <c r="D232" s="37" t="s">
        <v>1802</v>
      </c>
      <c r="E232" s="264"/>
      <c r="F232" s="255"/>
      <c r="G232" s="37"/>
      <c r="H232" s="265">
        <v>18.0</v>
      </c>
      <c r="I232" s="265">
        <v>33.0</v>
      </c>
      <c r="J232" s="263" t="s">
        <v>1821</v>
      </c>
      <c r="K232" s="40"/>
      <c r="L232" s="255" t="s">
        <v>79</v>
      </c>
      <c r="M232" s="266" t="s">
        <v>1822</v>
      </c>
      <c r="N232" s="266"/>
      <c r="O232" s="6"/>
      <c r="P232" s="259" t="s">
        <v>58</v>
      </c>
      <c r="Q232" s="269" t="s">
        <v>58</v>
      </c>
      <c r="R232" s="269"/>
      <c r="S232" s="268"/>
      <c r="T232" s="269"/>
      <c r="U232" s="268"/>
      <c r="V232" s="270"/>
      <c r="W232" s="255" t="s">
        <v>130</v>
      </c>
      <c r="X232" s="258"/>
      <c r="Y232" s="258"/>
      <c r="Z232" s="258"/>
      <c r="AA232" s="258"/>
      <c r="AB232" s="258"/>
      <c r="AC232" s="258"/>
      <c r="AD232" s="258"/>
      <c r="AE232" s="258"/>
      <c r="AF232" s="258"/>
      <c r="AG232" s="258"/>
      <c r="AH232" s="258"/>
    </row>
    <row r="233">
      <c r="A233" s="37" t="s">
        <v>1823</v>
      </c>
      <c r="B233" s="37" t="s">
        <v>1824</v>
      </c>
      <c r="C233" s="23" t="s">
        <v>59</v>
      </c>
      <c r="D233" s="37" t="s">
        <v>1802</v>
      </c>
      <c r="E233" s="264"/>
      <c r="F233" s="255"/>
      <c r="G233" s="37"/>
      <c r="H233" s="265">
        <v>138.0</v>
      </c>
      <c r="I233" s="265">
        <v>150.0</v>
      </c>
      <c r="J233" s="263" t="s">
        <v>1825</v>
      </c>
      <c r="K233" s="40"/>
      <c r="L233" s="255" t="s">
        <v>79</v>
      </c>
      <c r="M233" s="266" t="s">
        <v>1826</v>
      </c>
      <c r="N233" s="266"/>
      <c r="O233" s="6"/>
      <c r="P233" s="259" t="s">
        <v>58</v>
      </c>
      <c r="Q233" s="269" t="s">
        <v>58</v>
      </c>
      <c r="R233" s="269"/>
      <c r="S233" s="268"/>
      <c r="T233" s="269"/>
      <c r="U233" s="268"/>
      <c r="V233" s="270"/>
      <c r="W233" s="255" t="s">
        <v>130</v>
      </c>
      <c r="X233" s="258"/>
      <c r="Y233" s="258"/>
      <c r="Z233" s="258"/>
      <c r="AA233" s="258"/>
      <c r="AB233" s="258"/>
      <c r="AC233" s="258"/>
      <c r="AD233" s="258"/>
      <c r="AE233" s="258"/>
      <c r="AF233" s="258"/>
      <c r="AG233" s="258"/>
      <c r="AH233" s="258"/>
    </row>
    <row r="234">
      <c r="A234" s="86" t="s">
        <v>1827</v>
      </c>
      <c r="B234" s="37" t="s">
        <v>1828</v>
      </c>
      <c r="C234" s="23" t="s">
        <v>59</v>
      </c>
      <c r="D234" s="37" t="s">
        <v>1802</v>
      </c>
      <c r="E234" s="264"/>
      <c r="F234" s="255"/>
      <c r="G234" s="37"/>
      <c r="H234" s="265">
        <v>3.0</v>
      </c>
      <c r="I234" s="265">
        <v>17.0</v>
      </c>
      <c r="J234" s="263" t="s">
        <v>1829</v>
      </c>
      <c r="K234" s="40"/>
      <c r="L234" s="255" t="s">
        <v>79</v>
      </c>
      <c r="M234" s="266" t="s">
        <v>1830</v>
      </c>
      <c r="N234" s="266"/>
      <c r="O234" s="6"/>
      <c r="P234" s="259" t="s">
        <v>58</v>
      </c>
      <c r="Q234" s="269"/>
      <c r="R234" s="269"/>
      <c r="S234" s="268"/>
      <c r="T234" s="269"/>
      <c r="U234" s="268"/>
      <c r="V234" s="270"/>
      <c r="W234" s="255" t="s">
        <v>130</v>
      </c>
      <c r="X234" s="258"/>
      <c r="Y234" s="258"/>
      <c r="Z234" s="258"/>
      <c r="AA234" s="258"/>
      <c r="AB234" s="258"/>
      <c r="AC234" s="258"/>
      <c r="AD234" s="258"/>
      <c r="AE234" s="258"/>
      <c r="AF234" s="258"/>
      <c r="AG234" s="258"/>
      <c r="AH234" s="258"/>
    </row>
    <row r="235">
      <c r="A235" s="274" t="s">
        <v>1831</v>
      </c>
      <c r="B235" s="37" t="s">
        <v>1832</v>
      </c>
      <c r="C235" s="23" t="s">
        <v>59</v>
      </c>
      <c r="D235" s="37" t="s">
        <v>1833</v>
      </c>
      <c r="E235" s="264"/>
      <c r="F235" s="255" t="s">
        <v>61</v>
      </c>
      <c r="G235" s="37"/>
      <c r="H235" s="272"/>
      <c r="I235" s="272"/>
      <c r="J235" s="263" t="s">
        <v>1834</v>
      </c>
      <c r="K235" s="40"/>
      <c r="L235" s="258" t="s">
        <v>52</v>
      </c>
      <c r="M235" s="266" t="s">
        <v>1835</v>
      </c>
      <c r="N235" s="266"/>
      <c r="O235" s="6" t="s">
        <v>360</v>
      </c>
      <c r="P235" s="259" t="s">
        <v>58</v>
      </c>
      <c r="Q235" s="269"/>
      <c r="R235" s="269"/>
      <c r="S235" s="268"/>
      <c r="T235" s="269"/>
      <c r="U235" s="268"/>
      <c r="V235" s="270"/>
      <c r="W235" s="267" t="s">
        <v>63</v>
      </c>
      <c r="X235" s="258"/>
      <c r="Y235" s="258"/>
      <c r="Z235" s="258"/>
      <c r="AA235" s="258"/>
      <c r="AB235" s="258"/>
      <c r="AC235" s="258"/>
      <c r="AD235" s="258"/>
      <c r="AE235" s="258"/>
      <c r="AF235" s="258"/>
      <c r="AG235" s="258"/>
      <c r="AH235" s="258"/>
    </row>
    <row r="236">
      <c r="A236" s="37" t="s">
        <v>1836</v>
      </c>
      <c r="B236" s="37" t="s">
        <v>1837</v>
      </c>
      <c r="C236" s="23" t="s">
        <v>59</v>
      </c>
      <c r="D236" s="37" t="s">
        <v>1838</v>
      </c>
      <c r="E236" s="264"/>
      <c r="F236" s="255"/>
      <c r="G236" s="37"/>
      <c r="H236" s="265">
        <v>491.0</v>
      </c>
      <c r="I236" s="265">
        <v>495.0</v>
      </c>
      <c r="J236" s="263" t="s">
        <v>1839</v>
      </c>
      <c r="K236" s="40"/>
      <c r="L236" s="255" t="s">
        <v>79</v>
      </c>
      <c r="M236" s="266" t="s">
        <v>1840</v>
      </c>
      <c r="N236" s="266"/>
      <c r="O236" s="6"/>
      <c r="P236" s="259" t="s">
        <v>58</v>
      </c>
      <c r="Q236" s="269"/>
      <c r="R236" s="269"/>
      <c r="S236" s="268"/>
      <c r="T236" s="259" t="s">
        <v>58</v>
      </c>
      <c r="U236" s="268"/>
      <c r="V236" s="270"/>
      <c r="W236" s="255" t="s">
        <v>130</v>
      </c>
      <c r="X236" s="258"/>
      <c r="Y236" s="258"/>
      <c r="Z236" s="258"/>
      <c r="AA236" s="258"/>
      <c r="AB236" s="258"/>
      <c r="AC236" s="258"/>
      <c r="AD236" s="258"/>
      <c r="AE236" s="258"/>
      <c r="AF236" s="258"/>
      <c r="AG236" s="258"/>
      <c r="AH236" s="258"/>
    </row>
    <row r="237">
      <c r="A237" s="37" t="s">
        <v>1841</v>
      </c>
      <c r="B237" s="37" t="s">
        <v>1842</v>
      </c>
      <c r="C237" s="23" t="s">
        <v>59</v>
      </c>
      <c r="D237" s="282" t="s">
        <v>1843</v>
      </c>
      <c r="E237" s="264" t="s">
        <v>1844</v>
      </c>
      <c r="F237" s="255"/>
      <c r="G237" s="37"/>
      <c r="H237" s="265">
        <v>9.0</v>
      </c>
      <c r="I237" s="265">
        <v>15.0</v>
      </c>
      <c r="J237" s="263" t="s">
        <v>1845</v>
      </c>
      <c r="K237" s="40"/>
      <c r="L237" s="255" t="s">
        <v>79</v>
      </c>
      <c r="M237" s="266" t="s">
        <v>1846</v>
      </c>
      <c r="N237" s="266"/>
      <c r="O237" s="6"/>
      <c r="P237" s="259"/>
      <c r="Q237" s="269"/>
      <c r="R237" s="269"/>
      <c r="S237" s="268"/>
      <c r="T237" s="269" t="s">
        <v>58</v>
      </c>
      <c r="U237" s="268"/>
      <c r="V237" s="270"/>
      <c r="W237" s="255" t="s">
        <v>130</v>
      </c>
      <c r="X237" s="258"/>
      <c r="Y237" s="258"/>
      <c r="Z237" s="258"/>
      <c r="AA237" s="258"/>
      <c r="AB237" s="258"/>
      <c r="AC237" s="258"/>
      <c r="AD237" s="258"/>
      <c r="AE237" s="258"/>
      <c r="AF237" s="258"/>
      <c r="AG237" s="258"/>
      <c r="AH237" s="258"/>
    </row>
    <row r="238">
      <c r="A238" s="6" t="s">
        <v>1847</v>
      </c>
      <c r="B238" s="6" t="s">
        <v>1848</v>
      </c>
      <c r="C238" s="23" t="s">
        <v>59</v>
      </c>
      <c r="D238" s="37" t="s">
        <v>1849</v>
      </c>
      <c r="E238" s="264"/>
      <c r="F238" s="255"/>
      <c r="G238" s="37"/>
      <c r="H238" s="265">
        <v>92.0</v>
      </c>
      <c r="I238" s="265">
        <v>101.0</v>
      </c>
      <c r="J238" s="263" t="s">
        <v>1850</v>
      </c>
      <c r="K238" s="40"/>
      <c r="L238" s="255" t="s">
        <v>79</v>
      </c>
      <c r="M238" s="266" t="s">
        <v>1851</v>
      </c>
      <c r="N238" s="266"/>
      <c r="O238" s="6"/>
      <c r="P238" s="259" t="s">
        <v>58</v>
      </c>
      <c r="Q238" s="269"/>
      <c r="R238" s="269"/>
      <c r="S238" s="268"/>
      <c r="T238" s="269"/>
      <c r="U238" s="268"/>
      <c r="V238" s="270"/>
      <c r="W238" s="255" t="s">
        <v>130</v>
      </c>
      <c r="X238" s="258"/>
      <c r="Y238" s="258"/>
      <c r="Z238" s="258"/>
      <c r="AA238" s="258"/>
      <c r="AB238" s="258"/>
      <c r="AC238" s="258"/>
      <c r="AD238" s="258"/>
      <c r="AE238" s="258"/>
      <c r="AF238" s="258"/>
      <c r="AG238" s="258"/>
      <c r="AH238" s="258"/>
    </row>
    <row r="239">
      <c r="A239" s="37" t="s">
        <v>1852</v>
      </c>
      <c r="B239" s="37" t="s">
        <v>1853</v>
      </c>
      <c r="C239" s="23" t="s">
        <v>59</v>
      </c>
      <c r="D239" s="37" t="s">
        <v>1854</v>
      </c>
      <c r="E239" s="264"/>
      <c r="F239" s="255"/>
      <c r="G239" s="37"/>
      <c r="H239" s="272"/>
      <c r="I239" s="272"/>
      <c r="J239" s="263" t="s">
        <v>1855</v>
      </c>
      <c r="K239" s="40"/>
      <c r="L239" s="255" t="s">
        <v>79</v>
      </c>
      <c r="M239" s="266" t="s">
        <v>1856</v>
      </c>
      <c r="N239" s="266"/>
      <c r="O239" s="6"/>
      <c r="P239" s="259" t="s">
        <v>58</v>
      </c>
      <c r="Q239" s="269"/>
      <c r="R239" s="269"/>
      <c r="S239" s="268"/>
      <c r="T239" s="269"/>
      <c r="U239" s="268"/>
      <c r="V239" s="270"/>
      <c r="W239" s="255" t="s">
        <v>130</v>
      </c>
      <c r="X239" s="258"/>
      <c r="Y239" s="258"/>
      <c r="Z239" s="258"/>
      <c r="AA239" s="258"/>
      <c r="AB239" s="258"/>
      <c r="AC239" s="258"/>
      <c r="AD239" s="258"/>
      <c r="AE239" s="258"/>
      <c r="AF239" s="258"/>
      <c r="AG239" s="258"/>
      <c r="AH239" s="258"/>
    </row>
    <row r="240">
      <c r="A240" s="37" t="s">
        <v>1857</v>
      </c>
      <c r="B240" s="37" t="s">
        <v>1858</v>
      </c>
      <c r="C240" s="23" t="s">
        <v>59</v>
      </c>
      <c r="D240" s="37" t="s">
        <v>1854</v>
      </c>
      <c r="E240" s="264"/>
      <c r="F240" s="255"/>
      <c r="G240" s="37"/>
      <c r="H240" s="272"/>
      <c r="I240" s="272"/>
      <c r="J240" s="263" t="s">
        <v>1859</v>
      </c>
      <c r="K240" s="40"/>
      <c r="L240" s="255" t="s">
        <v>79</v>
      </c>
      <c r="M240" s="266" t="s">
        <v>1860</v>
      </c>
      <c r="N240" s="266"/>
      <c r="O240" s="6"/>
      <c r="P240" s="259" t="s">
        <v>58</v>
      </c>
      <c r="Q240" s="269"/>
      <c r="R240" s="269"/>
      <c r="S240" s="268"/>
      <c r="T240" s="269" t="s">
        <v>58</v>
      </c>
      <c r="U240" s="268"/>
      <c r="V240" s="270"/>
      <c r="W240" s="255" t="s">
        <v>130</v>
      </c>
      <c r="X240" s="258"/>
      <c r="Y240" s="258"/>
      <c r="Z240" s="258"/>
      <c r="AA240" s="258"/>
      <c r="AB240" s="258"/>
      <c r="AC240" s="258"/>
      <c r="AD240" s="258"/>
      <c r="AE240" s="258"/>
      <c r="AF240" s="258"/>
      <c r="AG240" s="258"/>
      <c r="AH240" s="258"/>
    </row>
    <row r="241">
      <c r="A241" s="37" t="s">
        <v>1735</v>
      </c>
      <c r="B241" s="37" t="s">
        <v>1861</v>
      </c>
      <c r="C241" s="23" t="s">
        <v>59</v>
      </c>
      <c r="D241" s="37" t="s">
        <v>1854</v>
      </c>
      <c r="E241" s="264"/>
      <c r="F241" s="255"/>
      <c r="G241" s="37"/>
      <c r="H241" s="272"/>
      <c r="I241" s="272"/>
      <c r="J241" s="263" t="s">
        <v>1862</v>
      </c>
      <c r="K241" s="40"/>
      <c r="L241" s="255" t="s">
        <v>79</v>
      </c>
      <c r="M241" s="266" t="s">
        <v>1863</v>
      </c>
      <c r="N241" s="266"/>
      <c r="O241" s="6"/>
      <c r="P241" s="259" t="s">
        <v>58</v>
      </c>
      <c r="Q241" s="269"/>
      <c r="R241" s="269"/>
      <c r="S241" s="268"/>
      <c r="T241" s="269" t="s">
        <v>58</v>
      </c>
      <c r="U241" s="268"/>
      <c r="V241" s="270"/>
      <c r="W241" s="255" t="s">
        <v>130</v>
      </c>
      <c r="X241" s="258"/>
      <c r="Y241" s="258"/>
      <c r="Z241" s="258"/>
      <c r="AA241" s="258"/>
      <c r="AB241" s="258"/>
      <c r="AC241" s="258"/>
      <c r="AD241" s="258"/>
      <c r="AE241" s="258"/>
      <c r="AF241" s="258"/>
      <c r="AG241" s="258"/>
      <c r="AH241" s="258"/>
    </row>
    <row r="242">
      <c r="A242" s="37" t="s">
        <v>1864</v>
      </c>
      <c r="B242" s="37" t="s">
        <v>1865</v>
      </c>
      <c r="C242" s="23" t="s">
        <v>59</v>
      </c>
      <c r="D242" s="37" t="s">
        <v>1866</v>
      </c>
      <c r="E242" s="254"/>
      <c r="F242" s="255" t="s">
        <v>61</v>
      </c>
      <c r="G242" s="37"/>
      <c r="H242" s="272"/>
      <c r="I242" s="272"/>
      <c r="J242" s="6" t="s">
        <v>1867</v>
      </c>
      <c r="K242" s="40"/>
      <c r="L242" s="255" t="s">
        <v>79</v>
      </c>
      <c r="M242" s="266" t="s">
        <v>1868</v>
      </c>
      <c r="N242" s="266"/>
      <c r="O242" s="6"/>
      <c r="P242" s="259"/>
      <c r="Q242" s="269" t="s">
        <v>58</v>
      </c>
      <c r="R242" s="269"/>
      <c r="S242" s="268"/>
      <c r="T242" s="269" t="s">
        <v>58</v>
      </c>
      <c r="U242" s="268"/>
      <c r="V242" s="270"/>
      <c r="W242" s="255" t="s">
        <v>130</v>
      </c>
      <c r="X242" s="258"/>
      <c r="Y242" s="258"/>
      <c r="Z242" s="258"/>
      <c r="AA242" s="258"/>
      <c r="AB242" s="258"/>
      <c r="AC242" s="258"/>
      <c r="AD242" s="258"/>
      <c r="AE242" s="258"/>
      <c r="AF242" s="258"/>
      <c r="AG242" s="258"/>
      <c r="AH242" s="258"/>
    </row>
    <row r="243">
      <c r="A243" s="274" t="s">
        <v>1869</v>
      </c>
      <c r="B243" s="37" t="s">
        <v>1870</v>
      </c>
      <c r="C243" s="23" t="s">
        <v>59</v>
      </c>
      <c r="D243" s="37"/>
      <c r="E243" s="264"/>
      <c r="F243" s="255"/>
      <c r="G243" s="37"/>
      <c r="H243" s="272"/>
      <c r="I243" s="272"/>
      <c r="J243" s="283" t="s">
        <v>1871</v>
      </c>
      <c r="K243" s="40"/>
      <c r="L243" s="23" t="s">
        <v>700</v>
      </c>
      <c r="M243" s="266" t="s">
        <v>1872</v>
      </c>
      <c r="N243" s="266"/>
      <c r="O243" s="6"/>
      <c r="P243" s="259"/>
      <c r="Q243" s="269" t="s">
        <v>58</v>
      </c>
      <c r="R243" s="269"/>
      <c r="S243" s="268"/>
      <c r="T243" s="269"/>
      <c r="U243" s="268"/>
      <c r="V243" s="270"/>
      <c r="W243" s="23" t="s">
        <v>1447</v>
      </c>
      <c r="X243" s="258"/>
      <c r="Y243" s="258"/>
      <c r="Z243" s="258"/>
      <c r="AA243" s="258"/>
      <c r="AB243" s="258"/>
      <c r="AC243" s="258"/>
      <c r="AD243" s="258"/>
      <c r="AE243" s="258"/>
      <c r="AF243" s="258"/>
      <c r="AG243" s="258"/>
      <c r="AH243" s="258"/>
    </row>
    <row r="244">
      <c r="A244" s="37" t="s">
        <v>76</v>
      </c>
      <c r="B244" s="37" t="s">
        <v>1873</v>
      </c>
      <c r="C244" s="23" t="s">
        <v>189</v>
      </c>
      <c r="D244" s="37" t="s">
        <v>1874</v>
      </c>
      <c r="E244" s="264"/>
      <c r="F244" s="255"/>
      <c r="G244" s="37"/>
      <c r="H244" s="272"/>
      <c r="I244" s="272"/>
      <c r="J244" s="263" t="s">
        <v>1875</v>
      </c>
      <c r="K244" s="40"/>
      <c r="L244" s="255" t="s">
        <v>1514</v>
      </c>
      <c r="M244" s="266"/>
      <c r="N244" s="266"/>
      <c r="O244" s="6"/>
      <c r="P244" s="259"/>
      <c r="Q244" s="269" t="s">
        <v>58</v>
      </c>
      <c r="R244" s="269"/>
      <c r="S244" s="268"/>
      <c r="T244" s="269"/>
      <c r="U244" s="268"/>
      <c r="V244" s="270"/>
      <c r="W244" s="267" t="s">
        <v>1876</v>
      </c>
      <c r="X244" s="258"/>
      <c r="Y244" s="258"/>
      <c r="Z244" s="258"/>
      <c r="AA244" s="258"/>
      <c r="AB244" s="258"/>
      <c r="AC244" s="258"/>
      <c r="AD244" s="258"/>
      <c r="AE244" s="258"/>
      <c r="AF244" s="258"/>
      <c r="AG244" s="258"/>
      <c r="AH244" s="258"/>
    </row>
    <row r="245">
      <c r="A245" s="37" t="s">
        <v>76</v>
      </c>
      <c r="B245" s="37" t="s">
        <v>1877</v>
      </c>
      <c r="C245" s="23" t="s">
        <v>664</v>
      </c>
      <c r="D245" s="37" t="s">
        <v>1878</v>
      </c>
      <c r="E245" s="264"/>
      <c r="F245" s="255"/>
      <c r="G245" s="37"/>
      <c r="H245" s="272"/>
      <c r="I245" s="272"/>
      <c r="J245" s="263"/>
      <c r="K245" s="40"/>
      <c r="L245" s="255" t="s">
        <v>1514</v>
      </c>
      <c r="M245" s="266"/>
      <c r="N245" s="266"/>
      <c r="O245" s="6"/>
      <c r="P245" s="259"/>
      <c r="Q245" s="269"/>
      <c r="R245" s="269"/>
      <c r="S245" s="268"/>
      <c r="T245" s="268"/>
      <c r="U245" s="268"/>
      <c r="V245" s="270"/>
      <c r="W245" s="267" t="s">
        <v>1879</v>
      </c>
      <c r="X245" s="258"/>
      <c r="Y245" s="258"/>
      <c r="Z245" s="258"/>
      <c r="AA245" s="258"/>
      <c r="AB245" s="258"/>
      <c r="AC245" s="258"/>
      <c r="AD245" s="258"/>
      <c r="AE245" s="258"/>
      <c r="AF245" s="258"/>
      <c r="AG245" s="258"/>
      <c r="AH245" s="258"/>
    </row>
    <row r="246">
      <c r="A246" s="37" t="s">
        <v>76</v>
      </c>
      <c r="B246" s="37" t="s">
        <v>1880</v>
      </c>
      <c r="C246" s="23" t="s">
        <v>1881</v>
      </c>
      <c r="D246" s="37" t="s">
        <v>1882</v>
      </c>
      <c r="E246" s="264"/>
      <c r="F246" s="255"/>
      <c r="G246" s="37"/>
      <c r="H246" s="272"/>
      <c r="I246" s="272"/>
      <c r="J246" s="263"/>
      <c r="K246" s="40"/>
      <c r="L246" s="255" t="s">
        <v>1514</v>
      </c>
      <c r="M246" s="266" t="s">
        <v>1883</v>
      </c>
      <c r="N246" s="266"/>
      <c r="O246" s="6"/>
      <c r="P246" s="259"/>
      <c r="Q246" s="269"/>
      <c r="R246" s="269"/>
      <c r="S246" s="268"/>
      <c r="T246" s="268"/>
      <c r="U246" s="268"/>
      <c r="V246" s="270"/>
      <c r="W246" s="267" t="s">
        <v>1884</v>
      </c>
      <c r="X246" s="258"/>
      <c r="Y246" s="258"/>
      <c r="Z246" s="258"/>
      <c r="AA246" s="258"/>
      <c r="AB246" s="258"/>
      <c r="AC246" s="258"/>
      <c r="AD246" s="258"/>
      <c r="AE246" s="258"/>
      <c r="AF246" s="258"/>
      <c r="AG246" s="258"/>
      <c r="AH246" s="258"/>
    </row>
    <row r="247">
      <c r="A247" s="37"/>
      <c r="B247" s="37"/>
      <c r="C247" s="23"/>
      <c r="D247" s="37"/>
      <c r="E247" s="264"/>
      <c r="F247" s="255"/>
      <c r="G247" s="37"/>
      <c r="H247" s="272"/>
      <c r="I247" s="272"/>
      <c r="J247" s="263"/>
      <c r="K247" s="40"/>
      <c r="L247" s="258"/>
      <c r="M247" s="266"/>
      <c r="N247" s="266"/>
      <c r="O247" s="6"/>
      <c r="P247" s="259"/>
      <c r="Q247" s="269"/>
      <c r="R247" s="269"/>
      <c r="S247" s="268"/>
      <c r="T247" s="268"/>
      <c r="U247" s="268"/>
      <c r="V247" s="270"/>
      <c r="W247" s="267"/>
      <c r="X247" s="258"/>
      <c r="Y247" s="258"/>
      <c r="Z247" s="258"/>
      <c r="AA247" s="258"/>
      <c r="AB247" s="258"/>
      <c r="AC247" s="258"/>
      <c r="AD247" s="258"/>
      <c r="AE247" s="258"/>
      <c r="AF247" s="258"/>
      <c r="AG247" s="258"/>
      <c r="AH247" s="258"/>
    </row>
    <row r="248">
      <c r="J248" s="284"/>
    </row>
    <row r="249">
      <c r="A249" s="285"/>
      <c r="D249" s="286"/>
      <c r="J249" s="284"/>
    </row>
    <row r="250">
      <c r="A250" s="287"/>
      <c r="B250" s="23"/>
      <c r="C250" s="35"/>
      <c r="D250" s="288"/>
      <c r="E250" s="21"/>
      <c r="F250" s="35"/>
      <c r="G250" s="35"/>
      <c r="H250" s="35"/>
      <c r="I250" s="35"/>
      <c r="J250" s="186"/>
      <c r="K250" s="110"/>
      <c r="L250" s="35"/>
      <c r="M250" s="172"/>
      <c r="N250" s="172"/>
      <c r="O250" s="35"/>
      <c r="P250" s="164"/>
      <c r="Q250" s="164"/>
      <c r="R250" s="164"/>
      <c r="S250" s="164"/>
      <c r="T250" s="164"/>
      <c r="U250" s="164"/>
      <c r="V250" s="35"/>
      <c r="W250" s="35"/>
      <c r="X250" s="35"/>
      <c r="Y250" s="35"/>
      <c r="Z250" s="35"/>
      <c r="AA250" s="35"/>
      <c r="AB250" s="35"/>
      <c r="AC250" s="35"/>
      <c r="AD250" s="35"/>
      <c r="AE250" s="35"/>
      <c r="AF250" s="35"/>
      <c r="AG250" s="35"/>
      <c r="AH250" s="35"/>
    </row>
    <row r="251">
      <c r="A251" s="35"/>
      <c r="B251" s="23"/>
      <c r="C251" s="35"/>
      <c r="D251" s="288"/>
      <c r="E251" s="21"/>
      <c r="F251" s="35"/>
      <c r="G251" s="35"/>
      <c r="H251" s="35"/>
      <c r="I251" s="35"/>
      <c r="J251" s="186"/>
      <c r="K251" s="110"/>
      <c r="L251" s="35"/>
      <c r="M251" s="172"/>
      <c r="N251" s="172"/>
      <c r="O251" s="35"/>
      <c r="P251" s="164"/>
      <c r="Q251" s="164"/>
      <c r="R251" s="164"/>
      <c r="S251" s="164"/>
      <c r="T251" s="164"/>
      <c r="U251" s="164"/>
      <c r="V251" s="35"/>
      <c r="W251" s="35"/>
      <c r="X251" s="35"/>
      <c r="Y251" s="35"/>
      <c r="Z251" s="35"/>
      <c r="AA251" s="35"/>
      <c r="AB251" s="35"/>
      <c r="AC251" s="35"/>
      <c r="AD251" s="35"/>
      <c r="AE251" s="35"/>
      <c r="AF251" s="35"/>
      <c r="AG251" s="35"/>
      <c r="AH251" s="35"/>
    </row>
    <row r="252">
      <c r="A252" s="35"/>
      <c r="B252" s="23"/>
      <c r="C252" s="35"/>
      <c r="D252" s="288"/>
      <c r="E252" s="21"/>
      <c r="F252" s="35"/>
      <c r="G252" s="35"/>
      <c r="H252" s="35"/>
      <c r="I252" s="35"/>
      <c r="J252" s="186"/>
      <c r="K252" s="110"/>
      <c r="L252" s="35"/>
      <c r="M252" s="172"/>
      <c r="N252" s="172"/>
      <c r="O252" s="35"/>
      <c r="P252" s="164"/>
      <c r="Q252" s="164"/>
      <c r="R252" s="164"/>
      <c r="S252" s="164"/>
      <c r="T252" s="164"/>
      <c r="U252" s="164"/>
      <c r="V252" s="35"/>
      <c r="W252" s="35"/>
      <c r="X252" s="35"/>
      <c r="Y252" s="35"/>
      <c r="Z252" s="35"/>
      <c r="AA252" s="35"/>
      <c r="AB252" s="35"/>
      <c r="AC252" s="35"/>
      <c r="AD252" s="35"/>
      <c r="AE252" s="35"/>
      <c r="AF252" s="35"/>
      <c r="AG252" s="35"/>
      <c r="AH252" s="35"/>
    </row>
    <row r="253">
      <c r="A253" s="35"/>
      <c r="B253" s="23"/>
      <c r="C253" s="35"/>
      <c r="D253" s="289"/>
      <c r="E253" s="21"/>
      <c r="F253" s="35"/>
      <c r="G253" s="35"/>
      <c r="H253" s="35"/>
      <c r="I253" s="35"/>
      <c r="J253" s="186"/>
      <c r="K253" s="110"/>
      <c r="L253" s="35"/>
      <c r="M253" s="172"/>
      <c r="N253" s="172"/>
      <c r="O253" s="35"/>
      <c r="P253" s="164"/>
      <c r="Q253" s="164"/>
      <c r="R253" s="164"/>
      <c r="S253" s="164"/>
      <c r="T253" s="164"/>
      <c r="U253" s="164"/>
      <c r="V253" s="35"/>
      <c r="W253" s="35"/>
      <c r="X253" s="35"/>
      <c r="Y253" s="35"/>
      <c r="Z253" s="35"/>
      <c r="AA253" s="35"/>
      <c r="AB253" s="35"/>
      <c r="AC253" s="35"/>
      <c r="AD253" s="35"/>
      <c r="AE253" s="35"/>
      <c r="AF253" s="35"/>
      <c r="AG253" s="35"/>
      <c r="AH253" s="35"/>
    </row>
    <row r="254">
      <c r="A254" s="35"/>
      <c r="B254" s="23"/>
      <c r="C254" s="35"/>
      <c r="D254" s="172"/>
      <c r="E254" s="21"/>
      <c r="F254" s="35"/>
      <c r="G254" s="35"/>
      <c r="H254" s="35"/>
      <c r="I254" s="35"/>
      <c r="J254" s="186"/>
      <c r="K254" s="110"/>
      <c r="L254" s="35"/>
      <c r="M254" s="172"/>
      <c r="N254" s="172"/>
      <c r="O254" s="35"/>
      <c r="P254" s="164"/>
      <c r="Q254" s="164"/>
      <c r="R254" s="164"/>
      <c r="S254" s="164"/>
      <c r="T254" s="164"/>
      <c r="U254" s="164"/>
      <c r="V254" s="35"/>
      <c r="W254" s="35"/>
      <c r="X254" s="35"/>
      <c r="Y254" s="35"/>
      <c r="Z254" s="35"/>
      <c r="AA254" s="35"/>
      <c r="AB254" s="35"/>
      <c r="AC254" s="35"/>
      <c r="AD254" s="35"/>
      <c r="AE254" s="35"/>
      <c r="AF254" s="35"/>
      <c r="AG254" s="35"/>
      <c r="AH254" s="35"/>
    </row>
    <row r="255">
      <c r="A255" s="35"/>
      <c r="B255" s="290"/>
      <c r="C255" s="35"/>
      <c r="D255" s="172"/>
      <c r="E255" s="21"/>
      <c r="F255" s="35"/>
      <c r="G255" s="35"/>
      <c r="H255" s="35"/>
      <c r="I255" s="35"/>
      <c r="J255" s="186"/>
      <c r="K255" s="110"/>
      <c r="L255" s="35"/>
      <c r="M255" s="172"/>
      <c r="N255" s="172"/>
      <c r="O255" s="35"/>
      <c r="P255" s="164"/>
      <c r="Q255" s="164"/>
      <c r="R255" s="164"/>
      <c r="S255" s="164"/>
      <c r="T255" s="164"/>
      <c r="U255" s="164"/>
      <c r="V255" s="35"/>
      <c r="W255" s="35"/>
      <c r="X255" s="35"/>
      <c r="Y255" s="35"/>
      <c r="Z255" s="35"/>
      <c r="AA255" s="35"/>
      <c r="AB255" s="35"/>
      <c r="AC255" s="35"/>
      <c r="AD255" s="35"/>
      <c r="AE255" s="35"/>
      <c r="AF255" s="35"/>
      <c r="AG255" s="35"/>
      <c r="AH255" s="35"/>
    </row>
    <row r="256">
      <c r="A256" s="35"/>
      <c r="B256" s="290"/>
      <c r="C256" s="35"/>
      <c r="D256" s="172"/>
      <c r="E256" s="21"/>
      <c r="F256" s="35"/>
      <c r="G256" s="35"/>
      <c r="H256" s="35"/>
      <c r="I256" s="35"/>
      <c r="J256" s="186"/>
      <c r="K256" s="110"/>
      <c r="L256" s="35"/>
      <c r="M256" s="172"/>
      <c r="N256" s="172"/>
      <c r="O256" s="35"/>
      <c r="P256" s="164"/>
      <c r="Q256" s="164"/>
      <c r="R256" s="164"/>
      <c r="S256" s="164"/>
      <c r="T256" s="164"/>
      <c r="U256" s="164"/>
      <c r="V256" s="35"/>
      <c r="W256" s="35"/>
      <c r="X256" s="35"/>
      <c r="Y256" s="35"/>
      <c r="Z256" s="35"/>
      <c r="AA256" s="35"/>
      <c r="AB256" s="35"/>
      <c r="AC256" s="35"/>
      <c r="AD256" s="35"/>
      <c r="AE256" s="35"/>
      <c r="AF256" s="35"/>
      <c r="AG256" s="35"/>
      <c r="AH256" s="35"/>
    </row>
    <row r="257">
      <c r="A257" s="35"/>
      <c r="B257" s="23"/>
      <c r="C257" s="35"/>
      <c r="D257" s="172"/>
      <c r="E257" s="21"/>
      <c r="F257" s="35"/>
      <c r="G257" s="35"/>
      <c r="H257" s="35"/>
      <c r="I257" s="35"/>
      <c r="J257" s="186"/>
      <c r="K257" s="110"/>
      <c r="L257" s="35"/>
      <c r="M257" s="172"/>
      <c r="N257" s="172"/>
      <c r="O257" s="35"/>
      <c r="P257" s="164"/>
      <c r="Q257" s="164"/>
      <c r="R257" s="164"/>
      <c r="S257" s="164"/>
      <c r="T257" s="164"/>
      <c r="U257" s="164"/>
      <c r="V257" s="35"/>
      <c r="W257" s="35"/>
      <c r="X257" s="35"/>
      <c r="Y257" s="35"/>
      <c r="Z257" s="35"/>
      <c r="AA257" s="35"/>
      <c r="AB257" s="35"/>
      <c r="AC257" s="35"/>
      <c r="AD257" s="35"/>
      <c r="AE257" s="35"/>
      <c r="AF257" s="35"/>
      <c r="AG257" s="35"/>
      <c r="AH257" s="35"/>
    </row>
    <row r="258">
      <c r="A258" s="35"/>
      <c r="B258" s="175"/>
      <c r="C258" s="35"/>
      <c r="D258" s="172"/>
      <c r="E258" s="21"/>
      <c r="F258" s="35"/>
      <c r="G258" s="35"/>
      <c r="H258" s="35"/>
      <c r="I258" s="35"/>
      <c r="J258" s="186"/>
      <c r="K258" s="110"/>
      <c r="L258" s="35"/>
      <c r="M258" s="172"/>
      <c r="N258" s="172"/>
      <c r="O258" s="35"/>
      <c r="P258" s="164"/>
      <c r="Q258" s="164"/>
      <c r="R258" s="164"/>
      <c r="S258" s="164"/>
      <c r="T258" s="164"/>
      <c r="U258" s="164"/>
      <c r="V258" s="35"/>
      <c r="W258" s="35"/>
      <c r="X258" s="35"/>
      <c r="Y258" s="35"/>
      <c r="Z258" s="35"/>
      <c r="AA258" s="35"/>
      <c r="AB258" s="35"/>
      <c r="AC258" s="35"/>
      <c r="AD258" s="35"/>
      <c r="AE258" s="35"/>
      <c r="AF258" s="35"/>
      <c r="AG258" s="35"/>
      <c r="AH258" s="35"/>
    </row>
    <row r="259">
      <c r="A259" s="35"/>
      <c r="B259" s="35"/>
      <c r="C259" s="35"/>
      <c r="D259" s="172"/>
      <c r="E259" s="21"/>
      <c r="F259" s="35"/>
      <c r="G259" s="35"/>
      <c r="H259" s="35"/>
      <c r="I259" s="35"/>
      <c r="J259" s="186"/>
      <c r="K259" s="110"/>
      <c r="L259" s="35"/>
      <c r="M259" s="172"/>
      <c r="N259" s="172"/>
      <c r="O259" s="35"/>
      <c r="P259" s="164"/>
      <c r="Q259" s="164"/>
      <c r="R259" s="164"/>
      <c r="S259" s="164"/>
      <c r="T259" s="164"/>
      <c r="U259" s="164"/>
      <c r="V259" s="35"/>
      <c r="W259" s="35"/>
      <c r="X259" s="35"/>
      <c r="Y259" s="35"/>
      <c r="Z259" s="35"/>
      <c r="AA259" s="35"/>
      <c r="AB259" s="35"/>
      <c r="AC259" s="35"/>
      <c r="AD259" s="35"/>
      <c r="AE259" s="35"/>
      <c r="AF259" s="35"/>
      <c r="AG259" s="35"/>
      <c r="AH259" s="35"/>
    </row>
    <row r="260">
      <c r="A260" s="35"/>
      <c r="B260" s="35"/>
      <c r="C260" s="35"/>
      <c r="D260" s="172"/>
      <c r="E260" s="21"/>
      <c r="F260" s="35"/>
      <c r="G260" s="35"/>
      <c r="H260" s="35"/>
      <c r="I260" s="35"/>
      <c r="J260" s="186"/>
      <c r="K260" s="110"/>
      <c r="L260" s="35"/>
      <c r="M260" s="172"/>
      <c r="N260" s="172"/>
      <c r="O260" s="35"/>
      <c r="P260" s="164"/>
      <c r="Q260" s="164"/>
      <c r="R260" s="164"/>
      <c r="S260" s="164"/>
      <c r="T260" s="164"/>
      <c r="U260" s="164"/>
      <c r="V260" s="35"/>
      <c r="W260" s="35"/>
      <c r="X260" s="35"/>
      <c r="Y260" s="35"/>
      <c r="Z260" s="35"/>
      <c r="AA260" s="35"/>
      <c r="AB260" s="35"/>
      <c r="AC260" s="35"/>
      <c r="AD260" s="35"/>
      <c r="AE260" s="35"/>
      <c r="AF260" s="35"/>
      <c r="AG260" s="35"/>
      <c r="AH260" s="35"/>
    </row>
    <row r="261">
      <c r="A261" s="35"/>
      <c r="B261" s="35"/>
      <c r="C261" s="35"/>
      <c r="D261" s="172"/>
      <c r="E261" s="21"/>
      <c r="F261" s="35"/>
      <c r="G261" s="35"/>
      <c r="H261" s="35"/>
      <c r="I261" s="35"/>
      <c r="J261" s="186"/>
      <c r="K261" s="110"/>
      <c r="L261" s="35"/>
      <c r="M261" s="172"/>
      <c r="N261" s="172"/>
      <c r="O261" s="35"/>
      <c r="P261" s="164"/>
      <c r="Q261" s="164"/>
      <c r="R261" s="164"/>
      <c r="S261" s="164"/>
      <c r="T261" s="164"/>
      <c r="U261" s="164"/>
      <c r="V261" s="35"/>
      <c r="W261" s="35"/>
      <c r="X261" s="35"/>
      <c r="Y261" s="35"/>
      <c r="Z261" s="35"/>
      <c r="AA261" s="35"/>
      <c r="AB261" s="35"/>
      <c r="AC261" s="35"/>
      <c r="AD261" s="35"/>
      <c r="AE261" s="35"/>
      <c r="AF261" s="35"/>
      <c r="AG261" s="35"/>
      <c r="AH261" s="35"/>
    </row>
    <row r="262">
      <c r="A262" s="35"/>
      <c r="B262" s="35"/>
      <c r="C262" s="35"/>
      <c r="D262" s="172"/>
      <c r="E262" s="21"/>
      <c r="F262" s="35"/>
      <c r="G262" s="35"/>
      <c r="H262" s="35"/>
      <c r="I262" s="35"/>
      <c r="J262" s="186"/>
      <c r="K262" s="110"/>
      <c r="L262" s="35"/>
      <c r="M262" s="172"/>
      <c r="N262" s="172"/>
      <c r="O262" s="35"/>
      <c r="P262" s="164"/>
      <c r="Q262" s="164"/>
      <c r="R262" s="164"/>
      <c r="S262" s="164"/>
      <c r="T262" s="164"/>
      <c r="U262" s="164"/>
      <c r="V262" s="35"/>
      <c r="W262" s="35"/>
      <c r="X262" s="35"/>
      <c r="Y262" s="35"/>
      <c r="Z262" s="35"/>
      <c r="AA262" s="35"/>
      <c r="AB262" s="35"/>
      <c r="AC262" s="35"/>
      <c r="AD262" s="35"/>
      <c r="AE262" s="35"/>
      <c r="AF262" s="35"/>
      <c r="AG262" s="35"/>
      <c r="AH262" s="35"/>
    </row>
    <row r="263">
      <c r="A263" s="35"/>
      <c r="B263" s="35"/>
      <c r="C263" s="35"/>
      <c r="D263" s="172"/>
      <c r="E263" s="21"/>
      <c r="F263" s="35"/>
      <c r="G263" s="35"/>
      <c r="H263" s="35"/>
      <c r="I263" s="35"/>
      <c r="J263" s="186"/>
      <c r="K263" s="110"/>
      <c r="L263" s="35"/>
      <c r="M263" s="172"/>
      <c r="N263" s="172"/>
      <c r="O263" s="35"/>
      <c r="P263" s="164"/>
      <c r="Q263" s="164"/>
      <c r="R263" s="164"/>
      <c r="S263" s="164"/>
      <c r="T263" s="164"/>
      <c r="U263" s="164"/>
      <c r="V263" s="35"/>
      <c r="W263" s="35"/>
      <c r="X263" s="35"/>
      <c r="Y263" s="35"/>
      <c r="Z263" s="35"/>
      <c r="AA263" s="35"/>
      <c r="AB263" s="35"/>
      <c r="AC263" s="35"/>
      <c r="AD263" s="35"/>
      <c r="AE263" s="35"/>
      <c r="AF263" s="35"/>
      <c r="AG263" s="35"/>
      <c r="AH263" s="35"/>
    </row>
    <row r="264">
      <c r="A264" s="35"/>
      <c r="B264" s="35"/>
      <c r="C264" s="35"/>
      <c r="D264" s="172"/>
      <c r="E264" s="21"/>
      <c r="F264" s="35"/>
      <c r="G264" s="35"/>
      <c r="H264" s="35"/>
      <c r="I264" s="35"/>
      <c r="J264" s="186"/>
      <c r="K264" s="110"/>
      <c r="L264" s="35"/>
      <c r="M264" s="172"/>
      <c r="N264" s="172"/>
      <c r="O264" s="35"/>
      <c r="P264" s="164"/>
      <c r="Q264" s="164"/>
      <c r="R264" s="164"/>
      <c r="S264" s="164"/>
      <c r="T264" s="164"/>
      <c r="U264" s="164"/>
      <c r="V264" s="35"/>
      <c r="W264" s="35"/>
      <c r="X264" s="35"/>
      <c r="Y264" s="35"/>
      <c r="Z264" s="35"/>
      <c r="AA264" s="35"/>
      <c r="AB264" s="35"/>
      <c r="AC264" s="35"/>
      <c r="AD264" s="35"/>
      <c r="AE264" s="35"/>
      <c r="AF264" s="35"/>
      <c r="AG264" s="35"/>
      <c r="AH264" s="35"/>
    </row>
    <row r="265">
      <c r="A265" s="35"/>
      <c r="B265" s="35"/>
      <c r="C265" s="35"/>
      <c r="D265" s="172"/>
      <c r="E265" s="21"/>
      <c r="F265" s="35"/>
      <c r="G265" s="35"/>
      <c r="H265" s="35"/>
      <c r="I265" s="35"/>
      <c r="J265" s="186"/>
      <c r="K265" s="110"/>
      <c r="L265" s="35"/>
      <c r="M265" s="172"/>
      <c r="N265" s="172"/>
      <c r="O265" s="35"/>
      <c r="P265" s="164"/>
      <c r="Q265" s="164"/>
      <c r="R265" s="164"/>
      <c r="S265" s="164"/>
      <c r="T265" s="164"/>
      <c r="U265" s="164"/>
      <c r="V265" s="35"/>
      <c r="W265" s="35"/>
      <c r="X265" s="35"/>
      <c r="Y265" s="35"/>
      <c r="Z265" s="35"/>
      <c r="AA265" s="35"/>
      <c r="AB265" s="35"/>
      <c r="AC265" s="35"/>
      <c r="AD265" s="35"/>
      <c r="AE265" s="35"/>
      <c r="AF265" s="35"/>
      <c r="AG265" s="35"/>
      <c r="AH265" s="35"/>
    </row>
    <row r="266">
      <c r="A266" s="35"/>
      <c r="B266" s="35"/>
      <c r="C266" s="35"/>
      <c r="D266" s="172"/>
      <c r="E266" s="21"/>
      <c r="F266" s="35"/>
      <c r="G266" s="35"/>
      <c r="H266" s="35"/>
      <c r="I266" s="35"/>
      <c r="J266" s="186"/>
      <c r="K266" s="110"/>
      <c r="L266" s="35"/>
      <c r="M266" s="172"/>
      <c r="N266" s="172"/>
      <c r="O266" s="35"/>
      <c r="P266" s="164"/>
      <c r="Q266" s="164"/>
      <c r="R266" s="164"/>
      <c r="S266" s="164"/>
      <c r="T266" s="164"/>
      <c r="U266" s="164"/>
      <c r="V266" s="35"/>
      <c r="W266" s="35"/>
      <c r="X266" s="35"/>
      <c r="Y266" s="35"/>
      <c r="Z266" s="35"/>
      <c r="AA266" s="35"/>
      <c r="AB266" s="35"/>
      <c r="AC266" s="35"/>
      <c r="AD266" s="35"/>
      <c r="AE266" s="35"/>
      <c r="AF266" s="35"/>
      <c r="AG266" s="35"/>
      <c r="AH266" s="35"/>
    </row>
    <row r="267">
      <c r="A267" s="35"/>
      <c r="B267" s="35"/>
      <c r="C267" s="35"/>
      <c r="D267" s="172"/>
      <c r="E267" s="21"/>
      <c r="F267" s="35"/>
      <c r="G267" s="35"/>
      <c r="H267" s="35"/>
      <c r="I267" s="35"/>
      <c r="J267" s="186"/>
      <c r="K267" s="110"/>
      <c r="L267" s="35"/>
      <c r="M267" s="172"/>
      <c r="N267" s="172"/>
      <c r="O267" s="35"/>
      <c r="P267" s="164"/>
      <c r="Q267" s="164"/>
      <c r="R267" s="164"/>
      <c r="S267" s="164"/>
      <c r="T267" s="164"/>
      <c r="U267" s="164"/>
      <c r="V267" s="35"/>
      <c r="W267" s="35"/>
      <c r="X267" s="35"/>
      <c r="Y267" s="35"/>
      <c r="Z267" s="35"/>
      <c r="AA267" s="35"/>
      <c r="AB267" s="35"/>
      <c r="AC267" s="35"/>
      <c r="AD267" s="35"/>
      <c r="AE267" s="35"/>
      <c r="AF267" s="35"/>
      <c r="AG267" s="35"/>
      <c r="AH267" s="35"/>
    </row>
    <row r="268">
      <c r="A268" s="35"/>
      <c r="B268" s="35"/>
      <c r="C268" s="35"/>
      <c r="D268" s="172"/>
      <c r="E268" s="21"/>
      <c r="F268" s="35"/>
      <c r="G268" s="35"/>
      <c r="H268" s="35"/>
      <c r="I268" s="35"/>
      <c r="J268" s="186"/>
      <c r="K268" s="110"/>
      <c r="L268" s="35"/>
      <c r="M268" s="172"/>
      <c r="N268" s="172"/>
      <c r="O268" s="35"/>
      <c r="P268" s="164"/>
      <c r="Q268" s="164"/>
      <c r="R268" s="164"/>
      <c r="S268" s="164"/>
      <c r="T268" s="164"/>
      <c r="U268" s="164"/>
      <c r="V268" s="35"/>
      <c r="W268" s="35"/>
      <c r="X268" s="35"/>
      <c r="Y268" s="35"/>
      <c r="Z268" s="35"/>
      <c r="AA268" s="35"/>
      <c r="AB268" s="35"/>
      <c r="AC268" s="35"/>
      <c r="AD268" s="35"/>
      <c r="AE268" s="35"/>
      <c r="AF268" s="35"/>
      <c r="AG268" s="35"/>
      <c r="AH268" s="35"/>
    </row>
    <row r="269">
      <c r="A269" s="35"/>
      <c r="B269" s="35"/>
      <c r="C269" s="35"/>
      <c r="D269" s="172"/>
      <c r="E269" s="21"/>
      <c r="F269" s="35"/>
      <c r="G269" s="35"/>
      <c r="H269" s="35"/>
      <c r="I269" s="35"/>
      <c r="J269" s="186"/>
      <c r="K269" s="110"/>
      <c r="L269" s="35"/>
      <c r="M269" s="172"/>
      <c r="N269" s="172"/>
      <c r="O269" s="35"/>
      <c r="P269" s="164"/>
      <c r="Q269" s="164"/>
      <c r="R269" s="164"/>
      <c r="S269" s="164"/>
      <c r="T269" s="164"/>
      <c r="U269" s="164"/>
      <c r="V269" s="35"/>
      <c r="W269" s="35"/>
      <c r="X269" s="35"/>
      <c r="Y269" s="35"/>
      <c r="Z269" s="35"/>
      <c r="AA269" s="35"/>
      <c r="AB269" s="35"/>
      <c r="AC269" s="35"/>
      <c r="AD269" s="35"/>
      <c r="AE269" s="35"/>
      <c r="AF269" s="35"/>
      <c r="AG269" s="35"/>
      <c r="AH269" s="35"/>
    </row>
    <row r="270">
      <c r="A270" s="35"/>
      <c r="B270" s="35"/>
      <c r="C270" s="35"/>
      <c r="D270" s="172"/>
      <c r="E270" s="21"/>
      <c r="F270" s="35"/>
      <c r="G270" s="35"/>
      <c r="H270" s="35"/>
      <c r="I270" s="35"/>
      <c r="J270" s="186"/>
      <c r="K270" s="110"/>
      <c r="L270" s="35"/>
      <c r="M270" s="172"/>
      <c r="N270" s="172"/>
      <c r="O270" s="35"/>
      <c r="P270" s="164"/>
      <c r="Q270" s="164"/>
      <c r="R270" s="164"/>
      <c r="S270" s="164"/>
      <c r="T270" s="164"/>
      <c r="U270" s="164"/>
      <c r="V270" s="35"/>
      <c r="W270" s="35"/>
      <c r="X270" s="35"/>
      <c r="Y270" s="35"/>
      <c r="Z270" s="35"/>
      <c r="AA270" s="35"/>
      <c r="AB270" s="35"/>
      <c r="AC270" s="35"/>
      <c r="AD270" s="35"/>
      <c r="AE270" s="35"/>
      <c r="AF270" s="35"/>
      <c r="AG270" s="35"/>
      <c r="AH270" s="35"/>
    </row>
    <row r="271">
      <c r="A271" s="35"/>
      <c r="B271" s="35"/>
      <c r="C271" s="35"/>
      <c r="D271" s="172"/>
      <c r="E271" s="21"/>
      <c r="F271" s="35"/>
      <c r="G271" s="35"/>
      <c r="H271" s="35"/>
      <c r="I271" s="35"/>
      <c r="J271" s="186"/>
      <c r="K271" s="110"/>
      <c r="L271" s="35"/>
      <c r="M271" s="172"/>
      <c r="N271" s="172"/>
      <c r="O271" s="35"/>
      <c r="P271" s="164"/>
      <c r="Q271" s="164"/>
      <c r="R271" s="164"/>
      <c r="S271" s="164"/>
      <c r="T271" s="164"/>
      <c r="U271" s="164"/>
      <c r="V271" s="35"/>
      <c r="W271" s="35"/>
      <c r="X271" s="35"/>
      <c r="Y271" s="35"/>
      <c r="Z271" s="35"/>
      <c r="AA271" s="35"/>
      <c r="AB271" s="35"/>
      <c r="AC271" s="35"/>
      <c r="AD271" s="35"/>
      <c r="AE271" s="35"/>
      <c r="AF271" s="35"/>
      <c r="AG271" s="35"/>
      <c r="AH271" s="35"/>
    </row>
    <row r="272">
      <c r="A272" s="35"/>
      <c r="B272" s="35"/>
      <c r="C272" s="35"/>
      <c r="D272" s="172"/>
      <c r="E272" s="21"/>
      <c r="F272" s="35"/>
      <c r="G272" s="35"/>
      <c r="H272" s="35"/>
      <c r="I272" s="35"/>
      <c r="J272" s="186"/>
      <c r="K272" s="110"/>
      <c r="L272" s="35"/>
      <c r="M272" s="172"/>
      <c r="N272" s="172"/>
      <c r="O272" s="35"/>
      <c r="P272" s="164"/>
      <c r="Q272" s="164"/>
      <c r="R272" s="164"/>
      <c r="S272" s="164"/>
      <c r="T272" s="164"/>
      <c r="U272" s="164"/>
      <c r="V272" s="35"/>
      <c r="W272" s="35"/>
      <c r="X272" s="35"/>
      <c r="Y272" s="35"/>
      <c r="Z272" s="35"/>
      <c r="AA272" s="35"/>
      <c r="AB272" s="35"/>
      <c r="AC272" s="35"/>
      <c r="AD272" s="35"/>
      <c r="AE272" s="35"/>
      <c r="AF272" s="35"/>
      <c r="AG272" s="35"/>
      <c r="AH272" s="35"/>
    </row>
    <row r="273">
      <c r="A273" s="35"/>
      <c r="B273" s="35"/>
      <c r="C273" s="35"/>
      <c r="D273" s="172"/>
      <c r="E273" s="21"/>
      <c r="F273" s="35"/>
      <c r="G273" s="35"/>
      <c r="H273" s="35"/>
      <c r="I273" s="35"/>
      <c r="J273" s="186"/>
      <c r="K273" s="110"/>
      <c r="L273" s="35"/>
      <c r="M273" s="172"/>
      <c r="N273" s="172"/>
      <c r="O273" s="35"/>
      <c r="P273" s="164"/>
      <c r="Q273" s="164"/>
      <c r="R273" s="164"/>
      <c r="S273" s="164"/>
      <c r="T273" s="164"/>
      <c r="U273" s="164"/>
      <c r="V273" s="35"/>
      <c r="W273" s="35"/>
      <c r="X273" s="35"/>
      <c r="Y273" s="35"/>
      <c r="Z273" s="35"/>
      <c r="AA273" s="35"/>
      <c r="AB273" s="35"/>
      <c r="AC273" s="35"/>
      <c r="AD273" s="35"/>
      <c r="AE273" s="35"/>
      <c r="AF273" s="35"/>
      <c r="AG273" s="35"/>
      <c r="AH273" s="35"/>
    </row>
    <row r="274">
      <c r="A274" s="35"/>
      <c r="B274" s="35"/>
      <c r="C274" s="35"/>
      <c r="D274" s="172"/>
      <c r="E274" s="21"/>
      <c r="F274" s="35"/>
      <c r="G274" s="35"/>
      <c r="H274" s="35"/>
      <c r="I274" s="35"/>
      <c r="J274" s="186"/>
      <c r="K274" s="110"/>
      <c r="L274" s="35"/>
      <c r="M274" s="172"/>
      <c r="N274" s="172"/>
      <c r="O274" s="35"/>
      <c r="P274" s="164"/>
      <c r="Q274" s="164"/>
      <c r="R274" s="164"/>
      <c r="S274" s="164"/>
      <c r="T274" s="164"/>
      <c r="U274" s="164"/>
      <c r="V274" s="35"/>
      <c r="W274" s="35"/>
      <c r="X274" s="35"/>
      <c r="Y274" s="35"/>
      <c r="Z274" s="35"/>
      <c r="AA274" s="35"/>
      <c r="AB274" s="35"/>
      <c r="AC274" s="35"/>
      <c r="AD274" s="35"/>
      <c r="AE274" s="35"/>
      <c r="AF274" s="35"/>
      <c r="AG274" s="35"/>
      <c r="AH274" s="35"/>
    </row>
    <row r="275">
      <c r="A275" s="35"/>
      <c r="B275" s="35"/>
      <c r="C275" s="35"/>
      <c r="D275" s="172"/>
      <c r="E275" s="21"/>
      <c r="F275" s="35"/>
      <c r="G275" s="35"/>
      <c r="H275" s="35"/>
      <c r="I275" s="35"/>
      <c r="J275" s="186"/>
      <c r="K275" s="110"/>
      <c r="L275" s="35"/>
      <c r="M275" s="172"/>
      <c r="N275" s="172"/>
      <c r="O275" s="35"/>
      <c r="P275" s="164"/>
      <c r="Q275" s="164"/>
      <c r="R275" s="164"/>
      <c r="S275" s="164"/>
      <c r="T275" s="164"/>
      <c r="U275" s="164"/>
      <c r="V275" s="35"/>
      <c r="W275" s="35"/>
      <c r="X275" s="35"/>
      <c r="Y275" s="35"/>
      <c r="Z275" s="35"/>
      <c r="AA275" s="35"/>
      <c r="AB275" s="35"/>
      <c r="AC275" s="35"/>
      <c r="AD275" s="35"/>
      <c r="AE275" s="35"/>
      <c r="AF275" s="35"/>
      <c r="AG275" s="35"/>
      <c r="AH275" s="35"/>
    </row>
    <row r="276">
      <c r="A276" s="35"/>
      <c r="B276" s="35"/>
      <c r="C276" s="35"/>
      <c r="D276" s="172"/>
      <c r="E276" s="21"/>
      <c r="F276" s="35"/>
      <c r="G276" s="35"/>
      <c r="H276" s="35"/>
      <c r="I276" s="35"/>
      <c r="J276" s="186"/>
      <c r="K276" s="110"/>
      <c r="L276" s="35"/>
      <c r="M276" s="172"/>
      <c r="N276" s="172"/>
      <c r="O276" s="35"/>
      <c r="P276" s="164"/>
      <c r="Q276" s="164"/>
      <c r="R276" s="164"/>
      <c r="S276" s="164"/>
      <c r="T276" s="164"/>
      <c r="U276" s="164"/>
      <c r="V276" s="35"/>
      <c r="W276" s="35"/>
      <c r="X276" s="35"/>
      <c r="Y276" s="35"/>
      <c r="Z276" s="35"/>
      <c r="AA276" s="35"/>
      <c r="AB276" s="35"/>
      <c r="AC276" s="35"/>
      <c r="AD276" s="35"/>
      <c r="AE276" s="35"/>
      <c r="AF276" s="35"/>
      <c r="AG276" s="35"/>
      <c r="AH276" s="35"/>
    </row>
    <row r="277">
      <c r="A277" s="35"/>
      <c r="B277" s="35"/>
      <c r="C277" s="35"/>
      <c r="D277" s="172"/>
      <c r="E277" s="21"/>
      <c r="F277" s="35"/>
      <c r="G277" s="35"/>
      <c r="H277" s="35"/>
      <c r="I277" s="35"/>
      <c r="J277" s="186"/>
      <c r="K277" s="110"/>
      <c r="L277" s="35"/>
      <c r="M277" s="172"/>
      <c r="N277" s="172"/>
      <c r="O277" s="35"/>
      <c r="P277" s="164"/>
      <c r="Q277" s="164"/>
      <c r="R277" s="164"/>
      <c r="S277" s="164"/>
      <c r="T277" s="164"/>
      <c r="U277" s="164"/>
      <c r="V277" s="35"/>
      <c r="W277" s="35"/>
      <c r="X277" s="35"/>
      <c r="Y277" s="35"/>
      <c r="Z277" s="35"/>
      <c r="AA277" s="35"/>
      <c r="AB277" s="35"/>
      <c r="AC277" s="35"/>
      <c r="AD277" s="35"/>
      <c r="AE277" s="35"/>
      <c r="AF277" s="35"/>
      <c r="AG277" s="35"/>
      <c r="AH277" s="35"/>
    </row>
    <row r="278">
      <c r="A278" s="35"/>
      <c r="B278" s="35"/>
      <c r="C278" s="35"/>
      <c r="D278" s="172"/>
      <c r="E278" s="21"/>
      <c r="F278" s="35"/>
      <c r="G278" s="35"/>
      <c r="H278" s="35"/>
      <c r="I278" s="35"/>
      <c r="J278" s="186"/>
      <c r="K278" s="110"/>
      <c r="L278" s="35"/>
      <c r="M278" s="172"/>
      <c r="N278" s="172"/>
      <c r="O278" s="35"/>
      <c r="P278" s="164"/>
      <c r="Q278" s="164"/>
      <c r="R278" s="164"/>
      <c r="S278" s="164"/>
      <c r="T278" s="164"/>
      <c r="U278" s="164"/>
      <c r="V278" s="35"/>
      <c r="W278" s="35"/>
      <c r="X278" s="35"/>
      <c r="Y278" s="35"/>
      <c r="Z278" s="35"/>
      <c r="AA278" s="35"/>
      <c r="AB278" s="35"/>
      <c r="AC278" s="35"/>
      <c r="AD278" s="35"/>
      <c r="AE278" s="35"/>
      <c r="AF278" s="35"/>
      <c r="AG278" s="35"/>
      <c r="AH278" s="35"/>
    </row>
    <row r="279">
      <c r="A279" s="35"/>
      <c r="B279" s="35"/>
      <c r="C279" s="35"/>
      <c r="D279" s="172"/>
      <c r="E279" s="21"/>
      <c r="F279" s="35"/>
      <c r="G279" s="35"/>
      <c r="H279" s="35"/>
      <c r="I279" s="35"/>
      <c r="J279" s="186"/>
      <c r="K279" s="110"/>
      <c r="L279" s="35"/>
      <c r="M279" s="172"/>
      <c r="N279" s="172"/>
      <c r="O279" s="35"/>
      <c r="P279" s="164"/>
      <c r="Q279" s="164"/>
      <c r="R279" s="164"/>
      <c r="S279" s="164"/>
      <c r="T279" s="164"/>
      <c r="U279" s="164"/>
      <c r="V279" s="35"/>
      <c r="W279" s="35"/>
      <c r="X279" s="35"/>
      <c r="Y279" s="35"/>
      <c r="Z279" s="35"/>
      <c r="AA279" s="35"/>
      <c r="AB279" s="35"/>
      <c r="AC279" s="35"/>
      <c r="AD279" s="35"/>
      <c r="AE279" s="35"/>
      <c r="AF279" s="35"/>
      <c r="AG279" s="35"/>
      <c r="AH279" s="35"/>
    </row>
    <row r="280">
      <c r="A280" s="35"/>
      <c r="B280" s="35"/>
      <c r="C280" s="35"/>
      <c r="D280" s="172"/>
      <c r="E280" s="21"/>
      <c r="F280" s="35"/>
      <c r="G280" s="35"/>
      <c r="H280" s="35"/>
      <c r="I280" s="35"/>
      <c r="J280" s="186"/>
      <c r="K280" s="110"/>
      <c r="L280" s="35"/>
      <c r="M280" s="172"/>
      <c r="N280" s="172"/>
      <c r="O280" s="35"/>
      <c r="P280" s="164"/>
      <c r="Q280" s="164"/>
      <c r="R280" s="164"/>
      <c r="S280" s="164"/>
      <c r="T280" s="164"/>
      <c r="U280" s="164"/>
      <c r="V280" s="35"/>
      <c r="W280" s="35"/>
      <c r="X280" s="35"/>
      <c r="Y280" s="35"/>
      <c r="Z280" s="35"/>
      <c r="AA280" s="35"/>
      <c r="AB280" s="35"/>
      <c r="AC280" s="35"/>
      <c r="AD280" s="35"/>
      <c r="AE280" s="35"/>
      <c r="AF280" s="35"/>
      <c r="AG280" s="35"/>
      <c r="AH280" s="35"/>
    </row>
    <row r="281">
      <c r="A281" s="35"/>
      <c r="B281" s="35"/>
      <c r="C281" s="35"/>
      <c r="D281" s="172"/>
      <c r="E281" s="21"/>
      <c r="F281" s="35"/>
      <c r="G281" s="35"/>
      <c r="H281" s="35"/>
      <c r="I281" s="35"/>
      <c r="J281" s="186"/>
      <c r="K281" s="110"/>
      <c r="L281" s="35"/>
      <c r="M281" s="172"/>
      <c r="N281" s="172"/>
      <c r="O281" s="35"/>
      <c r="P281" s="164"/>
      <c r="Q281" s="164"/>
      <c r="R281" s="164"/>
      <c r="S281" s="164"/>
      <c r="T281" s="164"/>
      <c r="U281" s="164"/>
      <c r="V281" s="35"/>
      <c r="W281" s="35"/>
      <c r="X281" s="35"/>
      <c r="Y281" s="35"/>
      <c r="Z281" s="35"/>
      <c r="AA281" s="35"/>
      <c r="AB281" s="35"/>
      <c r="AC281" s="35"/>
      <c r="AD281" s="35"/>
      <c r="AE281" s="35"/>
      <c r="AF281" s="35"/>
      <c r="AG281" s="35"/>
      <c r="AH281" s="35"/>
    </row>
    <row r="282">
      <c r="A282" s="35"/>
      <c r="B282" s="35"/>
      <c r="C282" s="35"/>
      <c r="D282" s="172"/>
      <c r="E282" s="21"/>
      <c r="F282" s="35"/>
      <c r="G282" s="35"/>
      <c r="H282" s="35"/>
      <c r="I282" s="35"/>
      <c r="J282" s="186"/>
      <c r="K282" s="110"/>
      <c r="L282" s="35"/>
      <c r="M282" s="172"/>
      <c r="N282" s="172"/>
      <c r="O282" s="35"/>
      <c r="P282" s="164"/>
      <c r="Q282" s="164"/>
      <c r="R282" s="164"/>
      <c r="S282" s="164"/>
      <c r="T282" s="164"/>
      <c r="U282" s="164"/>
      <c r="V282" s="35"/>
      <c r="W282" s="35"/>
      <c r="X282" s="35"/>
      <c r="Y282" s="35"/>
      <c r="Z282" s="35"/>
      <c r="AA282" s="35"/>
      <c r="AB282" s="35"/>
      <c r="AC282" s="35"/>
      <c r="AD282" s="35"/>
      <c r="AE282" s="35"/>
      <c r="AF282" s="35"/>
      <c r="AG282" s="35"/>
      <c r="AH282" s="35"/>
    </row>
    <row r="283">
      <c r="A283" s="35"/>
      <c r="B283" s="35"/>
      <c r="C283" s="35"/>
      <c r="D283" s="172"/>
      <c r="E283" s="21"/>
      <c r="F283" s="35"/>
      <c r="G283" s="35"/>
      <c r="H283" s="35"/>
      <c r="I283" s="35"/>
      <c r="J283" s="186"/>
      <c r="K283" s="110"/>
      <c r="L283" s="35"/>
      <c r="M283" s="172"/>
      <c r="N283" s="172"/>
      <c r="O283" s="35"/>
      <c r="P283" s="164"/>
      <c r="Q283" s="164"/>
      <c r="R283" s="164"/>
      <c r="S283" s="164"/>
      <c r="T283" s="164"/>
      <c r="U283" s="164"/>
      <c r="V283" s="35"/>
      <c r="W283" s="35"/>
      <c r="X283" s="35"/>
      <c r="Y283" s="35"/>
      <c r="Z283" s="35"/>
      <c r="AA283" s="35"/>
      <c r="AB283" s="35"/>
      <c r="AC283" s="35"/>
      <c r="AD283" s="35"/>
      <c r="AE283" s="35"/>
      <c r="AF283" s="35"/>
      <c r="AG283" s="35"/>
      <c r="AH283" s="35"/>
    </row>
    <row r="284">
      <c r="A284" s="35"/>
      <c r="B284" s="35"/>
      <c r="C284" s="35"/>
      <c r="D284" s="172"/>
      <c r="E284" s="21"/>
      <c r="F284" s="35"/>
      <c r="G284" s="35"/>
      <c r="H284" s="35"/>
      <c r="I284" s="35"/>
      <c r="J284" s="186"/>
      <c r="K284" s="110"/>
      <c r="L284" s="35"/>
      <c r="M284" s="172"/>
      <c r="N284" s="172"/>
      <c r="O284" s="35"/>
      <c r="P284" s="164"/>
      <c r="Q284" s="164"/>
      <c r="R284" s="164"/>
      <c r="S284" s="164"/>
      <c r="T284" s="164"/>
      <c r="U284" s="164"/>
      <c r="V284" s="35"/>
      <c r="W284" s="35"/>
      <c r="X284" s="35"/>
      <c r="Y284" s="35"/>
      <c r="Z284" s="35"/>
      <c r="AA284" s="35"/>
      <c r="AB284" s="35"/>
      <c r="AC284" s="35"/>
      <c r="AD284" s="35"/>
      <c r="AE284" s="35"/>
      <c r="AF284" s="35"/>
      <c r="AG284" s="35"/>
      <c r="AH284" s="35"/>
    </row>
    <row r="285">
      <c r="A285" s="35"/>
      <c r="B285" s="35"/>
      <c r="C285" s="35"/>
      <c r="D285" s="172"/>
      <c r="E285" s="21"/>
      <c r="F285" s="35"/>
      <c r="G285" s="35"/>
      <c r="H285" s="35"/>
      <c r="I285" s="35"/>
      <c r="J285" s="186"/>
      <c r="K285" s="110"/>
      <c r="L285" s="35"/>
      <c r="M285" s="172"/>
      <c r="N285" s="172"/>
      <c r="O285" s="35"/>
      <c r="P285" s="164"/>
      <c r="Q285" s="164"/>
      <c r="R285" s="164"/>
      <c r="S285" s="164"/>
      <c r="T285" s="164"/>
      <c r="U285" s="164"/>
      <c r="V285" s="35"/>
      <c r="W285" s="35"/>
      <c r="X285" s="35"/>
      <c r="Y285" s="35"/>
      <c r="Z285" s="35"/>
      <c r="AA285" s="35"/>
      <c r="AB285" s="35"/>
      <c r="AC285" s="35"/>
      <c r="AD285" s="35"/>
      <c r="AE285" s="35"/>
      <c r="AF285" s="35"/>
      <c r="AG285" s="35"/>
      <c r="AH285" s="35"/>
    </row>
    <row r="286">
      <c r="A286" s="35"/>
      <c r="B286" s="35"/>
      <c r="C286" s="35"/>
      <c r="D286" s="172"/>
      <c r="E286" s="21"/>
      <c r="F286" s="35"/>
      <c r="G286" s="35"/>
      <c r="H286" s="35"/>
      <c r="I286" s="35"/>
      <c r="J286" s="186"/>
      <c r="K286" s="110"/>
      <c r="L286" s="35"/>
      <c r="M286" s="172"/>
      <c r="N286" s="172"/>
      <c r="O286" s="35"/>
      <c r="P286" s="164"/>
      <c r="Q286" s="164"/>
      <c r="R286" s="164"/>
      <c r="S286" s="164"/>
      <c r="T286" s="164"/>
      <c r="U286" s="164"/>
      <c r="V286" s="35"/>
      <c r="W286" s="35"/>
      <c r="X286" s="35"/>
      <c r="Y286" s="35"/>
      <c r="Z286" s="35"/>
      <c r="AA286" s="35"/>
      <c r="AB286" s="35"/>
      <c r="AC286" s="35"/>
      <c r="AD286" s="35"/>
      <c r="AE286" s="35"/>
      <c r="AF286" s="35"/>
      <c r="AG286" s="35"/>
      <c r="AH286" s="35"/>
    </row>
    <row r="287">
      <c r="A287" s="35"/>
      <c r="B287" s="35"/>
      <c r="C287" s="35"/>
      <c r="D287" s="172"/>
      <c r="E287" s="21"/>
      <c r="F287" s="35"/>
      <c r="G287" s="35"/>
      <c r="H287" s="35"/>
      <c r="I287" s="35"/>
      <c r="J287" s="186"/>
      <c r="K287" s="110"/>
      <c r="L287" s="35"/>
      <c r="M287" s="172"/>
      <c r="N287" s="172"/>
      <c r="O287" s="35"/>
      <c r="P287" s="164"/>
      <c r="Q287" s="164"/>
      <c r="R287" s="164"/>
      <c r="S287" s="164"/>
      <c r="T287" s="164"/>
      <c r="U287" s="164"/>
      <c r="V287" s="35"/>
      <c r="W287" s="35"/>
      <c r="X287" s="35"/>
      <c r="Y287" s="35"/>
      <c r="Z287" s="35"/>
      <c r="AA287" s="35"/>
      <c r="AB287" s="35"/>
      <c r="AC287" s="35"/>
      <c r="AD287" s="35"/>
      <c r="AE287" s="35"/>
      <c r="AF287" s="35"/>
      <c r="AG287" s="35"/>
      <c r="AH287" s="35"/>
    </row>
    <row r="288">
      <c r="A288" s="35"/>
      <c r="B288" s="35"/>
      <c r="C288" s="35"/>
      <c r="D288" s="172"/>
      <c r="E288" s="21"/>
      <c r="F288" s="35"/>
      <c r="G288" s="35"/>
      <c r="H288" s="35"/>
      <c r="I288" s="35"/>
      <c r="J288" s="186"/>
      <c r="K288" s="110"/>
      <c r="L288" s="35"/>
      <c r="M288" s="172"/>
      <c r="N288" s="172"/>
      <c r="O288" s="35"/>
      <c r="P288" s="164"/>
      <c r="Q288" s="164"/>
      <c r="R288" s="164"/>
      <c r="S288" s="164"/>
      <c r="T288" s="164"/>
      <c r="U288" s="164"/>
      <c r="V288" s="35"/>
      <c r="W288" s="35"/>
      <c r="X288" s="35"/>
      <c r="Y288" s="35"/>
      <c r="Z288" s="35"/>
      <c r="AA288" s="35"/>
      <c r="AB288" s="35"/>
      <c r="AC288" s="35"/>
      <c r="AD288" s="35"/>
      <c r="AE288" s="35"/>
      <c r="AF288" s="35"/>
      <c r="AG288" s="35"/>
      <c r="AH288" s="35"/>
    </row>
    <row r="289">
      <c r="A289" s="35"/>
      <c r="B289" s="35"/>
      <c r="C289" s="35"/>
      <c r="D289" s="172"/>
      <c r="E289" s="21"/>
      <c r="F289" s="35"/>
      <c r="G289" s="35"/>
      <c r="H289" s="35"/>
      <c r="I289" s="35"/>
      <c r="J289" s="186"/>
      <c r="K289" s="110"/>
      <c r="L289" s="35"/>
      <c r="M289" s="172"/>
      <c r="N289" s="172"/>
      <c r="O289" s="35"/>
      <c r="P289" s="164"/>
      <c r="Q289" s="164"/>
      <c r="R289" s="164"/>
      <c r="S289" s="164"/>
      <c r="T289" s="164"/>
      <c r="U289" s="164"/>
      <c r="V289" s="35"/>
      <c r="W289" s="35"/>
      <c r="X289" s="35"/>
      <c r="Y289" s="35"/>
      <c r="Z289" s="35"/>
      <c r="AA289" s="35"/>
      <c r="AB289" s="35"/>
      <c r="AC289" s="35"/>
      <c r="AD289" s="35"/>
      <c r="AE289" s="35"/>
      <c r="AF289" s="35"/>
      <c r="AG289" s="35"/>
      <c r="AH289" s="35"/>
    </row>
    <row r="290">
      <c r="A290" s="35"/>
      <c r="B290" s="35"/>
      <c r="C290" s="35"/>
      <c r="D290" s="172"/>
      <c r="E290" s="21"/>
      <c r="F290" s="35"/>
      <c r="G290" s="35"/>
      <c r="H290" s="35"/>
      <c r="I290" s="35"/>
      <c r="J290" s="186"/>
      <c r="K290" s="110"/>
      <c r="L290" s="35"/>
      <c r="M290" s="172"/>
      <c r="N290" s="172"/>
      <c r="O290" s="35"/>
      <c r="P290" s="164"/>
      <c r="Q290" s="164"/>
      <c r="R290" s="164"/>
      <c r="S290" s="164"/>
      <c r="T290" s="164"/>
      <c r="U290" s="164"/>
      <c r="V290" s="35"/>
      <c r="W290" s="35"/>
      <c r="X290" s="35"/>
      <c r="Y290" s="35"/>
      <c r="Z290" s="35"/>
      <c r="AA290" s="35"/>
      <c r="AB290" s="35"/>
      <c r="AC290" s="35"/>
      <c r="AD290" s="35"/>
      <c r="AE290" s="35"/>
      <c r="AF290" s="35"/>
      <c r="AG290" s="35"/>
      <c r="AH290" s="35"/>
    </row>
    <row r="291">
      <c r="A291" s="35"/>
      <c r="B291" s="35"/>
      <c r="C291" s="35"/>
      <c r="D291" s="172"/>
      <c r="E291" s="21"/>
      <c r="F291" s="35"/>
      <c r="G291" s="35"/>
      <c r="H291" s="35"/>
      <c r="I291" s="35"/>
      <c r="J291" s="186"/>
      <c r="K291" s="110"/>
      <c r="L291" s="35"/>
      <c r="M291" s="172"/>
      <c r="N291" s="172"/>
      <c r="O291" s="35"/>
      <c r="P291" s="164"/>
      <c r="Q291" s="164"/>
      <c r="R291" s="164"/>
      <c r="S291" s="164"/>
      <c r="T291" s="164"/>
      <c r="U291" s="164"/>
      <c r="V291" s="35"/>
      <c r="W291" s="35"/>
      <c r="X291" s="35"/>
      <c r="Y291" s="35"/>
      <c r="Z291" s="35"/>
      <c r="AA291" s="35"/>
      <c r="AB291" s="35"/>
      <c r="AC291" s="35"/>
      <c r="AD291" s="35"/>
      <c r="AE291" s="35"/>
      <c r="AF291" s="35"/>
      <c r="AG291" s="35"/>
      <c r="AH291" s="35"/>
    </row>
    <row r="292">
      <c r="A292" s="35"/>
      <c r="B292" s="35"/>
      <c r="C292" s="35"/>
      <c r="D292" s="172"/>
      <c r="E292" s="21"/>
      <c r="F292" s="35"/>
      <c r="G292" s="35"/>
      <c r="H292" s="35"/>
      <c r="I292" s="35"/>
      <c r="J292" s="186"/>
      <c r="K292" s="110"/>
      <c r="L292" s="35"/>
      <c r="M292" s="172"/>
      <c r="N292" s="172"/>
      <c r="O292" s="35"/>
      <c r="P292" s="164"/>
      <c r="Q292" s="164"/>
      <c r="R292" s="164"/>
      <c r="S292" s="164"/>
      <c r="T292" s="164"/>
      <c r="U292" s="164"/>
      <c r="V292" s="35"/>
      <c r="W292" s="35"/>
      <c r="X292" s="35"/>
      <c r="Y292" s="35"/>
      <c r="Z292" s="35"/>
      <c r="AA292" s="35"/>
      <c r="AB292" s="35"/>
      <c r="AC292" s="35"/>
      <c r="AD292" s="35"/>
      <c r="AE292" s="35"/>
      <c r="AF292" s="35"/>
      <c r="AG292" s="35"/>
      <c r="AH292" s="35"/>
    </row>
    <row r="293">
      <c r="A293" s="35"/>
      <c r="B293" s="35"/>
      <c r="C293" s="35"/>
      <c r="D293" s="172"/>
      <c r="E293" s="21"/>
      <c r="F293" s="35"/>
      <c r="G293" s="35"/>
      <c r="H293" s="35"/>
      <c r="I293" s="35"/>
      <c r="J293" s="186"/>
      <c r="K293" s="110"/>
      <c r="L293" s="35"/>
      <c r="M293" s="172"/>
      <c r="N293" s="172"/>
      <c r="O293" s="35"/>
      <c r="P293" s="164"/>
      <c r="Q293" s="164"/>
      <c r="R293" s="164"/>
      <c r="S293" s="164"/>
      <c r="T293" s="164"/>
      <c r="U293" s="164"/>
      <c r="V293" s="35"/>
      <c r="W293" s="35"/>
      <c r="X293" s="35"/>
      <c r="Y293" s="35"/>
      <c r="Z293" s="35"/>
      <c r="AA293" s="35"/>
      <c r="AB293" s="35"/>
      <c r="AC293" s="35"/>
      <c r="AD293" s="35"/>
      <c r="AE293" s="35"/>
      <c r="AF293" s="35"/>
      <c r="AG293" s="35"/>
      <c r="AH293" s="35"/>
    </row>
    <row r="294">
      <c r="A294" s="35"/>
      <c r="B294" s="35"/>
      <c r="C294" s="35"/>
      <c r="D294" s="172"/>
      <c r="E294" s="21"/>
      <c r="F294" s="35"/>
      <c r="G294" s="35"/>
      <c r="H294" s="35"/>
      <c r="I294" s="35"/>
      <c r="J294" s="186"/>
      <c r="K294" s="110"/>
      <c r="L294" s="35"/>
      <c r="M294" s="172"/>
      <c r="N294" s="172"/>
      <c r="O294" s="35"/>
      <c r="P294" s="164"/>
      <c r="Q294" s="164"/>
      <c r="R294" s="164"/>
      <c r="S294" s="164"/>
      <c r="T294" s="164"/>
      <c r="U294" s="164"/>
      <c r="V294" s="35"/>
      <c r="W294" s="35"/>
      <c r="X294" s="35"/>
      <c r="Y294" s="35"/>
      <c r="Z294" s="35"/>
      <c r="AA294" s="35"/>
      <c r="AB294" s="35"/>
      <c r="AC294" s="35"/>
      <c r="AD294" s="35"/>
      <c r="AE294" s="35"/>
      <c r="AF294" s="35"/>
      <c r="AG294" s="35"/>
      <c r="AH294" s="35"/>
    </row>
    <row r="295">
      <c r="A295" s="35"/>
      <c r="B295" s="35"/>
      <c r="C295" s="35"/>
      <c r="D295" s="172"/>
      <c r="E295" s="21"/>
      <c r="F295" s="35"/>
      <c r="G295" s="35"/>
      <c r="H295" s="35"/>
      <c r="I295" s="35"/>
      <c r="J295" s="186"/>
      <c r="K295" s="110"/>
      <c r="L295" s="35"/>
      <c r="M295" s="172"/>
      <c r="N295" s="172"/>
      <c r="O295" s="35"/>
      <c r="P295" s="164"/>
      <c r="Q295" s="164"/>
      <c r="R295" s="164"/>
      <c r="S295" s="164"/>
      <c r="T295" s="164"/>
      <c r="U295" s="164"/>
      <c r="V295" s="35"/>
      <c r="W295" s="35"/>
      <c r="X295" s="35"/>
      <c r="Y295" s="35"/>
      <c r="Z295" s="35"/>
      <c r="AA295" s="35"/>
      <c r="AB295" s="35"/>
      <c r="AC295" s="35"/>
      <c r="AD295" s="35"/>
      <c r="AE295" s="35"/>
      <c r="AF295" s="35"/>
      <c r="AG295" s="35"/>
      <c r="AH295" s="35"/>
    </row>
    <row r="296">
      <c r="A296" s="35"/>
      <c r="B296" s="35"/>
      <c r="C296" s="35"/>
      <c r="D296" s="172"/>
      <c r="E296" s="21"/>
      <c r="F296" s="35"/>
      <c r="G296" s="35"/>
      <c r="H296" s="35"/>
      <c r="I296" s="35"/>
      <c r="J296" s="186"/>
      <c r="K296" s="110"/>
      <c r="L296" s="35"/>
      <c r="M296" s="172"/>
      <c r="N296" s="172"/>
      <c r="O296" s="35"/>
      <c r="P296" s="164"/>
      <c r="Q296" s="164"/>
      <c r="R296" s="164"/>
      <c r="S296" s="164"/>
      <c r="T296" s="164"/>
      <c r="U296" s="164"/>
      <c r="V296" s="35"/>
      <c r="W296" s="35"/>
      <c r="X296" s="35"/>
      <c r="Y296" s="35"/>
      <c r="Z296" s="35"/>
      <c r="AA296" s="35"/>
      <c r="AB296" s="35"/>
      <c r="AC296" s="35"/>
      <c r="AD296" s="35"/>
      <c r="AE296" s="35"/>
      <c r="AF296" s="35"/>
      <c r="AG296" s="35"/>
      <c r="AH296" s="35"/>
    </row>
    <row r="297">
      <c r="A297" s="35"/>
      <c r="B297" s="35"/>
      <c r="C297" s="35"/>
      <c r="D297" s="172"/>
      <c r="E297" s="21"/>
      <c r="F297" s="35"/>
      <c r="G297" s="35"/>
      <c r="H297" s="35"/>
      <c r="I297" s="35"/>
      <c r="J297" s="186"/>
      <c r="K297" s="110"/>
      <c r="L297" s="35"/>
      <c r="M297" s="172"/>
      <c r="N297" s="172"/>
      <c r="O297" s="35"/>
      <c r="P297" s="164"/>
      <c r="Q297" s="164"/>
      <c r="R297" s="164"/>
      <c r="S297" s="164"/>
      <c r="T297" s="164"/>
      <c r="U297" s="164"/>
      <c r="V297" s="35"/>
      <c r="W297" s="35"/>
      <c r="X297" s="35"/>
      <c r="Y297" s="35"/>
      <c r="Z297" s="35"/>
      <c r="AA297" s="35"/>
      <c r="AB297" s="35"/>
      <c r="AC297" s="35"/>
      <c r="AD297" s="35"/>
      <c r="AE297" s="35"/>
      <c r="AF297" s="35"/>
      <c r="AG297" s="35"/>
      <c r="AH297" s="35"/>
    </row>
    <row r="298">
      <c r="A298" s="35"/>
      <c r="B298" s="35"/>
      <c r="C298" s="35"/>
      <c r="D298" s="172"/>
      <c r="E298" s="21"/>
      <c r="F298" s="35"/>
      <c r="G298" s="35"/>
      <c r="H298" s="35"/>
      <c r="I298" s="35"/>
      <c r="J298" s="186"/>
      <c r="K298" s="110"/>
      <c r="L298" s="35"/>
      <c r="M298" s="172"/>
      <c r="N298" s="172"/>
      <c r="O298" s="35"/>
      <c r="P298" s="164"/>
      <c r="Q298" s="164"/>
      <c r="R298" s="164"/>
      <c r="S298" s="164"/>
      <c r="T298" s="164"/>
      <c r="U298" s="164"/>
      <c r="V298" s="35"/>
      <c r="W298" s="35"/>
      <c r="X298" s="35"/>
      <c r="Y298" s="35"/>
      <c r="Z298" s="35"/>
      <c r="AA298" s="35"/>
      <c r="AB298" s="35"/>
      <c r="AC298" s="35"/>
      <c r="AD298" s="35"/>
      <c r="AE298" s="35"/>
      <c r="AF298" s="35"/>
      <c r="AG298" s="35"/>
      <c r="AH298" s="35"/>
    </row>
    <row r="299">
      <c r="A299" s="35"/>
      <c r="B299" s="35"/>
      <c r="C299" s="35"/>
      <c r="D299" s="172"/>
      <c r="E299" s="21"/>
      <c r="F299" s="35"/>
      <c r="G299" s="35"/>
      <c r="H299" s="35"/>
      <c r="I299" s="35"/>
      <c r="J299" s="186"/>
      <c r="K299" s="110"/>
      <c r="L299" s="35"/>
      <c r="M299" s="172"/>
      <c r="N299" s="172"/>
      <c r="O299" s="35"/>
      <c r="P299" s="164"/>
      <c r="Q299" s="164"/>
      <c r="R299" s="164"/>
      <c r="S299" s="164"/>
      <c r="T299" s="164"/>
      <c r="U299" s="164"/>
      <c r="V299" s="35"/>
      <c r="W299" s="35"/>
      <c r="X299" s="35"/>
      <c r="Y299" s="35"/>
      <c r="Z299" s="35"/>
      <c r="AA299" s="35"/>
      <c r="AB299" s="35"/>
      <c r="AC299" s="35"/>
      <c r="AD299" s="35"/>
      <c r="AE299" s="35"/>
      <c r="AF299" s="35"/>
      <c r="AG299" s="35"/>
      <c r="AH299" s="35"/>
    </row>
    <row r="300">
      <c r="A300" s="35"/>
      <c r="B300" s="35"/>
      <c r="C300" s="35"/>
      <c r="D300" s="172"/>
      <c r="E300" s="21"/>
      <c r="F300" s="35"/>
      <c r="G300" s="35"/>
      <c r="H300" s="35"/>
      <c r="I300" s="35"/>
      <c r="J300" s="186"/>
      <c r="K300" s="110"/>
      <c r="L300" s="35"/>
      <c r="M300" s="172"/>
      <c r="N300" s="172"/>
      <c r="O300" s="35"/>
      <c r="P300" s="164"/>
      <c r="Q300" s="164"/>
      <c r="R300" s="164"/>
      <c r="S300" s="164"/>
      <c r="T300" s="164"/>
      <c r="U300" s="164"/>
      <c r="V300" s="35"/>
      <c r="W300" s="35"/>
      <c r="X300" s="35"/>
      <c r="Y300" s="35"/>
      <c r="Z300" s="35"/>
      <c r="AA300" s="35"/>
      <c r="AB300" s="35"/>
      <c r="AC300" s="35"/>
      <c r="AD300" s="35"/>
      <c r="AE300" s="35"/>
      <c r="AF300" s="35"/>
      <c r="AG300" s="35"/>
      <c r="AH300" s="35"/>
    </row>
    <row r="301">
      <c r="A301" s="35"/>
      <c r="B301" s="35"/>
      <c r="C301" s="35"/>
      <c r="D301" s="172"/>
      <c r="E301" s="21"/>
      <c r="F301" s="35"/>
      <c r="G301" s="35"/>
      <c r="H301" s="35"/>
      <c r="I301" s="35"/>
      <c r="J301" s="186"/>
      <c r="K301" s="110"/>
      <c r="L301" s="35"/>
      <c r="M301" s="172"/>
      <c r="N301" s="172"/>
      <c r="O301" s="35"/>
      <c r="P301" s="164"/>
      <c r="Q301" s="164"/>
      <c r="R301" s="164"/>
      <c r="S301" s="164"/>
      <c r="T301" s="164"/>
      <c r="U301" s="164"/>
      <c r="V301" s="35"/>
      <c r="W301" s="35"/>
      <c r="X301" s="35"/>
      <c r="Y301" s="35"/>
      <c r="Z301" s="35"/>
      <c r="AA301" s="35"/>
      <c r="AB301" s="35"/>
      <c r="AC301" s="35"/>
      <c r="AD301" s="35"/>
      <c r="AE301" s="35"/>
      <c r="AF301" s="35"/>
      <c r="AG301" s="35"/>
      <c r="AH301" s="35"/>
    </row>
    <row r="302">
      <c r="A302" s="35"/>
      <c r="B302" s="35"/>
      <c r="C302" s="35"/>
      <c r="D302" s="172"/>
      <c r="E302" s="21"/>
      <c r="F302" s="35"/>
      <c r="G302" s="35"/>
      <c r="H302" s="35"/>
      <c r="I302" s="35"/>
      <c r="J302" s="186"/>
      <c r="K302" s="110"/>
      <c r="L302" s="35"/>
      <c r="M302" s="172"/>
      <c r="N302" s="172"/>
      <c r="O302" s="35"/>
      <c r="P302" s="164"/>
      <c r="Q302" s="164"/>
      <c r="R302" s="164"/>
      <c r="S302" s="164"/>
      <c r="T302" s="164"/>
      <c r="U302" s="164"/>
      <c r="V302" s="35"/>
      <c r="W302" s="35"/>
      <c r="X302" s="35"/>
      <c r="Y302" s="35"/>
      <c r="Z302" s="35"/>
      <c r="AA302" s="35"/>
      <c r="AB302" s="35"/>
      <c r="AC302" s="35"/>
      <c r="AD302" s="35"/>
      <c r="AE302" s="35"/>
      <c r="AF302" s="35"/>
      <c r="AG302" s="35"/>
      <c r="AH302" s="35"/>
    </row>
    <row r="303">
      <c r="A303" s="35"/>
      <c r="B303" s="35"/>
      <c r="C303" s="35"/>
      <c r="D303" s="172"/>
      <c r="E303" s="21"/>
      <c r="F303" s="35"/>
      <c r="G303" s="35"/>
      <c r="H303" s="35"/>
      <c r="I303" s="35"/>
      <c r="J303" s="186"/>
      <c r="K303" s="110"/>
      <c r="L303" s="35"/>
      <c r="M303" s="172"/>
      <c r="N303" s="172"/>
      <c r="O303" s="35"/>
      <c r="P303" s="164"/>
      <c r="Q303" s="164"/>
      <c r="R303" s="164"/>
      <c r="S303" s="164"/>
      <c r="T303" s="164"/>
      <c r="U303" s="164"/>
      <c r="V303" s="35"/>
      <c r="W303" s="35"/>
      <c r="X303" s="35"/>
      <c r="Y303" s="35"/>
      <c r="Z303" s="35"/>
      <c r="AA303" s="35"/>
      <c r="AB303" s="35"/>
      <c r="AC303" s="35"/>
      <c r="AD303" s="35"/>
      <c r="AE303" s="35"/>
      <c r="AF303" s="35"/>
      <c r="AG303" s="35"/>
      <c r="AH303" s="35"/>
    </row>
    <row r="304">
      <c r="A304" s="35"/>
      <c r="B304" s="35"/>
      <c r="C304" s="35"/>
      <c r="D304" s="172"/>
      <c r="E304" s="21"/>
      <c r="F304" s="35"/>
      <c r="G304" s="35"/>
      <c r="H304" s="35"/>
      <c r="I304" s="35"/>
      <c r="J304" s="186"/>
      <c r="K304" s="110"/>
      <c r="L304" s="35"/>
      <c r="M304" s="172"/>
      <c r="N304" s="172"/>
      <c r="O304" s="35"/>
      <c r="P304" s="164"/>
      <c r="Q304" s="164"/>
      <c r="R304" s="164"/>
      <c r="S304" s="164"/>
      <c r="T304" s="164"/>
      <c r="U304" s="164"/>
      <c r="V304" s="35"/>
      <c r="W304" s="35"/>
      <c r="X304" s="35"/>
      <c r="Y304" s="35"/>
      <c r="Z304" s="35"/>
      <c r="AA304" s="35"/>
      <c r="AB304" s="35"/>
      <c r="AC304" s="35"/>
      <c r="AD304" s="35"/>
      <c r="AE304" s="35"/>
      <c r="AF304" s="35"/>
      <c r="AG304" s="35"/>
      <c r="AH304" s="35"/>
    </row>
    <row r="305">
      <c r="A305" s="35"/>
      <c r="B305" s="35"/>
      <c r="C305" s="35"/>
      <c r="D305" s="172"/>
      <c r="E305" s="21"/>
      <c r="F305" s="35"/>
      <c r="G305" s="35"/>
      <c r="H305" s="35"/>
      <c r="I305" s="35"/>
      <c r="J305" s="186"/>
      <c r="K305" s="110"/>
      <c r="L305" s="35"/>
      <c r="M305" s="172"/>
      <c r="N305" s="172"/>
      <c r="O305" s="35"/>
      <c r="P305" s="164"/>
      <c r="Q305" s="164"/>
      <c r="R305" s="164"/>
      <c r="S305" s="164"/>
      <c r="T305" s="164"/>
      <c r="U305" s="164"/>
      <c r="V305" s="35"/>
      <c r="W305" s="35"/>
      <c r="X305" s="35"/>
      <c r="Y305" s="35"/>
      <c r="Z305" s="35"/>
      <c r="AA305" s="35"/>
      <c r="AB305" s="35"/>
      <c r="AC305" s="35"/>
      <c r="AD305" s="35"/>
      <c r="AE305" s="35"/>
      <c r="AF305" s="35"/>
      <c r="AG305" s="35"/>
      <c r="AH305" s="35"/>
    </row>
    <row r="306">
      <c r="A306" s="35"/>
      <c r="B306" s="35"/>
      <c r="C306" s="35"/>
      <c r="D306" s="172"/>
      <c r="E306" s="21"/>
      <c r="F306" s="35"/>
      <c r="G306" s="35"/>
      <c r="H306" s="35"/>
      <c r="I306" s="35"/>
      <c r="J306" s="186"/>
      <c r="K306" s="110"/>
      <c r="L306" s="35"/>
      <c r="M306" s="172"/>
      <c r="N306" s="172"/>
      <c r="O306" s="35"/>
      <c r="P306" s="164"/>
      <c r="Q306" s="164"/>
      <c r="R306" s="164"/>
      <c r="S306" s="164"/>
      <c r="T306" s="164"/>
      <c r="U306" s="164"/>
      <c r="V306" s="35"/>
      <c r="W306" s="35"/>
      <c r="X306" s="35"/>
      <c r="Y306" s="35"/>
      <c r="Z306" s="35"/>
      <c r="AA306" s="35"/>
      <c r="AB306" s="35"/>
      <c r="AC306" s="35"/>
      <c r="AD306" s="35"/>
      <c r="AE306" s="35"/>
      <c r="AF306" s="35"/>
      <c r="AG306" s="35"/>
      <c r="AH306" s="35"/>
    </row>
    <row r="307">
      <c r="A307" s="35"/>
      <c r="B307" s="35"/>
      <c r="C307" s="35"/>
      <c r="D307" s="172"/>
      <c r="E307" s="21"/>
      <c r="F307" s="35"/>
      <c r="G307" s="35"/>
      <c r="H307" s="35"/>
      <c r="I307" s="35"/>
      <c r="J307" s="186"/>
      <c r="K307" s="110"/>
      <c r="L307" s="35"/>
      <c r="M307" s="172"/>
      <c r="N307" s="172"/>
      <c r="O307" s="35"/>
      <c r="P307" s="164"/>
      <c r="Q307" s="164"/>
      <c r="R307" s="164"/>
      <c r="S307" s="164"/>
      <c r="T307" s="164"/>
      <c r="U307" s="164"/>
      <c r="V307" s="35"/>
      <c r="W307" s="35"/>
      <c r="X307" s="35"/>
      <c r="Y307" s="35"/>
      <c r="Z307" s="35"/>
      <c r="AA307" s="35"/>
      <c r="AB307" s="35"/>
      <c r="AC307" s="35"/>
      <c r="AD307" s="35"/>
      <c r="AE307" s="35"/>
      <c r="AF307" s="35"/>
      <c r="AG307" s="35"/>
      <c r="AH307" s="35"/>
    </row>
    <row r="308">
      <c r="A308" s="35"/>
      <c r="B308" s="35"/>
      <c r="C308" s="35"/>
      <c r="D308" s="172"/>
      <c r="E308" s="21"/>
      <c r="F308" s="35"/>
      <c r="G308" s="35"/>
      <c r="H308" s="35"/>
      <c r="I308" s="35"/>
      <c r="J308" s="186"/>
      <c r="K308" s="110"/>
      <c r="L308" s="35"/>
      <c r="M308" s="172"/>
      <c r="N308" s="172"/>
      <c r="O308" s="35"/>
      <c r="P308" s="164"/>
      <c r="Q308" s="164"/>
      <c r="R308" s="164"/>
      <c r="S308" s="164"/>
      <c r="T308" s="164"/>
      <c r="U308" s="164"/>
      <c r="V308" s="35"/>
      <c r="W308" s="35"/>
      <c r="X308" s="35"/>
      <c r="Y308" s="35"/>
      <c r="Z308" s="35"/>
      <c r="AA308" s="35"/>
      <c r="AB308" s="35"/>
      <c r="AC308" s="35"/>
      <c r="AD308" s="35"/>
      <c r="AE308" s="35"/>
      <c r="AF308" s="35"/>
      <c r="AG308" s="35"/>
      <c r="AH308" s="35"/>
    </row>
    <row r="309">
      <c r="A309" s="35"/>
      <c r="B309" s="35"/>
      <c r="C309" s="35"/>
      <c r="D309" s="172"/>
      <c r="E309" s="21"/>
      <c r="F309" s="35"/>
      <c r="G309" s="35"/>
      <c r="H309" s="35"/>
      <c r="I309" s="35"/>
      <c r="J309" s="186"/>
      <c r="K309" s="110"/>
      <c r="L309" s="35"/>
      <c r="M309" s="172"/>
      <c r="N309" s="172"/>
      <c r="O309" s="35"/>
      <c r="P309" s="164"/>
      <c r="Q309" s="164"/>
      <c r="R309" s="164"/>
      <c r="S309" s="164"/>
      <c r="T309" s="164"/>
      <c r="U309" s="164"/>
      <c r="V309" s="35"/>
      <c r="W309" s="35"/>
      <c r="X309" s="35"/>
      <c r="Y309" s="35"/>
      <c r="Z309" s="35"/>
      <c r="AA309" s="35"/>
      <c r="AB309" s="35"/>
      <c r="AC309" s="35"/>
      <c r="AD309" s="35"/>
      <c r="AE309" s="35"/>
      <c r="AF309" s="35"/>
      <c r="AG309" s="35"/>
      <c r="AH309" s="35"/>
    </row>
    <row r="310">
      <c r="A310" s="35"/>
      <c r="B310" s="35"/>
      <c r="C310" s="35"/>
      <c r="D310" s="172"/>
      <c r="E310" s="21"/>
      <c r="F310" s="35"/>
      <c r="G310" s="35"/>
      <c r="H310" s="35"/>
      <c r="I310" s="35"/>
      <c r="J310" s="186"/>
      <c r="K310" s="110"/>
      <c r="L310" s="35"/>
      <c r="M310" s="172"/>
      <c r="N310" s="172"/>
      <c r="O310" s="35"/>
      <c r="P310" s="164"/>
      <c r="Q310" s="164"/>
      <c r="R310" s="164"/>
      <c r="S310" s="164"/>
      <c r="T310" s="164"/>
      <c r="U310" s="164"/>
      <c r="V310" s="35"/>
      <c r="W310" s="35"/>
      <c r="X310" s="35"/>
      <c r="Y310" s="35"/>
      <c r="Z310" s="35"/>
      <c r="AA310" s="35"/>
      <c r="AB310" s="35"/>
      <c r="AC310" s="35"/>
      <c r="AD310" s="35"/>
      <c r="AE310" s="35"/>
      <c r="AF310" s="35"/>
      <c r="AG310" s="35"/>
      <c r="AH310" s="35"/>
    </row>
    <row r="311">
      <c r="A311" s="35"/>
      <c r="B311" s="35"/>
      <c r="C311" s="35"/>
      <c r="D311" s="172"/>
      <c r="E311" s="21"/>
      <c r="F311" s="35"/>
      <c r="G311" s="35"/>
      <c r="H311" s="35"/>
      <c r="I311" s="35"/>
      <c r="J311" s="186"/>
      <c r="K311" s="110"/>
      <c r="L311" s="35"/>
      <c r="M311" s="172"/>
      <c r="N311" s="172"/>
      <c r="O311" s="35"/>
      <c r="P311" s="164"/>
      <c r="Q311" s="164"/>
      <c r="R311" s="164"/>
      <c r="S311" s="164"/>
      <c r="T311" s="164"/>
      <c r="U311" s="164"/>
      <c r="V311" s="35"/>
      <c r="W311" s="35"/>
      <c r="X311" s="35"/>
      <c r="Y311" s="35"/>
      <c r="Z311" s="35"/>
      <c r="AA311" s="35"/>
      <c r="AB311" s="35"/>
      <c r="AC311" s="35"/>
      <c r="AD311" s="35"/>
      <c r="AE311" s="35"/>
      <c r="AF311" s="35"/>
      <c r="AG311" s="35"/>
      <c r="AH311" s="35"/>
    </row>
    <row r="312">
      <c r="A312" s="35"/>
      <c r="B312" s="35"/>
      <c r="C312" s="35"/>
      <c r="D312" s="172"/>
      <c r="E312" s="21"/>
      <c r="F312" s="35"/>
      <c r="G312" s="35"/>
      <c r="H312" s="35"/>
      <c r="I312" s="35"/>
      <c r="J312" s="186"/>
      <c r="K312" s="110"/>
      <c r="L312" s="35"/>
      <c r="M312" s="172"/>
      <c r="N312" s="172"/>
      <c r="O312" s="35"/>
      <c r="P312" s="164"/>
      <c r="Q312" s="164"/>
      <c r="R312" s="164"/>
      <c r="S312" s="164"/>
      <c r="T312" s="164"/>
      <c r="U312" s="164"/>
      <c r="V312" s="35"/>
      <c r="W312" s="35"/>
      <c r="X312" s="35"/>
      <c r="Y312" s="35"/>
      <c r="Z312" s="35"/>
      <c r="AA312" s="35"/>
      <c r="AB312" s="35"/>
      <c r="AC312" s="35"/>
      <c r="AD312" s="35"/>
      <c r="AE312" s="35"/>
      <c r="AF312" s="35"/>
      <c r="AG312" s="35"/>
      <c r="AH312" s="35"/>
    </row>
    <row r="313">
      <c r="A313" s="35"/>
      <c r="B313" s="35"/>
      <c r="C313" s="35"/>
      <c r="D313" s="172"/>
      <c r="E313" s="21"/>
      <c r="F313" s="35"/>
      <c r="G313" s="35"/>
      <c r="H313" s="35"/>
      <c r="I313" s="35"/>
      <c r="J313" s="186"/>
      <c r="K313" s="110"/>
      <c r="L313" s="35"/>
      <c r="M313" s="172"/>
      <c r="N313" s="172"/>
      <c r="O313" s="35"/>
      <c r="P313" s="164"/>
      <c r="Q313" s="164"/>
      <c r="R313" s="164"/>
      <c r="S313" s="164"/>
      <c r="T313" s="164"/>
      <c r="U313" s="164"/>
      <c r="V313" s="35"/>
      <c r="W313" s="35"/>
      <c r="X313" s="35"/>
      <c r="Y313" s="35"/>
      <c r="Z313" s="35"/>
      <c r="AA313" s="35"/>
      <c r="AB313" s="35"/>
      <c r="AC313" s="35"/>
      <c r="AD313" s="35"/>
      <c r="AE313" s="35"/>
      <c r="AF313" s="35"/>
      <c r="AG313" s="35"/>
      <c r="AH313" s="35"/>
    </row>
    <row r="314">
      <c r="A314" s="35"/>
      <c r="B314" s="35"/>
      <c r="C314" s="35"/>
      <c r="D314" s="172"/>
      <c r="E314" s="21"/>
      <c r="F314" s="35"/>
      <c r="G314" s="35"/>
      <c r="H314" s="35"/>
      <c r="I314" s="35"/>
      <c r="J314" s="186"/>
      <c r="K314" s="110"/>
      <c r="L314" s="35"/>
      <c r="M314" s="172"/>
      <c r="N314" s="172"/>
      <c r="O314" s="35"/>
      <c r="P314" s="164"/>
      <c r="Q314" s="164"/>
      <c r="R314" s="164"/>
      <c r="S314" s="164"/>
      <c r="T314" s="164"/>
      <c r="U314" s="164"/>
      <c r="V314" s="35"/>
      <c r="W314" s="35"/>
      <c r="X314" s="35"/>
      <c r="Y314" s="35"/>
      <c r="Z314" s="35"/>
      <c r="AA314" s="35"/>
      <c r="AB314" s="35"/>
      <c r="AC314" s="35"/>
      <c r="AD314" s="35"/>
      <c r="AE314" s="35"/>
      <c r="AF314" s="35"/>
      <c r="AG314" s="35"/>
      <c r="AH314" s="35"/>
    </row>
    <row r="315">
      <c r="A315" s="35"/>
      <c r="B315" s="35"/>
      <c r="C315" s="35"/>
      <c r="D315" s="172"/>
      <c r="E315" s="21"/>
      <c r="F315" s="35"/>
      <c r="G315" s="35"/>
      <c r="H315" s="35"/>
      <c r="I315" s="35"/>
      <c r="J315" s="186"/>
      <c r="K315" s="110"/>
      <c r="L315" s="35"/>
      <c r="M315" s="172"/>
      <c r="N315" s="172"/>
      <c r="O315" s="35"/>
      <c r="P315" s="164"/>
      <c r="Q315" s="164"/>
      <c r="R315" s="164"/>
      <c r="S315" s="164"/>
      <c r="T315" s="164"/>
      <c r="U315" s="164"/>
      <c r="V315" s="35"/>
      <c r="W315" s="35"/>
      <c r="X315" s="35"/>
      <c r="Y315" s="35"/>
      <c r="Z315" s="35"/>
      <c r="AA315" s="35"/>
      <c r="AB315" s="35"/>
      <c r="AC315" s="35"/>
      <c r="AD315" s="35"/>
      <c r="AE315" s="35"/>
      <c r="AF315" s="35"/>
      <c r="AG315" s="35"/>
      <c r="AH315" s="35"/>
    </row>
    <row r="316">
      <c r="A316" s="35"/>
      <c r="B316" s="35"/>
      <c r="C316" s="35"/>
      <c r="D316" s="172"/>
      <c r="E316" s="21"/>
      <c r="F316" s="35"/>
      <c r="G316" s="35"/>
      <c r="H316" s="35"/>
      <c r="I316" s="35"/>
      <c r="J316" s="186"/>
      <c r="K316" s="110"/>
      <c r="L316" s="35"/>
      <c r="M316" s="172"/>
      <c r="N316" s="172"/>
      <c r="O316" s="35"/>
      <c r="P316" s="164"/>
      <c r="Q316" s="164"/>
      <c r="R316" s="164"/>
      <c r="S316" s="164"/>
      <c r="T316" s="164"/>
      <c r="U316" s="164"/>
      <c r="V316" s="35"/>
      <c r="W316" s="35"/>
      <c r="X316" s="35"/>
      <c r="Y316" s="35"/>
      <c r="Z316" s="35"/>
      <c r="AA316" s="35"/>
      <c r="AB316" s="35"/>
      <c r="AC316" s="35"/>
      <c r="AD316" s="35"/>
      <c r="AE316" s="35"/>
      <c r="AF316" s="35"/>
      <c r="AG316" s="35"/>
      <c r="AH316" s="35"/>
    </row>
    <row r="317">
      <c r="A317" s="35"/>
      <c r="B317" s="35"/>
      <c r="C317" s="35"/>
      <c r="D317" s="172"/>
      <c r="E317" s="21"/>
      <c r="F317" s="35"/>
      <c r="G317" s="35"/>
      <c r="H317" s="35"/>
      <c r="I317" s="35"/>
      <c r="J317" s="186"/>
      <c r="K317" s="110"/>
      <c r="L317" s="35"/>
      <c r="M317" s="172"/>
      <c r="N317" s="172"/>
      <c r="O317" s="35"/>
      <c r="P317" s="164"/>
      <c r="Q317" s="164"/>
      <c r="R317" s="164"/>
      <c r="S317" s="164"/>
      <c r="T317" s="164"/>
      <c r="U317" s="164"/>
      <c r="V317" s="35"/>
      <c r="W317" s="35"/>
      <c r="X317" s="35"/>
      <c r="Y317" s="35"/>
      <c r="Z317" s="35"/>
      <c r="AA317" s="35"/>
      <c r="AB317" s="35"/>
      <c r="AC317" s="35"/>
      <c r="AD317" s="35"/>
      <c r="AE317" s="35"/>
      <c r="AF317" s="35"/>
      <c r="AG317" s="35"/>
      <c r="AH317" s="35"/>
    </row>
    <row r="318">
      <c r="A318" s="35"/>
      <c r="B318" s="35"/>
      <c r="C318" s="35"/>
      <c r="D318" s="172"/>
      <c r="E318" s="21"/>
      <c r="F318" s="35"/>
      <c r="G318" s="35"/>
      <c r="H318" s="35"/>
      <c r="I318" s="35"/>
      <c r="J318" s="186"/>
      <c r="K318" s="110"/>
      <c r="L318" s="35"/>
      <c r="M318" s="172"/>
      <c r="N318" s="172"/>
      <c r="O318" s="35"/>
      <c r="P318" s="164"/>
      <c r="Q318" s="164"/>
      <c r="R318" s="164"/>
      <c r="S318" s="164"/>
      <c r="T318" s="164"/>
      <c r="U318" s="164"/>
      <c r="V318" s="35"/>
      <c r="W318" s="35"/>
      <c r="X318" s="35"/>
      <c r="Y318" s="35"/>
      <c r="Z318" s="35"/>
      <c r="AA318" s="35"/>
      <c r="AB318" s="35"/>
      <c r="AC318" s="35"/>
      <c r="AD318" s="35"/>
      <c r="AE318" s="35"/>
      <c r="AF318" s="35"/>
      <c r="AG318" s="35"/>
      <c r="AH318" s="35"/>
    </row>
    <row r="319">
      <c r="A319" s="35"/>
      <c r="B319" s="35"/>
      <c r="C319" s="35"/>
      <c r="D319" s="172"/>
      <c r="E319" s="21"/>
      <c r="F319" s="35"/>
      <c r="G319" s="35"/>
      <c r="H319" s="35"/>
      <c r="I319" s="35"/>
      <c r="J319" s="186"/>
      <c r="K319" s="110"/>
      <c r="L319" s="35"/>
      <c r="M319" s="172"/>
      <c r="N319" s="172"/>
      <c r="O319" s="35"/>
      <c r="P319" s="164"/>
      <c r="Q319" s="164"/>
      <c r="R319" s="164"/>
      <c r="S319" s="164"/>
      <c r="T319" s="164"/>
      <c r="U319" s="164"/>
      <c r="V319" s="35"/>
      <c r="W319" s="35"/>
      <c r="X319" s="35"/>
      <c r="Y319" s="35"/>
      <c r="Z319" s="35"/>
      <c r="AA319" s="35"/>
      <c r="AB319" s="35"/>
      <c r="AC319" s="35"/>
      <c r="AD319" s="35"/>
      <c r="AE319" s="35"/>
      <c r="AF319" s="35"/>
      <c r="AG319" s="35"/>
      <c r="AH319" s="35"/>
    </row>
    <row r="320">
      <c r="A320" s="35"/>
      <c r="B320" s="35"/>
      <c r="C320" s="35"/>
      <c r="D320" s="172"/>
      <c r="E320" s="21"/>
      <c r="F320" s="35"/>
      <c r="G320" s="35"/>
      <c r="H320" s="35"/>
      <c r="I320" s="35"/>
      <c r="J320" s="186"/>
      <c r="K320" s="110"/>
      <c r="L320" s="35"/>
      <c r="M320" s="172"/>
      <c r="N320" s="172"/>
      <c r="O320" s="35"/>
      <c r="P320" s="164"/>
      <c r="Q320" s="164"/>
      <c r="R320" s="164"/>
      <c r="S320" s="164"/>
      <c r="T320" s="164"/>
      <c r="U320" s="164"/>
      <c r="V320" s="35"/>
      <c r="W320" s="35"/>
      <c r="X320" s="35"/>
      <c r="Y320" s="35"/>
      <c r="Z320" s="35"/>
      <c r="AA320" s="35"/>
      <c r="AB320" s="35"/>
      <c r="AC320" s="35"/>
      <c r="AD320" s="35"/>
      <c r="AE320" s="35"/>
      <c r="AF320" s="35"/>
      <c r="AG320" s="35"/>
      <c r="AH320" s="35"/>
    </row>
    <row r="321">
      <c r="A321" s="35"/>
      <c r="B321" s="35"/>
      <c r="C321" s="35"/>
      <c r="D321" s="172"/>
      <c r="E321" s="21"/>
      <c r="F321" s="35"/>
      <c r="G321" s="35"/>
      <c r="H321" s="35"/>
      <c r="I321" s="35"/>
      <c r="J321" s="186"/>
      <c r="K321" s="110"/>
      <c r="L321" s="35"/>
      <c r="M321" s="172"/>
      <c r="N321" s="172"/>
      <c r="O321" s="35"/>
      <c r="P321" s="164"/>
      <c r="Q321" s="164"/>
      <c r="R321" s="164"/>
      <c r="S321" s="164"/>
      <c r="T321" s="164"/>
      <c r="U321" s="164"/>
      <c r="V321" s="35"/>
      <c r="W321" s="35"/>
      <c r="X321" s="35"/>
      <c r="Y321" s="35"/>
      <c r="Z321" s="35"/>
      <c r="AA321" s="35"/>
      <c r="AB321" s="35"/>
      <c r="AC321" s="35"/>
      <c r="AD321" s="35"/>
      <c r="AE321" s="35"/>
      <c r="AF321" s="35"/>
      <c r="AG321" s="35"/>
      <c r="AH321" s="35"/>
    </row>
    <row r="322">
      <c r="A322" s="35"/>
      <c r="B322" s="35"/>
      <c r="C322" s="35"/>
      <c r="D322" s="172"/>
      <c r="E322" s="21"/>
      <c r="F322" s="35"/>
      <c r="G322" s="35"/>
      <c r="H322" s="35"/>
      <c r="I322" s="35"/>
      <c r="J322" s="186"/>
      <c r="K322" s="110"/>
      <c r="L322" s="35"/>
      <c r="M322" s="172"/>
      <c r="N322" s="172"/>
      <c r="O322" s="35"/>
      <c r="P322" s="164"/>
      <c r="Q322" s="164"/>
      <c r="R322" s="164"/>
      <c r="S322" s="164"/>
      <c r="T322" s="164"/>
      <c r="U322" s="164"/>
      <c r="V322" s="35"/>
      <c r="W322" s="35"/>
      <c r="X322" s="35"/>
      <c r="Y322" s="35"/>
      <c r="Z322" s="35"/>
      <c r="AA322" s="35"/>
      <c r="AB322" s="35"/>
      <c r="AC322" s="35"/>
      <c r="AD322" s="35"/>
      <c r="AE322" s="35"/>
      <c r="AF322" s="35"/>
      <c r="AG322" s="35"/>
      <c r="AH322" s="35"/>
    </row>
    <row r="323">
      <c r="A323" s="35"/>
      <c r="B323" s="35"/>
      <c r="C323" s="35"/>
      <c r="D323" s="172"/>
      <c r="E323" s="21"/>
      <c r="F323" s="35"/>
      <c r="G323" s="35"/>
      <c r="H323" s="35"/>
      <c r="I323" s="35"/>
      <c r="J323" s="186"/>
      <c r="K323" s="110"/>
      <c r="L323" s="35"/>
      <c r="M323" s="172"/>
      <c r="N323" s="172"/>
      <c r="O323" s="35"/>
      <c r="P323" s="164"/>
      <c r="Q323" s="164"/>
      <c r="R323" s="164"/>
      <c r="S323" s="164"/>
      <c r="T323" s="164"/>
      <c r="U323" s="164"/>
      <c r="V323" s="35"/>
      <c r="W323" s="35"/>
      <c r="X323" s="35"/>
      <c r="Y323" s="35"/>
      <c r="Z323" s="35"/>
      <c r="AA323" s="35"/>
      <c r="AB323" s="35"/>
      <c r="AC323" s="35"/>
      <c r="AD323" s="35"/>
      <c r="AE323" s="35"/>
      <c r="AF323" s="35"/>
      <c r="AG323" s="35"/>
      <c r="AH323" s="35"/>
    </row>
    <row r="324">
      <c r="A324" s="35"/>
      <c r="B324" s="35"/>
      <c r="C324" s="35"/>
      <c r="D324" s="172"/>
      <c r="E324" s="21"/>
      <c r="F324" s="35"/>
      <c r="G324" s="35"/>
      <c r="H324" s="35"/>
      <c r="I324" s="35"/>
      <c r="J324" s="186"/>
      <c r="K324" s="110"/>
      <c r="L324" s="35"/>
      <c r="M324" s="172"/>
      <c r="N324" s="172"/>
      <c r="O324" s="35"/>
      <c r="P324" s="164"/>
      <c r="Q324" s="164"/>
      <c r="R324" s="164"/>
      <c r="S324" s="164"/>
      <c r="T324" s="164"/>
      <c r="U324" s="164"/>
      <c r="V324" s="35"/>
      <c r="W324" s="35"/>
      <c r="X324" s="35"/>
      <c r="Y324" s="35"/>
      <c r="Z324" s="35"/>
      <c r="AA324" s="35"/>
      <c r="AB324" s="35"/>
      <c r="AC324" s="35"/>
      <c r="AD324" s="35"/>
      <c r="AE324" s="35"/>
      <c r="AF324" s="35"/>
      <c r="AG324" s="35"/>
      <c r="AH324" s="35"/>
    </row>
    <row r="325">
      <c r="A325" s="35"/>
      <c r="B325" s="35"/>
      <c r="C325" s="35"/>
      <c r="D325" s="172"/>
      <c r="E325" s="21"/>
      <c r="F325" s="35"/>
      <c r="G325" s="35"/>
      <c r="H325" s="35"/>
      <c r="I325" s="35"/>
      <c r="J325" s="186"/>
      <c r="K325" s="110"/>
      <c r="L325" s="35"/>
      <c r="M325" s="172"/>
      <c r="N325" s="172"/>
      <c r="O325" s="35"/>
      <c r="P325" s="164"/>
      <c r="Q325" s="164"/>
      <c r="R325" s="164"/>
      <c r="S325" s="164"/>
      <c r="T325" s="164"/>
      <c r="U325" s="164"/>
      <c r="V325" s="35"/>
      <c r="W325" s="35"/>
      <c r="X325" s="35"/>
      <c r="Y325" s="35"/>
      <c r="Z325" s="35"/>
      <c r="AA325" s="35"/>
      <c r="AB325" s="35"/>
      <c r="AC325" s="35"/>
      <c r="AD325" s="35"/>
      <c r="AE325" s="35"/>
      <c r="AF325" s="35"/>
      <c r="AG325" s="35"/>
      <c r="AH325" s="35"/>
    </row>
    <row r="326">
      <c r="A326" s="35"/>
      <c r="B326" s="35"/>
      <c r="C326" s="35"/>
      <c r="D326" s="172"/>
      <c r="E326" s="21"/>
      <c r="F326" s="35"/>
      <c r="G326" s="35"/>
      <c r="H326" s="35"/>
      <c r="I326" s="35"/>
      <c r="J326" s="186"/>
      <c r="K326" s="110"/>
      <c r="L326" s="35"/>
      <c r="M326" s="172"/>
      <c r="N326" s="172"/>
      <c r="O326" s="35"/>
      <c r="P326" s="164"/>
      <c r="Q326" s="164"/>
      <c r="R326" s="164"/>
      <c r="S326" s="164"/>
      <c r="T326" s="164"/>
      <c r="U326" s="164"/>
      <c r="V326" s="35"/>
      <c r="W326" s="35"/>
      <c r="X326" s="35"/>
      <c r="Y326" s="35"/>
      <c r="Z326" s="35"/>
      <c r="AA326" s="35"/>
      <c r="AB326" s="35"/>
      <c r="AC326" s="35"/>
      <c r="AD326" s="35"/>
      <c r="AE326" s="35"/>
      <c r="AF326" s="35"/>
      <c r="AG326" s="35"/>
      <c r="AH326" s="35"/>
    </row>
    <row r="327">
      <c r="A327" s="35"/>
      <c r="B327" s="35"/>
      <c r="C327" s="35"/>
      <c r="D327" s="172"/>
      <c r="E327" s="21"/>
      <c r="F327" s="35"/>
      <c r="G327" s="35"/>
      <c r="H327" s="35"/>
      <c r="I327" s="35"/>
      <c r="J327" s="186"/>
      <c r="K327" s="110"/>
      <c r="L327" s="35"/>
      <c r="M327" s="172"/>
      <c r="N327" s="172"/>
      <c r="O327" s="35"/>
      <c r="P327" s="164"/>
      <c r="Q327" s="164"/>
      <c r="R327" s="164"/>
      <c r="S327" s="164"/>
      <c r="T327" s="164"/>
      <c r="U327" s="164"/>
      <c r="V327" s="35"/>
      <c r="W327" s="35"/>
      <c r="X327" s="35"/>
      <c r="Y327" s="35"/>
      <c r="Z327" s="35"/>
      <c r="AA327" s="35"/>
      <c r="AB327" s="35"/>
      <c r="AC327" s="35"/>
      <c r="AD327" s="35"/>
      <c r="AE327" s="35"/>
      <c r="AF327" s="35"/>
      <c r="AG327" s="35"/>
      <c r="AH327" s="35"/>
    </row>
    <row r="328">
      <c r="A328" s="35"/>
      <c r="B328" s="35"/>
      <c r="C328" s="35"/>
      <c r="D328" s="172"/>
      <c r="E328" s="21"/>
      <c r="F328" s="35"/>
      <c r="G328" s="35"/>
      <c r="H328" s="35"/>
      <c r="I328" s="35"/>
      <c r="J328" s="186"/>
      <c r="K328" s="110"/>
      <c r="L328" s="35"/>
      <c r="M328" s="172"/>
      <c r="N328" s="172"/>
      <c r="O328" s="35"/>
      <c r="P328" s="164"/>
      <c r="Q328" s="164"/>
      <c r="R328" s="164"/>
      <c r="S328" s="164"/>
      <c r="T328" s="164"/>
      <c r="U328" s="164"/>
      <c r="V328" s="35"/>
      <c r="W328" s="35"/>
      <c r="X328" s="35"/>
      <c r="Y328" s="35"/>
      <c r="Z328" s="35"/>
      <c r="AA328" s="35"/>
      <c r="AB328" s="35"/>
      <c r="AC328" s="35"/>
      <c r="AD328" s="35"/>
      <c r="AE328" s="35"/>
      <c r="AF328" s="35"/>
      <c r="AG328" s="35"/>
      <c r="AH328" s="35"/>
    </row>
    <row r="329">
      <c r="A329" s="35"/>
      <c r="B329" s="35"/>
      <c r="C329" s="35"/>
      <c r="D329" s="172"/>
      <c r="E329" s="21"/>
      <c r="F329" s="35"/>
      <c r="G329" s="35"/>
      <c r="H329" s="35"/>
      <c r="I329" s="35"/>
      <c r="J329" s="186"/>
      <c r="K329" s="110"/>
      <c r="L329" s="35"/>
      <c r="M329" s="172"/>
      <c r="N329" s="172"/>
      <c r="O329" s="35"/>
      <c r="P329" s="164"/>
      <c r="Q329" s="164"/>
      <c r="R329" s="164"/>
      <c r="S329" s="164"/>
      <c r="T329" s="164"/>
      <c r="U329" s="164"/>
      <c r="V329" s="35"/>
      <c r="W329" s="35"/>
      <c r="X329" s="35"/>
      <c r="Y329" s="35"/>
      <c r="Z329" s="35"/>
      <c r="AA329" s="35"/>
      <c r="AB329" s="35"/>
      <c r="AC329" s="35"/>
      <c r="AD329" s="35"/>
      <c r="AE329" s="35"/>
      <c r="AF329" s="35"/>
      <c r="AG329" s="35"/>
      <c r="AH329" s="35"/>
    </row>
    <row r="330">
      <c r="A330" s="35"/>
      <c r="B330" s="35"/>
      <c r="C330" s="35"/>
      <c r="D330" s="172"/>
      <c r="E330" s="21"/>
      <c r="F330" s="35"/>
      <c r="G330" s="35"/>
      <c r="H330" s="35"/>
      <c r="I330" s="35"/>
      <c r="J330" s="186"/>
      <c r="K330" s="110"/>
      <c r="L330" s="35"/>
      <c r="M330" s="172"/>
      <c r="N330" s="172"/>
      <c r="O330" s="35"/>
      <c r="P330" s="164"/>
      <c r="Q330" s="164"/>
      <c r="R330" s="164"/>
      <c r="S330" s="164"/>
      <c r="T330" s="164"/>
      <c r="U330" s="164"/>
      <c r="V330" s="35"/>
      <c r="W330" s="35"/>
      <c r="X330" s="35"/>
      <c r="Y330" s="35"/>
      <c r="Z330" s="35"/>
      <c r="AA330" s="35"/>
      <c r="AB330" s="35"/>
      <c r="AC330" s="35"/>
      <c r="AD330" s="35"/>
      <c r="AE330" s="35"/>
      <c r="AF330" s="35"/>
      <c r="AG330" s="35"/>
      <c r="AH330" s="35"/>
    </row>
    <row r="331">
      <c r="A331" s="35"/>
      <c r="B331" s="35"/>
      <c r="C331" s="35"/>
      <c r="D331" s="172"/>
      <c r="E331" s="21"/>
      <c r="F331" s="35"/>
      <c r="G331" s="35"/>
      <c r="H331" s="35"/>
      <c r="I331" s="35"/>
      <c r="J331" s="186"/>
      <c r="K331" s="110"/>
      <c r="L331" s="35"/>
      <c r="M331" s="172"/>
      <c r="N331" s="172"/>
      <c r="O331" s="35"/>
      <c r="P331" s="164"/>
      <c r="Q331" s="164"/>
      <c r="R331" s="164"/>
      <c r="S331" s="164"/>
      <c r="T331" s="164"/>
      <c r="U331" s="164"/>
      <c r="V331" s="35"/>
      <c r="W331" s="35"/>
      <c r="X331" s="35"/>
      <c r="Y331" s="35"/>
      <c r="Z331" s="35"/>
      <c r="AA331" s="35"/>
      <c r="AB331" s="35"/>
      <c r="AC331" s="35"/>
      <c r="AD331" s="35"/>
      <c r="AE331" s="35"/>
      <c r="AF331" s="35"/>
      <c r="AG331" s="35"/>
      <c r="AH331" s="35"/>
    </row>
    <row r="332">
      <c r="A332" s="35"/>
      <c r="B332" s="35"/>
      <c r="C332" s="35"/>
      <c r="D332" s="172"/>
      <c r="E332" s="21"/>
      <c r="F332" s="35"/>
      <c r="G332" s="35"/>
      <c r="H332" s="35"/>
      <c r="I332" s="35"/>
      <c r="J332" s="186"/>
      <c r="K332" s="110"/>
      <c r="L332" s="35"/>
      <c r="M332" s="172"/>
      <c r="N332" s="172"/>
      <c r="O332" s="35"/>
      <c r="P332" s="164"/>
      <c r="Q332" s="164"/>
      <c r="R332" s="164"/>
      <c r="S332" s="164"/>
      <c r="T332" s="164"/>
      <c r="U332" s="164"/>
      <c r="V332" s="35"/>
      <c r="W332" s="35"/>
      <c r="X332" s="35"/>
      <c r="Y332" s="35"/>
      <c r="Z332" s="35"/>
      <c r="AA332" s="35"/>
      <c r="AB332" s="35"/>
      <c r="AC332" s="35"/>
      <c r="AD332" s="35"/>
      <c r="AE332" s="35"/>
      <c r="AF332" s="35"/>
      <c r="AG332" s="35"/>
      <c r="AH332" s="35"/>
    </row>
    <row r="333">
      <c r="A333" s="35"/>
      <c r="B333" s="35"/>
      <c r="C333" s="35"/>
      <c r="D333" s="172"/>
      <c r="E333" s="21"/>
      <c r="F333" s="35"/>
      <c r="G333" s="35"/>
      <c r="H333" s="35"/>
      <c r="I333" s="35"/>
      <c r="J333" s="186"/>
      <c r="K333" s="110"/>
      <c r="L333" s="35"/>
      <c r="M333" s="172"/>
      <c r="N333" s="172"/>
      <c r="O333" s="35"/>
      <c r="P333" s="164"/>
      <c r="Q333" s="164"/>
      <c r="R333" s="164"/>
      <c r="S333" s="164"/>
      <c r="T333" s="164"/>
      <c r="U333" s="164"/>
      <c r="V333" s="35"/>
      <c r="W333" s="35"/>
      <c r="X333" s="35"/>
      <c r="Y333" s="35"/>
      <c r="Z333" s="35"/>
      <c r="AA333" s="35"/>
      <c r="AB333" s="35"/>
      <c r="AC333" s="35"/>
      <c r="AD333" s="35"/>
      <c r="AE333" s="35"/>
      <c r="AF333" s="35"/>
      <c r="AG333" s="35"/>
      <c r="AH333" s="35"/>
    </row>
    <row r="334">
      <c r="A334" s="35"/>
      <c r="B334" s="35"/>
      <c r="C334" s="35"/>
      <c r="D334" s="172"/>
      <c r="E334" s="21"/>
      <c r="F334" s="35"/>
      <c r="G334" s="35"/>
      <c r="H334" s="35"/>
      <c r="I334" s="35"/>
      <c r="J334" s="186"/>
      <c r="K334" s="110"/>
      <c r="L334" s="35"/>
      <c r="M334" s="172"/>
      <c r="N334" s="172"/>
      <c r="O334" s="35"/>
      <c r="P334" s="164"/>
      <c r="Q334" s="164"/>
      <c r="R334" s="164"/>
      <c r="S334" s="164"/>
      <c r="T334" s="164"/>
      <c r="U334" s="164"/>
      <c r="V334" s="35"/>
      <c r="W334" s="35"/>
      <c r="X334" s="35"/>
      <c r="Y334" s="35"/>
      <c r="Z334" s="35"/>
      <c r="AA334" s="35"/>
      <c r="AB334" s="35"/>
      <c r="AC334" s="35"/>
      <c r="AD334" s="35"/>
      <c r="AE334" s="35"/>
      <c r="AF334" s="35"/>
      <c r="AG334" s="35"/>
      <c r="AH334" s="35"/>
    </row>
    <row r="335">
      <c r="A335" s="35"/>
      <c r="B335" s="35"/>
      <c r="C335" s="35"/>
      <c r="D335" s="172"/>
      <c r="E335" s="21"/>
      <c r="F335" s="35"/>
      <c r="G335" s="35"/>
      <c r="H335" s="35"/>
      <c r="I335" s="35"/>
      <c r="J335" s="186"/>
      <c r="K335" s="110"/>
      <c r="L335" s="35"/>
      <c r="M335" s="172"/>
      <c r="N335" s="172"/>
      <c r="O335" s="35"/>
      <c r="P335" s="164"/>
      <c r="Q335" s="164"/>
      <c r="R335" s="164"/>
      <c r="S335" s="164"/>
      <c r="T335" s="164"/>
      <c r="U335" s="164"/>
      <c r="V335" s="35"/>
      <c r="W335" s="35"/>
      <c r="X335" s="35"/>
      <c r="Y335" s="35"/>
      <c r="Z335" s="35"/>
      <c r="AA335" s="35"/>
      <c r="AB335" s="35"/>
      <c r="AC335" s="35"/>
      <c r="AD335" s="35"/>
      <c r="AE335" s="35"/>
      <c r="AF335" s="35"/>
      <c r="AG335" s="35"/>
      <c r="AH335" s="35"/>
    </row>
    <row r="336">
      <c r="A336" s="35"/>
      <c r="B336" s="35"/>
      <c r="C336" s="35"/>
      <c r="D336" s="172"/>
      <c r="E336" s="21"/>
      <c r="F336" s="35"/>
      <c r="G336" s="35"/>
      <c r="H336" s="35"/>
      <c r="I336" s="35"/>
      <c r="J336" s="186"/>
      <c r="K336" s="110"/>
      <c r="L336" s="35"/>
      <c r="M336" s="172"/>
      <c r="N336" s="172"/>
      <c r="O336" s="35"/>
      <c r="P336" s="164"/>
      <c r="Q336" s="164"/>
      <c r="R336" s="164"/>
      <c r="S336" s="164"/>
      <c r="T336" s="164"/>
      <c r="U336" s="164"/>
      <c r="V336" s="35"/>
      <c r="W336" s="35"/>
      <c r="X336" s="35"/>
      <c r="Y336" s="35"/>
      <c r="Z336" s="35"/>
      <c r="AA336" s="35"/>
      <c r="AB336" s="35"/>
      <c r="AC336" s="35"/>
      <c r="AD336" s="35"/>
      <c r="AE336" s="35"/>
      <c r="AF336" s="35"/>
      <c r="AG336" s="35"/>
      <c r="AH336" s="35"/>
    </row>
    <row r="337">
      <c r="A337" s="35"/>
      <c r="B337" s="35"/>
      <c r="C337" s="35"/>
      <c r="D337" s="172"/>
      <c r="E337" s="21"/>
      <c r="F337" s="35"/>
      <c r="G337" s="35"/>
      <c r="H337" s="35"/>
      <c r="I337" s="35"/>
      <c r="J337" s="186"/>
      <c r="K337" s="110"/>
      <c r="L337" s="35"/>
      <c r="M337" s="172"/>
      <c r="N337" s="172"/>
      <c r="O337" s="35"/>
      <c r="P337" s="164"/>
      <c r="Q337" s="164"/>
      <c r="R337" s="164"/>
      <c r="S337" s="164"/>
      <c r="T337" s="164"/>
      <c r="U337" s="164"/>
      <c r="V337" s="35"/>
      <c r="W337" s="35"/>
      <c r="X337" s="35"/>
      <c r="Y337" s="35"/>
      <c r="Z337" s="35"/>
      <c r="AA337" s="35"/>
      <c r="AB337" s="35"/>
      <c r="AC337" s="35"/>
      <c r="AD337" s="35"/>
      <c r="AE337" s="35"/>
      <c r="AF337" s="35"/>
      <c r="AG337" s="35"/>
      <c r="AH337" s="35"/>
    </row>
    <row r="338">
      <c r="A338" s="35"/>
      <c r="B338" s="35"/>
      <c r="C338" s="35"/>
      <c r="D338" s="172"/>
      <c r="E338" s="21"/>
      <c r="F338" s="35"/>
      <c r="G338" s="35"/>
      <c r="H338" s="35"/>
      <c r="I338" s="35"/>
      <c r="J338" s="186"/>
      <c r="K338" s="110"/>
      <c r="L338" s="35"/>
      <c r="M338" s="172"/>
      <c r="N338" s="172"/>
      <c r="O338" s="35"/>
      <c r="P338" s="164"/>
      <c r="Q338" s="164"/>
      <c r="R338" s="164"/>
      <c r="S338" s="164"/>
      <c r="T338" s="164"/>
      <c r="U338" s="164"/>
      <c r="V338" s="35"/>
      <c r="W338" s="35"/>
      <c r="X338" s="35"/>
      <c r="Y338" s="35"/>
      <c r="Z338" s="35"/>
      <c r="AA338" s="35"/>
      <c r="AB338" s="35"/>
      <c r="AC338" s="35"/>
      <c r="AD338" s="35"/>
      <c r="AE338" s="35"/>
      <c r="AF338" s="35"/>
      <c r="AG338" s="35"/>
      <c r="AH338" s="35"/>
    </row>
    <row r="339">
      <c r="A339" s="35"/>
      <c r="B339" s="35"/>
      <c r="C339" s="35"/>
      <c r="D339" s="172"/>
      <c r="E339" s="21"/>
      <c r="F339" s="35"/>
      <c r="G339" s="35"/>
      <c r="H339" s="35"/>
      <c r="I339" s="35"/>
      <c r="J339" s="186"/>
      <c r="K339" s="110"/>
      <c r="L339" s="35"/>
      <c r="M339" s="172"/>
      <c r="N339" s="172"/>
      <c r="O339" s="35"/>
      <c r="P339" s="164"/>
      <c r="Q339" s="164"/>
      <c r="R339" s="164"/>
      <c r="S339" s="164"/>
      <c r="T339" s="164"/>
      <c r="U339" s="164"/>
      <c r="V339" s="35"/>
      <c r="W339" s="35"/>
      <c r="X339" s="35"/>
      <c r="Y339" s="35"/>
      <c r="Z339" s="35"/>
      <c r="AA339" s="35"/>
      <c r="AB339" s="35"/>
      <c r="AC339" s="35"/>
      <c r="AD339" s="35"/>
      <c r="AE339" s="35"/>
      <c r="AF339" s="35"/>
      <c r="AG339" s="35"/>
      <c r="AH339" s="35"/>
    </row>
    <row r="340">
      <c r="A340" s="35"/>
      <c r="B340" s="35"/>
      <c r="C340" s="35"/>
      <c r="D340" s="172"/>
      <c r="E340" s="21"/>
      <c r="F340" s="35"/>
      <c r="G340" s="35"/>
      <c r="H340" s="35"/>
      <c r="I340" s="35"/>
      <c r="J340" s="186"/>
      <c r="K340" s="110"/>
      <c r="L340" s="35"/>
      <c r="M340" s="172"/>
      <c r="N340" s="172"/>
      <c r="O340" s="35"/>
      <c r="P340" s="164"/>
      <c r="Q340" s="164"/>
      <c r="R340" s="164"/>
      <c r="S340" s="164"/>
      <c r="T340" s="164"/>
      <c r="U340" s="164"/>
      <c r="V340" s="35"/>
      <c r="W340" s="35"/>
      <c r="X340" s="35"/>
      <c r="Y340" s="35"/>
      <c r="Z340" s="35"/>
      <c r="AA340" s="35"/>
      <c r="AB340" s="35"/>
      <c r="AC340" s="35"/>
      <c r="AD340" s="35"/>
      <c r="AE340" s="35"/>
      <c r="AF340" s="35"/>
      <c r="AG340" s="35"/>
      <c r="AH340" s="35"/>
    </row>
    <row r="341">
      <c r="A341" s="35"/>
      <c r="B341" s="35"/>
      <c r="C341" s="35"/>
      <c r="D341" s="172"/>
      <c r="E341" s="21"/>
      <c r="F341" s="35"/>
      <c r="G341" s="35"/>
      <c r="H341" s="35"/>
      <c r="I341" s="35"/>
      <c r="J341" s="186"/>
      <c r="K341" s="110"/>
      <c r="L341" s="35"/>
      <c r="M341" s="172"/>
      <c r="N341" s="172"/>
      <c r="O341" s="35"/>
      <c r="P341" s="164"/>
      <c r="Q341" s="164"/>
      <c r="R341" s="164"/>
      <c r="S341" s="164"/>
      <c r="T341" s="164"/>
      <c r="U341" s="164"/>
      <c r="V341" s="35"/>
      <c r="W341" s="35"/>
      <c r="X341" s="35"/>
      <c r="Y341" s="35"/>
      <c r="Z341" s="35"/>
      <c r="AA341" s="35"/>
      <c r="AB341" s="35"/>
      <c r="AC341" s="35"/>
      <c r="AD341" s="35"/>
      <c r="AE341" s="35"/>
      <c r="AF341" s="35"/>
      <c r="AG341" s="35"/>
      <c r="AH341" s="35"/>
    </row>
    <row r="342">
      <c r="A342" s="35"/>
      <c r="B342" s="35"/>
      <c r="C342" s="35"/>
      <c r="D342" s="172"/>
      <c r="E342" s="21"/>
      <c r="F342" s="35"/>
      <c r="G342" s="35"/>
      <c r="H342" s="35"/>
      <c r="I342" s="35"/>
      <c r="J342" s="186"/>
      <c r="K342" s="110"/>
      <c r="L342" s="35"/>
      <c r="M342" s="172"/>
      <c r="N342" s="172"/>
      <c r="O342" s="35"/>
      <c r="P342" s="164"/>
      <c r="Q342" s="164"/>
      <c r="R342" s="164"/>
      <c r="S342" s="164"/>
      <c r="T342" s="164"/>
      <c r="U342" s="164"/>
      <c r="V342" s="35"/>
      <c r="W342" s="35"/>
      <c r="X342" s="35"/>
      <c r="Y342" s="35"/>
      <c r="Z342" s="35"/>
      <c r="AA342" s="35"/>
      <c r="AB342" s="35"/>
      <c r="AC342" s="35"/>
      <c r="AD342" s="35"/>
      <c r="AE342" s="35"/>
      <c r="AF342" s="35"/>
      <c r="AG342" s="35"/>
      <c r="AH342" s="35"/>
    </row>
    <row r="343">
      <c r="A343" s="35"/>
      <c r="B343" s="35"/>
      <c r="C343" s="35"/>
      <c r="D343" s="172"/>
      <c r="E343" s="21"/>
      <c r="F343" s="35"/>
      <c r="G343" s="35"/>
      <c r="H343" s="35"/>
      <c r="I343" s="35"/>
      <c r="J343" s="186"/>
      <c r="K343" s="110"/>
      <c r="L343" s="35"/>
      <c r="M343" s="172"/>
      <c r="N343" s="172"/>
      <c r="O343" s="35"/>
      <c r="P343" s="164"/>
      <c r="Q343" s="164"/>
      <c r="R343" s="164"/>
      <c r="S343" s="164"/>
      <c r="T343" s="164"/>
      <c r="U343" s="164"/>
      <c r="V343" s="35"/>
      <c r="W343" s="35"/>
      <c r="X343" s="35"/>
      <c r="Y343" s="35"/>
      <c r="Z343" s="35"/>
      <c r="AA343" s="35"/>
      <c r="AB343" s="35"/>
      <c r="AC343" s="35"/>
      <c r="AD343" s="35"/>
      <c r="AE343" s="35"/>
      <c r="AF343" s="35"/>
      <c r="AG343" s="35"/>
      <c r="AH343" s="35"/>
    </row>
    <row r="344">
      <c r="A344" s="35"/>
      <c r="B344" s="35"/>
      <c r="C344" s="35"/>
      <c r="D344" s="172"/>
      <c r="E344" s="21"/>
      <c r="F344" s="35"/>
      <c r="G344" s="35"/>
      <c r="H344" s="35"/>
      <c r="I344" s="35"/>
      <c r="J344" s="186"/>
      <c r="K344" s="110"/>
      <c r="L344" s="35"/>
      <c r="M344" s="172"/>
      <c r="N344" s="172"/>
      <c r="O344" s="35"/>
      <c r="P344" s="164"/>
      <c r="Q344" s="164"/>
      <c r="R344" s="164"/>
      <c r="S344" s="164"/>
      <c r="T344" s="164"/>
      <c r="U344" s="164"/>
      <c r="V344" s="35"/>
      <c r="W344" s="35"/>
      <c r="X344" s="35"/>
      <c r="Y344" s="35"/>
      <c r="Z344" s="35"/>
      <c r="AA344" s="35"/>
      <c r="AB344" s="35"/>
      <c r="AC344" s="35"/>
      <c r="AD344" s="35"/>
      <c r="AE344" s="35"/>
      <c r="AF344" s="35"/>
      <c r="AG344" s="35"/>
      <c r="AH344" s="35"/>
    </row>
    <row r="345">
      <c r="A345" s="35"/>
      <c r="B345" s="35"/>
      <c r="C345" s="35"/>
      <c r="D345" s="172"/>
      <c r="E345" s="21"/>
      <c r="F345" s="35"/>
      <c r="G345" s="35"/>
      <c r="H345" s="35"/>
      <c r="I345" s="35"/>
      <c r="J345" s="186"/>
      <c r="K345" s="110"/>
      <c r="L345" s="35"/>
      <c r="M345" s="172"/>
      <c r="N345" s="172"/>
      <c r="O345" s="35"/>
      <c r="P345" s="164"/>
      <c r="Q345" s="164"/>
      <c r="R345" s="164"/>
      <c r="S345" s="164"/>
      <c r="T345" s="164"/>
      <c r="U345" s="164"/>
      <c r="V345" s="35"/>
      <c r="W345" s="35"/>
      <c r="X345" s="35"/>
      <c r="Y345" s="35"/>
      <c r="Z345" s="35"/>
      <c r="AA345" s="35"/>
      <c r="AB345" s="35"/>
      <c r="AC345" s="35"/>
      <c r="AD345" s="35"/>
      <c r="AE345" s="35"/>
      <c r="AF345" s="35"/>
      <c r="AG345" s="35"/>
      <c r="AH345" s="35"/>
    </row>
    <row r="346">
      <c r="A346" s="35"/>
      <c r="B346" s="35"/>
      <c r="C346" s="35"/>
      <c r="D346" s="172"/>
      <c r="E346" s="21"/>
      <c r="F346" s="35"/>
      <c r="G346" s="35"/>
      <c r="H346" s="35"/>
      <c r="I346" s="35"/>
      <c r="J346" s="186"/>
      <c r="K346" s="110"/>
      <c r="L346" s="35"/>
      <c r="M346" s="172"/>
      <c r="N346" s="172"/>
      <c r="O346" s="35"/>
      <c r="P346" s="164"/>
      <c r="Q346" s="164"/>
      <c r="R346" s="164"/>
      <c r="S346" s="164"/>
      <c r="T346" s="164"/>
      <c r="U346" s="164"/>
      <c r="V346" s="35"/>
      <c r="W346" s="35"/>
      <c r="X346" s="35"/>
      <c r="Y346" s="35"/>
      <c r="Z346" s="35"/>
      <c r="AA346" s="35"/>
      <c r="AB346" s="35"/>
      <c r="AC346" s="35"/>
      <c r="AD346" s="35"/>
      <c r="AE346" s="35"/>
      <c r="AF346" s="35"/>
      <c r="AG346" s="35"/>
      <c r="AH346" s="35"/>
    </row>
    <row r="347">
      <c r="A347" s="35"/>
      <c r="B347" s="35"/>
      <c r="C347" s="35"/>
      <c r="D347" s="172"/>
      <c r="E347" s="21"/>
      <c r="F347" s="35"/>
      <c r="G347" s="35"/>
      <c r="H347" s="35"/>
      <c r="I347" s="35"/>
      <c r="J347" s="186"/>
      <c r="K347" s="110"/>
      <c r="L347" s="35"/>
      <c r="M347" s="172"/>
      <c r="N347" s="172"/>
      <c r="O347" s="35"/>
      <c r="P347" s="164"/>
      <c r="Q347" s="164"/>
      <c r="R347" s="164"/>
      <c r="S347" s="164"/>
      <c r="T347" s="164"/>
      <c r="U347" s="164"/>
      <c r="V347" s="35"/>
      <c r="W347" s="35"/>
      <c r="X347" s="35"/>
      <c r="Y347" s="35"/>
      <c r="Z347" s="35"/>
      <c r="AA347" s="35"/>
      <c r="AB347" s="35"/>
      <c r="AC347" s="35"/>
      <c r="AD347" s="35"/>
      <c r="AE347" s="35"/>
      <c r="AF347" s="35"/>
      <c r="AG347" s="35"/>
      <c r="AH347" s="35"/>
    </row>
    <row r="348">
      <c r="A348" s="35"/>
      <c r="B348" s="35"/>
      <c r="C348" s="35"/>
      <c r="D348" s="172"/>
      <c r="E348" s="21"/>
      <c r="F348" s="35"/>
      <c r="G348" s="35"/>
      <c r="H348" s="35"/>
      <c r="I348" s="35"/>
      <c r="J348" s="186"/>
      <c r="K348" s="110"/>
      <c r="L348" s="35"/>
      <c r="M348" s="172"/>
      <c r="N348" s="172"/>
      <c r="O348" s="35"/>
      <c r="P348" s="164"/>
      <c r="Q348" s="164"/>
      <c r="R348" s="164"/>
      <c r="S348" s="164"/>
      <c r="T348" s="164"/>
      <c r="U348" s="164"/>
      <c r="V348" s="35"/>
      <c r="W348" s="35"/>
      <c r="X348" s="35"/>
      <c r="Y348" s="35"/>
      <c r="Z348" s="35"/>
      <c r="AA348" s="35"/>
      <c r="AB348" s="35"/>
      <c r="AC348" s="35"/>
      <c r="AD348" s="35"/>
      <c r="AE348" s="35"/>
      <c r="AF348" s="35"/>
      <c r="AG348" s="35"/>
      <c r="AH348" s="35"/>
    </row>
    <row r="349">
      <c r="A349" s="35"/>
      <c r="B349" s="35"/>
      <c r="C349" s="35"/>
      <c r="D349" s="172"/>
      <c r="E349" s="21"/>
      <c r="F349" s="35"/>
      <c r="G349" s="35"/>
      <c r="H349" s="35"/>
      <c r="I349" s="35"/>
      <c r="J349" s="186"/>
      <c r="K349" s="110"/>
      <c r="L349" s="35"/>
      <c r="M349" s="172"/>
      <c r="N349" s="172"/>
      <c r="O349" s="35"/>
      <c r="P349" s="164"/>
      <c r="Q349" s="164"/>
      <c r="R349" s="164"/>
      <c r="S349" s="164"/>
      <c r="T349" s="164"/>
      <c r="U349" s="164"/>
      <c r="V349" s="35"/>
      <c r="W349" s="35"/>
      <c r="X349" s="35"/>
      <c r="Y349" s="35"/>
      <c r="Z349" s="35"/>
      <c r="AA349" s="35"/>
      <c r="AB349" s="35"/>
      <c r="AC349" s="35"/>
      <c r="AD349" s="35"/>
      <c r="AE349" s="35"/>
      <c r="AF349" s="35"/>
      <c r="AG349" s="35"/>
      <c r="AH349" s="35"/>
    </row>
    <row r="350">
      <c r="A350" s="35"/>
      <c r="B350" s="35"/>
      <c r="C350" s="35"/>
      <c r="D350" s="172"/>
      <c r="E350" s="21"/>
      <c r="F350" s="35"/>
      <c r="G350" s="35"/>
      <c r="H350" s="35"/>
      <c r="I350" s="35"/>
      <c r="J350" s="186"/>
      <c r="K350" s="110"/>
      <c r="L350" s="35"/>
      <c r="M350" s="172"/>
      <c r="N350" s="172"/>
      <c r="O350" s="35"/>
      <c r="P350" s="164"/>
      <c r="Q350" s="164"/>
      <c r="R350" s="164"/>
      <c r="S350" s="164"/>
      <c r="T350" s="164"/>
      <c r="U350" s="164"/>
      <c r="V350" s="35"/>
      <c r="W350" s="35"/>
      <c r="X350" s="35"/>
      <c r="Y350" s="35"/>
      <c r="Z350" s="35"/>
      <c r="AA350" s="35"/>
      <c r="AB350" s="35"/>
      <c r="AC350" s="35"/>
      <c r="AD350" s="35"/>
      <c r="AE350" s="35"/>
      <c r="AF350" s="35"/>
      <c r="AG350" s="35"/>
      <c r="AH350" s="35"/>
    </row>
    <row r="351">
      <c r="A351" s="35"/>
      <c r="B351" s="35"/>
      <c r="C351" s="35"/>
      <c r="D351" s="172"/>
      <c r="E351" s="21"/>
      <c r="F351" s="35"/>
      <c r="G351" s="35"/>
      <c r="H351" s="35"/>
      <c r="I351" s="35"/>
      <c r="J351" s="186"/>
      <c r="K351" s="110"/>
      <c r="L351" s="35"/>
      <c r="M351" s="172"/>
      <c r="N351" s="172"/>
      <c r="O351" s="35"/>
      <c r="P351" s="164"/>
      <c r="Q351" s="164"/>
      <c r="R351" s="164"/>
      <c r="S351" s="164"/>
      <c r="T351" s="164"/>
      <c r="U351" s="164"/>
      <c r="V351" s="35"/>
      <c r="W351" s="35"/>
      <c r="X351" s="35"/>
      <c r="Y351" s="35"/>
      <c r="Z351" s="35"/>
      <c r="AA351" s="35"/>
      <c r="AB351" s="35"/>
      <c r="AC351" s="35"/>
      <c r="AD351" s="35"/>
      <c r="AE351" s="35"/>
      <c r="AF351" s="35"/>
      <c r="AG351" s="35"/>
      <c r="AH351" s="35"/>
    </row>
    <row r="352">
      <c r="A352" s="35"/>
      <c r="B352" s="35"/>
      <c r="C352" s="35"/>
      <c r="D352" s="172"/>
      <c r="E352" s="21"/>
      <c r="F352" s="35"/>
      <c r="G352" s="35"/>
      <c r="H352" s="35"/>
      <c r="I352" s="35"/>
      <c r="J352" s="186"/>
      <c r="K352" s="110"/>
      <c r="L352" s="35"/>
      <c r="M352" s="172"/>
      <c r="N352" s="172"/>
      <c r="O352" s="35"/>
      <c r="P352" s="164"/>
      <c r="Q352" s="164"/>
      <c r="R352" s="164"/>
      <c r="S352" s="164"/>
      <c r="T352" s="164"/>
      <c r="U352" s="164"/>
      <c r="V352" s="35"/>
      <c r="W352" s="35"/>
      <c r="X352" s="35"/>
      <c r="Y352" s="35"/>
      <c r="Z352" s="35"/>
      <c r="AA352" s="35"/>
      <c r="AB352" s="35"/>
      <c r="AC352" s="35"/>
      <c r="AD352" s="35"/>
      <c r="AE352" s="35"/>
      <c r="AF352" s="35"/>
      <c r="AG352" s="35"/>
      <c r="AH352" s="35"/>
    </row>
    <row r="353">
      <c r="A353" s="35"/>
      <c r="B353" s="35"/>
      <c r="C353" s="35"/>
      <c r="D353" s="172"/>
      <c r="E353" s="21"/>
      <c r="F353" s="35"/>
      <c r="G353" s="35"/>
      <c r="H353" s="35"/>
      <c r="I353" s="35"/>
      <c r="J353" s="186"/>
      <c r="K353" s="110"/>
      <c r="L353" s="35"/>
      <c r="M353" s="172"/>
      <c r="N353" s="172"/>
      <c r="O353" s="35"/>
      <c r="P353" s="164"/>
      <c r="Q353" s="164"/>
      <c r="R353" s="164"/>
      <c r="S353" s="164"/>
      <c r="T353" s="164"/>
      <c r="U353" s="164"/>
      <c r="V353" s="35"/>
      <c r="W353" s="35"/>
      <c r="X353" s="35"/>
      <c r="Y353" s="35"/>
      <c r="Z353" s="35"/>
      <c r="AA353" s="35"/>
      <c r="AB353" s="35"/>
      <c r="AC353" s="35"/>
      <c r="AD353" s="35"/>
      <c r="AE353" s="35"/>
      <c r="AF353" s="35"/>
      <c r="AG353" s="35"/>
      <c r="AH353" s="35"/>
    </row>
    <row r="354">
      <c r="A354" s="35"/>
      <c r="B354" s="35"/>
      <c r="C354" s="35"/>
      <c r="D354" s="172"/>
      <c r="E354" s="21"/>
      <c r="F354" s="35"/>
      <c r="G354" s="35"/>
      <c r="H354" s="35"/>
      <c r="I354" s="35"/>
      <c r="J354" s="186"/>
      <c r="K354" s="110"/>
      <c r="L354" s="35"/>
      <c r="M354" s="172"/>
      <c r="N354" s="172"/>
      <c r="O354" s="35"/>
      <c r="P354" s="164"/>
      <c r="Q354" s="164"/>
      <c r="R354" s="164"/>
      <c r="S354" s="164"/>
      <c r="T354" s="164"/>
      <c r="U354" s="164"/>
      <c r="V354" s="35"/>
      <c r="W354" s="35"/>
      <c r="X354" s="35"/>
      <c r="Y354" s="35"/>
      <c r="Z354" s="35"/>
      <c r="AA354" s="35"/>
      <c r="AB354" s="35"/>
      <c r="AC354" s="35"/>
      <c r="AD354" s="35"/>
      <c r="AE354" s="35"/>
      <c r="AF354" s="35"/>
      <c r="AG354" s="35"/>
      <c r="AH354" s="35"/>
    </row>
    <row r="355">
      <c r="A355" s="35"/>
      <c r="B355" s="35"/>
      <c r="C355" s="35"/>
      <c r="D355" s="172"/>
      <c r="E355" s="21"/>
      <c r="F355" s="35"/>
      <c r="G355" s="35"/>
      <c r="H355" s="35"/>
      <c r="I355" s="35"/>
      <c r="J355" s="186"/>
      <c r="K355" s="110"/>
      <c r="L355" s="35"/>
      <c r="M355" s="172"/>
      <c r="N355" s="172"/>
      <c r="O355" s="35"/>
      <c r="P355" s="164"/>
      <c r="Q355" s="164"/>
      <c r="R355" s="164"/>
      <c r="S355" s="164"/>
      <c r="T355" s="164"/>
      <c r="U355" s="164"/>
      <c r="V355" s="35"/>
      <c r="W355" s="35"/>
      <c r="X355" s="35"/>
      <c r="Y355" s="35"/>
      <c r="Z355" s="35"/>
      <c r="AA355" s="35"/>
      <c r="AB355" s="35"/>
      <c r="AC355" s="35"/>
      <c r="AD355" s="35"/>
      <c r="AE355" s="35"/>
      <c r="AF355" s="35"/>
      <c r="AG355" s="35"/>
      <c r="AH355" s="35"/>
    </row>
    <row r="356">
      <c r="A356" s="35"/>
      <c r="B356" s="35"/>
      <c r="C356" s="35"/>
      <c r="D356" s="172"/>
      <c r="E356" s="21"/>
      <c r="F356" s="35"/>
      <c r="G356" s="35"/>
      <c r="H356" s="35"/>
      <c r="I356" s="35"/>
      <c r="J356" s="186"/>
      <c r="K356" s="110"/>
      <c r="L356" s="35"/>
      <c r="M356" s="172"/>
      <c r="N356" s="172"/>
      <c r="O356" s="35"/>
      <c r="P356" s="164"/>
      <c r="Q356" s="164"/>
      <c r="R356" s="164"/>
      <c r="S356" s="164"/>
      <c r="T356" s="164"/>
      <c r="U356" s="164"/>
      <c r="V356" s="35"/>
      <c r="W356" s="35"/>
      <c r="X356" s="35"/>
      <c r="Y356" s="35"/>
      <c r="Z356" s="35"/>
      <c r="AA356" s="35"/>
      <c r="AB356" s="35"/>
      <c r="AC356" s="35"/>
      <c r="AD356" s="35"/>
      <c r="AE356" s="35"/>
      <c r="AF356" s="35"/>
      <c r="AG356" s="35"/>
      <c r="AH356" s="35"/>
    </row>
    <row r="357">
      <c r="A357" s="35"/>
      <c r="B357" s="35"/>
      <c r="C357" s="35"/>
      <c r="D357" s="172"/>
      <c r="E357" s="21"/>
      <c r="F357" s="35"/>
      <c r="G357" s="35"/>
      <c r="H357" s="35"/>
      <c r="I357" s="35"/>
      <c r="J357" s="186"/>
      <c r="K357" s="110"/>
      <c r="L357" s="35"/>
      <c r="M357" s="172"/>
      <c r="N357" s="172"/>
      <c r="O357" s="35"/>
      <c r="P357" s="164"/>
      <c r="Q357" s="164"/>
      <c r="R357" s="164"/>
      <c r="S357" s="164"/>
      <c r="T357" s="164"/>
      <c r="U357" s="164"/>
      <c r="V357" s="35"/>
      <c r="W357" s="35"/>
      <c r="X357" s="35"/>
      <c r="Y357" s="35"/>
      <c r="Z357" s="35"/>
      <c r="AA357" s="35"/>
      <c r="AB357" s="35"/>
      <c r="AC357" s="35"/>
      <c r="AD357" s="35"/>
      <c r="AE357" s="35"/>
      <c r="AF357" s="35"/>
      <c r="AG357" s="35"/>
      <c r="AH357" s="35"/>
    </row>
    <row r="358">
      <c r="A358" s="35"/>
      <c r="B358" s="35"/>
      <c r="C358" s="35"/>
      <c r="D358" s="172"/>
      <c r="E358" s="21"/>
      <c r="F358" s="35"/>
      <c r="G358" s="35"/>
      <c r="H358" s="35"/>
      <c r="I358" s="35"/>
      <c r="J358" s="186"/>
      <c r="K358" s="110"/>
      <c r="L358" s="35"/>
      <c r="M358" s="172"/>
      <c r="N358" s="172"/>
      <c r="O358" s="35"/>
      <c r="P358" s="164"/>
      <c r="Q358" s="164"/>
      <c r="R358" s="164"/>
      <c r="S358" s="164"/>
      <c r="T358" s="164"/>
      <c r="U358" s="164"/>
      <c r="V358" s="35"/>
      <c r="W358" s="35"/>
      <c r="X358" s="35"/>
      <c r="Y358" s="35"/>
      <c r="Z358" s="35"/>
      <c r="AA358" s="35"/>
      <c r="AB358" s="35"/>
      <c r="AC358" s="35"/>
      <c r="AD358" s="35"/>
      <c r="AE358" s="35"/>
      <c r="AF358" s="35"/>
      <c r="AG358" s="35"/>
      <c r="AH358" s="35"/>
    </row>
    <row r="359">
      <c r="A359" s="35"/>
      <c r="B359" s="35"/>
      <c r="C359" s="35"/>
      <c r="D359" s="172"/>
      <c r="E359" s="21"/>
      <c r="F359" s="35"/>
      <c r="G359" s="35"/>
      <c r="H359" s="35"/>
      <c r="I359" s="35"/>
      <c r="J359" s="186"/>
      <c r="K359" s="110"/>
      <c r="L359" s="35"/>
      <c r="M359" s="172"/>
      <c r="N359" s="172"/>
      <c r="O359" s="35"/>
      <c r="P359" s="164"/>
      <c r="Q359" s="164"/>
      <c r="R359" s="164"/>
      <c r="S359" s="164"/>
      <c r="T359" s="164"/>
      <c r="U359" s="164"/>
      <c r="V359" s="35"/>
      <c r="W359" s="35"/>
      <c r="X359" s="35"/>
      <c r="Y359" s="35"/>
      <c r="Z359" s="35"/>
      <c r="AA359" s="35"/>
      <c r="AB359" s="35"/>
      <c r="AC359" s="35"/>
      <c r="AD359" s="35"/>
      <c r="AE359" s="35"/>
      <c r="AF359" s="35"/>
      <c r="AG359" s="35"/>
      <c r="AH359" s="35"/>
    </row>
    <row r="360">
      <c r="A360" s="35"/>
      <c r="B360" s="35"/>
      <c r="C360" s="35"/>
      <c r="D360" s="172"/>
      <c r="E360" s="21"/>
      <c r="F360" s="35"/>
      <c r="G360" s="35"/>
      <c r="H360" s="35"/>
      <c r="I360" s="35"/>
      <c r="J360" s="186"/>
      <c r="K360" s="110"/>
      <c r="L360" s="35"/>
      <c r="M360" s="172"/>
      <c r="N360" s="172"/>
      <c r="O360" s="35"/>
      <c r="P360" s="164"/>
      <c r="Q360" s="164"/>
      <c r="R360" s="164"/>
      <c r="S360" s="164"/>
      <c r="T360" s="164"/>
      <c r="U360" s="164"/>
      <c r="V360" s="35"/>
      <c r="W360" s="35"/>
      <c r="X360" s="35"/>
      <c r="Y360" s="35"/>
      <c r="Z360" s="35"/>
      <c r="AA360" s="35"/>
      <c r="AB360" s="35"/>
      <c r="AC360" s="35"/>
      <c r="AD360" s="35"/>
      <c r="AE360" s="35"/>
      <c r="AF360" s="35"/>
      <c r="AG360" s="35"/>
      <c r="AH360" s="35"/>
    </row>
    <row r="361">
      <c r="A361" s="35"/>
      <c r="B361" s="35"/>
      <c r="C361" s="35"/>
      <c r="D361" s="172"/>
      <c r="E361" s="21"/>
      <c r="F361" s="35"/>
      <c r="G361" s="35"/>
      <c r="H361" s="35"/>
      <c r="I361" s="35"/>
      <c r="J361" s="186"/>
      <c r="K361" s="110"/>
      <c r="L361" s="35"/>
      <c r="M361" s="172"/>
      <c r="N361" s="172"/>
      <c r="O361" s="35"/>
      <c r="P361" s="164"/>
      <c r="Q361" s="164"/>
      <c r="R361" s="164"/>
      <c r="S361" s="164"/>
      <c r="T361" s="164"/>
      <c r="U361" s="164"/>
      <c r="V361" s="35"/>
      <c r="W361" s="35"/>
      <c r="X361" s="35"/>
      <c r="Y361" s="35"/>
      <c r="Z361" s="35"/>
      <c r="AA361" s="35"/>
      <c r="AB361" s="35"/>
      <c r="AC361" s="35"/>
      <c r="AD361" s="35"/>
      <c r="AE361" s="35"/>
      <c r="AF361" s="35"/>
      <c r="AG361" s="35"/>
      <c r="AH361" s="35"/>
    </row>
    <row r="362">
      <c r="A362" s="35"/>
      <c r="B362" s="35"/>
      <c r="C362" s="35"/>
      <c r="D362" s="172"/>
      <c r="E362" s="21"/>
      <c r="F362" s="35"/>
      <c r="G362" s="35"/>
      <c r="H362" s="35"/>
      <c r="I362" s="35"/>
      <c r="J362" s="186"/>
      <c r="K362" s="110"/>
      <c r="L362" s="35"/>
      <c r="M362" s="172"/>
      <c r="N362" s="172"/>
      <c r="O362" s="35"/>
      <c r="P362" s="164"/>
      <c r="Q362" s="164"/>
      <c r="R362" s="164"/>
      <c r="S362" s="164"/>
      <c r="T362" s="164"/>
      <c r="U362" s="164"/>
      <c r="V362" s="35"/>
      <c r="W362" s="35"/>
      <c r="X362" s="35"/>
      <c r="Y362" s="35"/>
      <c r="Z362" s="35"/>
      <c r="AA362" s="35"/>
      <c r="AB362" s="35"/>
      <c r="AC362" s="35"/>
      <c r="AD362" s="35"/>
      <c r="AE362" s="35"/>
      <c r="AF362" s="35"/>
      <c r="AG362" s="35"/>
      <c r="AH362" s="35"/>
    </row>
    <row r="363">
      <c r="A363" s="35"/>
      <c r="B363" s="35"/>
      <c r="C363" s="35"/>
      <c r="D363" s="172"/>
      <c r="E363" s="21"/>
      <c r="F363" s="35"/>
      <c r="G363" s="35"/>
      <c r="H363" s="35"/>
      <c r="I363" s="35"/>
      <c r="J363" s="186"/>
      <c r="K363" s="110"/>
      <c r="L363" s="35"/>
      <c r="M363" s="172"/>
      <c r="N363" s="172"/>
      <c r="O363" s="35"/>
      <c r="P363" s="164"/>
      <c r="Q363" s="164"/>
      <c r="R363" s="164"/>
      <c r="S363" s="164"/>
      <c r="T363" s="164"/>
      <c r="U363" s="164"/>
      <c r="V363" s="35"/>
      <c r="W363" s="35"/>
      <c r="X363" s="35"/>
      <c r="Y363" s="35"/>
      <c r="Z363" s="35"/>
      <c r="AA363" s="35"/>
      <c r="AB363" s="35"/>
      <c r="AC363" s="35"/>
      <c r="AD363" s="35"/>
      <c r="AE363" s="35"/>
      <c r="AF363" s="35"/>
      <c r="AG363" s="35"/>
      <c r="AH363" s="35"/>
    </row>
    <row r="364">
      <c r="A364" s="35"/>
      <c r="B364" s="35"/>
      <c r="C364" s="35"/>
      <c r="D364" s="172"/>
      <c r="E364" s="21"/>
      <c r="F364" s="35"/>
      <c r="G364" s="35"/>
      <c r="H364" s="35"/>
      <c r="I364" s="35"/>
      <c r="J364" s="186"/>
      <c r="K364" s="110"/>
      <c r="L364" s="35"/>
      <c r="M364" s="172"/>
      <c r="N364" s="172"/>
      <c r="O364" s="35"/>
      <c r="P364" s="164"/>
      <c r="Q364" s="164"/>
      <c r="R364" s="164"/>
      <c r="S364" s="164"/>
      <c r="T364" s="164"/>
      <c r="U364" s="164"/>
      <c r="V364" s="35"/>
      <c r="W364" s="35"/>
      <c r="X364" s="35"/>
      <c r="Y364" s="35"/>
      <c r="Z364" s="35"/>
      <c r="AA364" s="35"/>
      <c r="AB364" s="35"/>
      <c r="AC364" s="35"/>
      <c r="AD364" s="35"/>
      <c r="AE364" s="35"/>
      <c r="AF364" s="35"/>
      <c r="AG364" s="35"/>
      <c r="AH364" s="35"/>
    </row>
    <row r="365">
      <c r="A365" s="35"/>
      <c r="B365" s="35"/>
      <c r="C365" s="35"/>
      <c r="D365" s="172"/>
      <c r="E365" s="21"/>
      <c r="F365" s="35"/>
      <c r="G365" s="35"/>
      <c r="H365" s="35"/>
      <c r="I365" s="35"/>
      <c r="J365" s="186"/>
      <c r="K365" s="110"/>
      <c r="L365" s="35"/>
      <c r="M365" s="172"/>
      <c r="N365" s="172"/>
      <c r="O365" s="35"/>
      <c r="P365" s="164"/>
      <c r="Q365" s="164"/>
      <c r="R365" s="164"/>
      <c r="S365" s="164"/>
      <c r="T365" s="164"/>
      <c r="U365" s="164"/>
      <c r="V365" s="35"/>
      <c r="W365" s="35"/>
      <c r="X365" s="35"/>
      <c r="Y365" s="35"/>
      <c r="Z365" s="35"/>
      <c r="AA365" s="35"/>
      <c r="AB365" s="35"/>
      <c r="AC365" s="35"/>
      <c r="AD365" s="35"/>
      <c r="AE365" s="35"/>
      <c r="AF365" s="35"/>
      <c r="AG365" s="35"/>
      <c r="AH365" s="35"/>
    </row>
    <row r="366">
      <c r="A366" s="35"/>
      <c r="B366" s="35"/>
      <c r="C366" s="35"/>
      <c r="D366" s="172"/>
      <c r="E366" s="21"/>
      <c r="F366" s="35"/>
      <c r="G366" s="35"/>
      <c r="H366" s="35"/>
      <c r="I366" s="35"/>
      <c r="J366" s="186"/>
      <c r="K366" s="110"/>
      <c r="L366" s="35"/>
      <c r="M366" s="172"/>
      <c r="N366" s="172"/>
      <c r="O366" s="35"/>
      <c r="P366" s="164"/>
      <c r="Q366" s="164"/>
      <c r="R366" s="164"/>
      <c r="S366" s="164"/>
      <c r="T366" s="164"/>
      <c r="U366" s="164"/>
      <c r="V366" s="35"/>
      <c r="W366" s="35"/>
      <c r="X366" s="35"/>
      <c r="Y366" s="35"/>
      <c r="Z366" s="35"/>
      <c r="AA366" s="35"/>
      <c r="AB366" s="35"/>
      <c r="AC366" s="35"/>
      <c r="AD366" s="35"/>
      <c r="AE366" s="35"/>
      <c r="AF366" s="35"/>
      <c r="AG366" s="35"/>
      <c r="AH366" s="35"/>
    </row>
    <row r="367">
      <c r="A367" s="35"/>
      <c r="B367" s="35"/>
      <c r="C367" s="35"/>
      <c r="D367" s="172"/>
      <c r="E367" s="21"/>
      <c r="F367" s="35"/>
      <c r="G367" s="35"/>
      <c r="H367" s="35"/>
      <c r="I367" s="35"/>
      <c r="J367" s="186"/>
      <c r="K367" s="110"/>
      <c r="L367" s="35"/>
      <c r="M367" s="172"/>
      <c r="N367" s="172"/>
      <c r="O367" s="35"/>
      <c r="P367" s="164"/>
      <c r="Q367" s="164"/>
      <c r="R367" s="164"/>
      <c r="S367" s="164"/>
      <c r="T367" s="164"/>
      <c r="U367" s="164"/>
      <c r="V367" s="35"/>
      <c r="W367" s="35"/>
      <c r="X367" s="35"/>
      <c r="Y367" s="35"/>
      <c r="Z367" s="35"/>
      <c r="AA367" s="35"/>
      <c r="AB367" s="35"/>
      <c r="AC367" s="35"/>
      <c r="AD367" s="35"/>
      <c r="AE367" s="35"/>
      <c r="AF367" s="35"/>
      <c r="AG367" s="35"/>
      <c r="AH367" s="35"/>
    </row>
    <row r="368">
      <c r="A368" s="35"/>
      <c r="B368" s="35"/>
      <c r="C368" s="35"/>
      <c r="D368" s="172"/>
      <c r="E368" s="21"/>
      <c r="F368" s="35"/>
      <c r="G368" s="35"/>
      <c r="H368" s="35"/>
      <c r="I368" s="35"/>
      <c r="J368" s="186"/>
      <c r="K368" s="110"/>
      <c r="L368" s="35"/>
      <c r="M368" s="172"/>
      <c r="N368" s="172"/>
      <c r="O368" s="35"/>
      <c r="P368" s="164"/>
      <c r="Q368" s="164"/>
      <c r="R368" s="164"/>
      <c r="S368" s="164"/>
      <c r="T368" s="164"/>
      <c r="U368" s="164"/>
      <c r="V368" s="35"/>
      <c r="W368" s="35"/>
      <c r="X368" s="35"/>
      <c r="Y368" s="35"/>
      <c r="Z368" s="35"/>
      <c r="AA368" s="35"/>
      <c r="AB368" s="35"/>
      <c r="AC368" s="35"/>
      <c r="AD368" s="35"/>
      <c r="AE368" s="35"/>
      <c r="AF368" s="35"/>
      <c r="AG368" s="35"/>
      <c r="AH368" s="35"/>
    </row>
    <row r="369">
      <c r="A369" s="35"/>
      <c r="B369" s="35"/>
      <c r="C369" s="35"/>
      <c r="D369" s="172"/>
      <c r="E369" s="21"/>
      <c r="F369" s="35"/>
      <c r="G369" s="35"/>
      <c r="H369" s="35"/>
      <c r="I369" s="35"/>
      <c r="J369" s="186"/>
      <c r="K369" s="110"/>
      <c r="L369" s="35"/>
      <c r="M369" s="172"/>
      <c r="N369" s="172"/>
      <c r="O369" s="35"/>
      <c r="P369" s="164"/>
      <c r="Q369" s="164"/>
      <c r="R369" s="164"/>
      <c r="S369" s="164"/>
      <c r="T369" s="164"/>
      <c r="U369" s="164"/>
      <c r="V369" s="35"/>
      <c r="W369" s="35"/>
      <c r="X369" s="35"/>
      <c r="Y369" s="35"/>
      <c r="Z369" s="35"/>
      <c r="AA369" s="35"/>
      <c r="AB369" s="35"/>
      <c r="AC369" s="35"/>
      <c r="AD369" s="35"/>
      <c r="AE369" s="35"/>
      <c r="AF369" s="35"/>
      <c r="AG369" s="35"/>
      <c r="AH369" s="35"/>
    </row>
    <row r="370">
      <c r="A370" s="35"/>
      <c r="B370" s="35"/>
      <c r="C370" s="35"/>
      <c r="D370" s="172"/>
      <c r="E370" s="21"/>
      <c r="F370" s="35"/>
      <c r="G370" s="35"/>
      <c r="H370" s="35"/>
      <c r="I370" s="35"/>
      <c r="J370" s="186"/>
      <c r="K370" s="110"/>
      <c r="L370" s="35"/>
      <c r="M370" s="172"/>
      <c r="N370" s="172"/>
      <c r="O370" s="35"/>
      <c r="P370" s="164"/>
      <c r="Q370" s="164"/>
      <c r="R370" s="164"/>
      <c r="S370" s="164"/>
      <c r="T370" s="164"/>
      <c r="U370" s="164"/>
      <c r="V370" s="35"/>
      <c r="W370" s="35"/>
      <c r="X370" s="35"/>
      <c r="Y370" s="35"/>
      <c r="Z370" s="35"/>
      <c r="AA370" s="35"/>
      <c r="AB370" s="35"/>
      <c r="AC370" s="35"/>
      <c r="AD370" s="35"/>
      <c r="AE370" s="35"/>
      <c r="AF370" s="35"/>
      <c r="AG370" s="35"/>
      <c r="AH370" s="35"/>
    </row>
    <row r="371">
      <c r="A371" s="35"/>
      <c r="B371" s="35"/>
      <c r="C371" s="35"/>
      <c r="D371" s="172"/>
      <c r="E371" s="21"/>
      <c r="F371" s="35"/>
      <c r="G371" s="35"/>
      <c r="H371" s="35"/>
      <c r="I371" s="35"/>
      <c r="J371" s="186"/>
      <c r="K371" s="110"/>
      <c r="L371" s="35"/>
      <c r="M371" s="172"/>
      <c r="N371" s="172"/>
      <c r="O371" s="35"/>
      <c r="P371" s="164"/>
      <c r="Q371" s="164"/>
      <c r="R371" s="164"/>
      <c r="S371" s="164"/>
      <c r="T371" s="164"/>
      <c r="U371" s="164"/>
      <c r="V371" s="35"/>
      <c r="W371" s="35"/>
      <c r="X371" s="35"/>
      <c r="Y371" s="35"/>
      <c r="Z371" s="35"/>
      <c r="AA371" s="35"/>
      <c r="AB371" s="35"/>
      <c r="AC371" s="35"/>
      <c r="AD371" s="35"/>
      <c r="AE371" s="35"/>
      <c r="AF371" s="35"/>
      <c r="AG371" s="35"/>
      <c r="AH371" s="35"/>
    </row>
    <row r="372">
      <c r="A372" s="35"/>
      <c r="B372" s="35"/>
      <c r="C372" s="35"/>
      <c r="D372" s="172"/>
      <c r="E372" s="21"/>
      <c r="F372" s="35"/>
      <c r="G372" s="35"/>
      <c r="H372" s="35"/>
      <c r="I372" s="35"/>
      <c r="J372" s="186"/>
      <c r="K372" s="110"/>
      <c r="L372" s="35"/>
      <c r="M372" s="172"/>
      <c r="N372" s="172"/>
      <c r="O372" s="35"/>
      <c r="P372" s="164"/>
      <c r="Q372" s="164"/>
      <c r="R372" s="164"/>
      <c r="S372" s="164"/>
      <c r="T372" s="164"/>
      <c r="U372" s="164"/>
      <c r="V372" s="35"/>
      <c r="W372" s="35"/>
      <c r="X372" s="35"/>
      <c r="Y372" s="35"/>
      <c r="Z372" s="35"/>
      <c r="AA372" s="35"/>
      <c r="AB372" s="35"/>
      <c r="AC372" s="35"/>
      <c r="AD372" s="35"/>
      <c r="AE372" s="35"/>
      <c r="AF372" s="35"/>
      <c r="AG372" s="35"/>
      <c r="AH372" s="35"/>
    </row>
    <row r="373">
      <c r="A373" s="35"/>
      <c r="B373" s="35"/>
      <c r="C373" s="35"/>
      <c r="D373" s="172"/>
      <c r="E373" s="21"/>
      <c r="F373" s="35"/>
      <c r="G373" s="35"/>
      <c r="H373" s="35"/>
      <c r="I373" s="35"/>
      <c r="J373" s="186"/>
      <c r="K373" s="110"/>
      <c r="L373" s="35"/>
      <c r="M373" s="172"/>
      <c r="N373" s="172"/>
      <c r="O373" s="35"/>
      <c r="P373" s="164"/>
      <c r="Q373" s="164"/>
      <c r="R373" s="164"/>
      <c r="S373" s="164"/>
      <c r="T373" s="164"/>
      <c r="U373" s="164"/>
      <c r="V373" s="35"/>
      <c r="W373" s="35"/>
      <c r="X373" s="35"/>
      <c r="Y373" s="35"/>
      <c r="Z373" s="35"/>
      <c r="AA373" s="35"/>
      <c r="AB373" s="35"/>
      <c r="AC373" s="35"/>
      <c r="AD373" s="35"/>
      <c r="AE373" s="35"/>
      <c r="AF373" s="35"/>
      <c r="AG373" s="35"/>
      <c r="AH373" s="35"/>
    </row>
    <row r="374">
      <c r="A374" s="35"/>
      <c r="B374" s="35"/>
      <c r="C374" s="35"/>
      <c r="D374" s="172"/>
      <c r="E374" s="21"/>
      <c r="F374" s="35"/>
      <c r="G374" s="35"/>
      <c r="H374" s="35"/>
      <c r="I374" s="35"/>
      <c r="J374" s="186"/>
      <c r="K374" s="110"/>
      <c r="L374" s="35"/>
      <c r="M374" s="172"/>
      <c r="N374" s="172"/>
      <c r="O374" s="35"/>
      <c r="P374" s="164"/>
      <c r="Q374" s="164"/>
      <c r="R374" s="164"/>
      <c r="S374" s="164"/>
      <c r="T374" s="164"/>
      <c r="U374" s="164"/>
      <c r="V374" s="35"/>
      <c r="W374" s="35"/>
      <c r="X374" s="35"/>
      <c r="Y374" s="35"/>
      <c r="Z374" s="35"/>
      <c r="AA374" s="35"/>
      <c r="AB374" s="35"/>
      <c r="AC374" s="35"/>
      <c r="AD374" s="35"/>
      <c r="AE374" s="35"/>
      <c r="AF374" s="35"/>
      <c r="AG374" s="35"/>
      <c r="AH374" s="35"/>
    </row>
    <row r="375">
      <c r="A375" s="35"/>
      <c r="B375" s="35"/>
      <c r="C375" s="35"/>
      <c r="D375" s="172"/>
      <c r="E375" s="21"/>
      <c r="F375" s="35"/>
      <c r="G375" s="35"/>
      <c r="H375" s="35"/>
      <c r="I375" s="35"/>
      <c r="J375" s="186"/>
      <c r="K375" s="110"/>
      <c r="L375" s="35"/>
      <c r="M375" s="172"/>
      <c r="N375" s="172"/>
      <c r="O375" s="35"/>
      <c r="P375" s="164"/>
      <c r="Q375" s="164"/>
      <c r="R375" s="164"/>
      <c r="S375" s="164"/>
      <c r="T375" s="164"/>
      <c r="U375" s="164"/>
      <c r="V375" s="35"/>
      <c r="W375" s="35"/>
      <c r="X375" s="35"/>
      <c r="Y375" s="35"/>
      <c r="Z375" s="35"/>
      <c r="AA375" s="35"/>
      <c r="AB375" s="35"/>
      <c r="AC375" s="35"/>
      <c r="AD375" s="35"/>
      <c r="AE375" s="35"/>
      <c r="AF375" s="35"/>
      <c r="AG375" s="35"/>
      <c r="AH375" s="35"/>
    </row>
    <row r="376">
      <c r="A376" s="35"/>
      <c r="B376" s="35"/>
      <c r="C376" s="35"/>
      <c r="D376" s="172"/>
      <c r="E376" s="21"/>
      <c r="F376" s="35"/>
      <c r="G376" s="35"/>
      <c r="H376" s="35"/>
      <c r="I376" s="35"/>
      <c r="J376" s="186"/>
      <c r="K376" s="110"/>
      <c r="L376" s="35"/>
      <c r="M376" s="172"/>
      <c r="N376" s="172"/>
      <c r="O376" s="35"/>
      <c r="P376" s="164"/>
      <c r="Q376" s="164"/>
      <c r="R376" s="164"/>
      <c r="S376" s="164"/>
      <c r="T376" s="164"/>
      <c r="U376" s="164"/>
      <c r="V376" s="35"/>
      <c r="W376" s="35"/>
      <c r="X376" s="35"/>
      <c r="Y376" s="35"/>
      <c r="Z376" s="35"/>
      <c r="AA376" s="35"/>
      <c r="AB376" s="35"/>
      <c r="AC376" s="35"/>
      <c r="AD376" s="35"/>
      <c r="AE376" s="35"/>
      <c r="AF376" s="35"/>
      <c r="AG376" s="35"/>
      <c r="AH376" s="35"/>
    </row>
    <row r="377">
      <c r="A377" s="35"/>
      <c r="B377" s="35"/>
      <c r="C377" s="35"/>
      <c r="D377" s="172"/>
      <c r="E377" s="21"/>
      <c r="F377" s="35"/>
      <c r="G377" s="35"/>
      <c r="H377" s="35"/>
      <c r="I377" s="35"/>
      <c r="J377" s="186"/>
      <c r="K377" s="110"/>
      <c r="L377" s="35"/>
      <c r="M377" s="172"/>
      <c r="N377" s="172"/>
      <c r="O377" s="35"/>
      <c r="P377" s="164"/>
      <c r="Q377" s="164"/>
      <c r="R377" s="164"/>
      <c r="S377" s="164"/>
      <c r="T377" s="164"/>
      <c r="U377" s="164"/>
      <c r="V377" s="35"/>
      <c r="W377" s="35"/>
      <c r="X377" s="35"/>
      <c r="Y377" s="35"/>
      <c r="Z377" s="35"/>
      <c r="AA377" s="35"/>
      <c r="AB377" s="35"/>
      <c r="AC377" s="35"/>
      <c r="AD377" s="35"/>
      <c r="AE377" s="35"/>
      <c r="AF377" s="35"/>
      <c r="AG377" s="35"/>
      <c r="AH377" s="35"/>
    </row>
    <row r="378">
      <c r="A378" s="35"/>
      <c r="B378" s="35"/>
      <c r="C378" s="35"/>
      <c r="D378" s="172"/>
      <c r="E378" s="21"/>
      <c r="F378" s="35"/>
      <c r="G378" s="35"/>
      <c r="H378" s="35"/>
      <c r="I378" s="35"/>
      <c r="J378" s="186"/>
      <c r="K378" s="110"/>
      <c r="L378" s="35"/>
      <c r="M378" s="172"/>
      <c r="N378" s="172"/>
      <c r="O378" s="35"/>
      <c r="P378" s="164"/>
      <c r="Q378" s="164"/>
      <c r="R378" s="164"/>
      <c r="S378" s="164"/>
      <c r="T378" s="164"/>
      <c r="U378" s="164"/>
      <c r="V378" s="35"/>
      <c r="W378" s="35"/>
      <c r="X378" s="35"/>
      <c r="Y378" s="35"/>
      <c r="Z378" s="35"/>
      <c r="AA378" s="35"/>
      <c r="AB378" s="35"/>
      <c r="AC378" s="35"/>
      <c r="AD378" s="35"/>
      <c r="AE378" s="35"/>
      <c r="AF378" s="35"/>
      <c r="AG378" s="35"/>
      <c r="AH378" s="35"/>
    </row>
    <row r="379">
      <c r="A379" s="35"/>
      <c r="B379" s="35"/>
      <c r="C379" s="35"/>
      <c r="D379" s="172"/>
      <c r="E379" s="21"/>
      <c r="F379" s="35"/>
      <c r="G379" s="35"/>
      <c r="H379" s="35"/>
      <c r="I379" s="35"/>
      <c r="J379" s="186"/>
      <c r="K379" s="110"/>
      <c r="L379" s="35"/>
      <c r="M379" s="172"/>
      <c r="N379" s="172"/>
      <c r="O379" s="35"/>
      <c r="P379" s="164"/>
      <c r="Q379" s="164"/>
      <c r="R379" s="164"/>
      <c r="S379" s="164"/>
      <c r="T379" s="164"/>
      <c r="U379" s="164"/>
      <c r="V379" s="35"/>
      <c r="W379" s="35"/>
      <c r="X379" s="35"/>
      <c r="Y379" s="35"/>
      <c r="Z379" s="35"/>
      <c r="AA379" s="35"/>
      <c r="AB379" s="35"/>
      <c r="AC379" s="35"/>
      <c r="AD379" s="35"/>
      <c r="AE379" s="35"/>
      <c r="AF379" s="35"/>
      <c r="AG379" s="35"/>
      <c r="AH379" s="35"/>
    </row>
    <row r="380">
      <c r="A380" s="35"/>
      <c r="B380" s="35"/>
      <c r="C380" s="35"/>
      <c r="D380" s="172"/>
      <c r="E380" s="21"/>
      <c r="F380" s="35"/>
      <c r="G380" s="35"/>
      <c r="H380" s="35"/>
      <c r="I380" s="35"/>
      <c r="J380" s="186"/>
      <c r="K380" s="110"/>
      <c r="L380" s="35"/>
      <c r="M380" s="172"/>
      <c r="N380" s="172"/>
      <c r="O380" s="35"/>
      <c r="P380" s="164"/>
      <c r="Q380" s="164"/>
      <c r="R380" s="164"/>
      <c r="S380" s="164"/>
      <c r="T380" s="164"/>
      <c r="U380" s="164"/>
      <c r="V380" s="35"/>
      <c r="W380" s="35"/>
      <c r="X380" s="35"/>
      <c r="Y380" s="35"/>
      <c r="Z380" s="35"/>
      <c r="AA380" s="35"/>
      <c r="AB380" s="35"/>
      <c r="AC380" s="35"/>
      <c r="AD380" s="35"/>
      <c r="AE380" s="35"/>
      <c r="AF380" s="35"/>
      <c r="AG380" s="35"/>
      <c r="AH380" s="35"/>
    </row>
    <row r="381">
      <c r="A381" s="35"/>
      <c r="B381" s="35"/>
      <c r="C381" s="35"/>
      <c r="D381" s="172"/>
      <c r="E381" s="21"/>
      <c r="F381" s="35"/>
      <c r="G381" s="35"/>
      <c r="H381" s="35"/>
      <c r="I381" s="35"/>
      <c r="J381" s="186"/>
      <c r="K381" s="110"/>
      <c r="L381" s="35"/>
      <c r="M381" s="172"/>
      <c r="N381" s="172"/>
      <c r="O381" s="35"/>
      <c r="P381" s="164"/>
      <c r="Q381" s="164"/>
      <c r="R381" s="164"/>
      <c r="S381" s="164"/>
      <c r="T381" s="164"/>
      <c r="U381" s="164"/>
      <c r="V381" s="35"/>
      <c r="W381" s="35"/>
      <c r="X381" s="35"/>
      <c r="Y381" s="35"/>
      <c r="Z381" s="35"/>
      <c r="AA381" s="35"/>
      <c r="AB381" s="35"/>
      <c r="AC381" s="35"/>
      <c r="AD381" s="35"/>
      <c r="AE381" s="35"/>
      <c r="AF381" s="35"/>
      <c r="AG381" s="35"/>
      <c r="AH381" s="35"/>
    </row>
    <row r="382">
      <c r="A382" s="35"/>
      <c r="B382" s="35"/>
      <c r="C382" s="35"/>
      <c r="D382" s="172"/>
      <c r="E382" s="21"/>
      <c r="F382" s="35"/>
      <c r="G382" s="35"/>
      <c r="H382" s="35"/>
      <c r="I382" s="35"/>
      <c r="J382" s="186"/>
      <c r="K382" s="110"/>
      <c r="L382" s="35"/>
      <c r="M382" s="172"/>
      <c r="N382" s="172"/>
      <c r="O382" s="35"/>
      <c r="P382" s="164"/>
      <c r="Q382" s="164"/>
      <c r="R382" s="164"/>
      <c r="S382" s="164"/>
      <c r="T382" s="164"/>
      <c r="U382" s="164"/>
      <c r="V382" s="35"/>
      <c r="W382" s="35"/>
      <c r="X382" s="35"/>
      <c r="Y382" s="35"/>
      <c r="Z382" s="35"/>
      <c r="AA382" s="35"/>
      <c r="AB382" s="35"/>
      <c r="AC382" s="35"/>
      <c r="AD382" s="35"/>
      <c r="AE382" s="35"/>
      <c r="AF382" s="35"/>
      <c r="AG382" s="35"/>
      <c r="AH382" s="35"/>
    </row>
    <row r="383">
      <c r="A383" s="35"/>
      <c r="B383" s="35"/>
      <c r="C383" s="35"/>
      <c r="D383" s="172"/>
      <c r="E383" s="21"/>
      <c r="F383" s="35"/>
      <c r="G383" s="35"/>
      <c r="H383" s="35"/>
      <c r="I383" s="35"/>
      <c r="J383" s="186"/>
      <c r="K383" s="110"/>
      <c r="L383" s="35"/>
      <c r="M383" s="172"/>
      <c r="N383" s="172"/>
      <c r="O383" s="35"/>
      <c r="P383" s="164"/>
      <c r="Q383" s="164"/>
      <c r="R383" s="164"/>
      <c r="S383" s="164"/>
      <c r="T383" s="164"/>
      <c r="U383" s="164"/>
      <c r="V383" s="35"/>
      <c r="W383" s="35"/>
      <c r="X383" s="35"/>
      <c r="Y383" s="35"/>
      <c r="Z383" s="35"/>
      <c r="AA383" s="35"/>
      <c r="AB383" s="35"/>
      <c r="AC383" s="35"/>
      <c r="AD383" s="35"/>
      <c r="AE383" s="35"/>
      <c r="AF383" s="35"/>
      <c r="AG383" s="35"/>
      <c r="AH383" s="35"/>
    </row>
    <row r="384">
      <c r="A384" s="35"/>
      <c r="B384" s="35"/>
      <c r="C384" s="35"/>
      <c r="D384" s="172"/>
      <c r="E384" s="21"/>
      <c r="F384" s="35"/>
      <c r="G384" s="35"/>
      <c r="H384" s="35"/>
      <c r="I384" s="35"/>
      <c r="J384" s="186"/>
      <c r="K384" s="110"/>
      <c r="L384" s="35"/>
      <c r="M384" s="172"/>
      <c r="N384" s="172"/>
      <c r="O384" s="35"/>
      <c r="P384" s="164"/>
      <c r="Q384" s="164"/>
      <c r="R384" s="164"/>
      <c r="S384" s="164"/>
      <c r="T384" s="164"/>
      <c r="U384" s="164"/>
      <c r="V384" s="35"/>
      <c r="W384" s="35"/>
      <c r="X384" s="35"/>
      <c r="Y384" s="35"/>
      <c r="Z384" s="35"/>
      <c r="AA384" s="35"/>
      <c r="AB384" s="35"/>
      <c r="AC384" s="35"/>
      <c r="AD384" s="35"/>
      <c r="AE384" s="35"/>
      <c r="AF384" s="35"/>
      <c r="AG384" s="35"/>
      <c r="AH384" s="35"/>
    </row>
    <row r="385">
      <c r="A385" s="35"/>
      <c r="B385" s="35"/>
      <c r="C385" s="35"/>
      <c r="D385" s="172"/>
      <c r="E385" s="21"/>
      <c r="F385" s="35"/>
      <c r="G385" s="35"/>
      <c r="H385" s="35"/>
      <c r="I385" s="35"/>
      <c r="J385" s="186"/>
      <c r="K385" s="110"/>
      <c r="L385" s="35"/>
      <c r="M385" s="172"/>
      <c r="N385" s="172"/>
      <c r="O385" s="35"/>
      <c r="P385" s="164"/>
      <c r="Q385" s="164"/>
      <c r="R385" s="164"/>
      <c r="S385" s="164"/>
      <c r="T385" s="164"/>
      <c r="U385" s="164"/>
      <c r="V385" s="35"/>
      <c r="W385" s="35"/>
      <c r="X385" s="35"/>
      <c r="Y385" s="35"/>
      <c r="Z385" s="35"/>
      <c r="AA385" s="35"/>
      <c r="AB385" s="35"/>
      <c r="AC385" s="35"/>
      <c r="AD385" s="35"/>
      <c r="AE385" s="35"/>
      <c r="AF385" s="35"/>
      <c r="AG385" s="35"/>
      <c r="AH385" s="35"/>
    </row>
    <row r="386">
      <c r="A386" s="35"/>
      <c r="B386" s="35"/>
      <c r="C386" s="35"/>
      <c r="D386" s="172"/>
      <c r="E386" s="21"/>
      <c r="F386" s="35"/>
      <c r="G386" s="35"/>
      <c r="H386" s="35"/>
      <c r="I386" s="35"/>
      <c r="J386" s="186"/>
      <c r="K386" s="110"/>
      <c r="L386" s="35"/>
      <c r="M386" s="172"/>
      <c r="N386" s="172"/>
      <c r="O386" s="35"/>
      <c r="P386" s="164"/>
      <c r="Q386" s="164"/>
      <c r="R386" s="164"/>
      <c r="S386" s="164"/>
      <c r="T386" s="164"/>
      <c r="U386" s="164"/>
      <c r="V386" s="35"/>
      <c r="W386" s="35"/>
      <c r="X386" s="35"/>
      <c r="Y386" s="35"/>
      <c r="Z386" s="35"/>
      <c r="AA386" s="35"/>
      <c r="AB386" s="35"/>
      <c r="AC386" s="35"/>
      <c r="AD386" s="35"/>
      <c r="AE386" s="35"/>
      <c r="AF386" s="35"/>
      <c r="AG386" s="35"/>
      <c r="AH386" s="35"/>
    </row>
    <row r="387">
      <c r="A387" s="35"/>
      <c r="B387" s="35"/>
      <c r="C387" s="35"/>
      <c r="D387" s="172"/>
      <c r="E387" s="21"/>
      <c r="F387" s="35"/>
      <c r="G387" s="35"/>
      <c r="H387" s="35"/>
      <c r="I387" s="35"/>
      <c r="J387" s="186"/>
      <c r="K387" s="110"/>
      <c r="L387" s="35"/>
      <c r="M387" s="172"/>
      <c r="N387" s="172"/>
      <c r="O387" s="35"/>
      <c r="P387" s="164"/>
      <c r="Q387" s="164"/>
      <c r="R387" s="164"/>
      <c r="S387" s="164"/>
      <c r="T387" s="164"/>
      <c r="U387" s="164"/>
      <c r="V387" s="35"/>
      <c r="W387" s="35"/>
      <c r="X387" s="35"/>
      <c r="Y387" s="35"/>
      <c r="Z387" s="35"/>
      <c r="AA387" s="35"/>
      <c r="AB387" s="35"/>
      <c r="AC387" s="35"/>
      <c r="AD387" s="35"/>
      <c r="AE387" s="35"/>
      <c r="AF387" s="35"/>
      <c r="AG387" s="35"/>
      <c r="AH387" s="35"/>
    </row>
    <row r="388">
      <c r="A388" s="35"/>
      <c r="B388" s="35"/>
      <c r="C388" s="35"/>
      <c r="D388" s="172"/>
      <c r="E388" s="21"/>
      <c r="F388" s="35"/>
      <c r="G388" s="35"/>
      <c r="H388" s="35"/>
      <c r="I388" s="35"/>
      <c r="J388" s="186"/>
      <c r="K388" s="110"/>
      <c r="L388" s="35"/>
      <c r="M388" s="172"/>
      <c r="N388" s="172"/>
      <c r="O388" s="35"/>
      <c r="P388" s="164"/>
      <c r="Q388" s="164"/>
      <c r="R388" s="164"/>
      <c r="S388" s="164"/>
      <c r="T388" s="164"/>
      <c r="U388" s="164"/>
      <c r="V388" s="35"/>
      <c r="W388" s="35"/>
      <c r="X388" s="35"/>
      <c r="Y388" s="35"/>
      <c r="Z388" s="35"/>
      <c r="AA388" s="35"/>
      <c r="AB388" s="35"/>
      <c r="AC388" s="35"/>
      <c r="AD388" s="35"/>
      <c r="AE388" s="35"/>
      <c r="AF388" s="35"/>
      <c r="AG388" s="35"/>
      <c r="AH388" s="35"/>
    </row>
    <row r="389">
      <c r="A389" s="35"/>
      <c r="B389" s="35"/>
      <c r="C389" s="35"/>
      <c r="D389" s="172"/>
      <c r="E389" s="21"/>
      <c r="F389" s="35"/>
      <c r="G389" s="35"/>
      <c r="H389" s="35"/>
      <c r="I389" s="35"/>
      <c r="J389" s="186"/>
      <c r="K389" s="110"/>
      <c r="L389" s="35"/>
      <c r="M389" s="172"/>
      <c r="N389" s="172"/>
      <c r="O389" s="35"/>
      <c r="P389" s="164"/>
      <c r="Q389" s="164"/>
      <c r="R389" s="164"/>
      <c r="S389" s="164"/>
      <c r="T389" s="164"/>
      <c r="U389" s="164"/>
      <c r="V389" s="35"/>
      <c r="W389" s="35"/>
      <c r="X389" s="35"/>
      <c r="Y389" s="35"/>
      <c r="Z389" s="35"/>
      <c r="AA389" s="35"/>
      <c r="AB389" s="35"/>
      <c r="AC389" s="35"/>
      <c r="AD389" s="35"/>
      <c r="AE389" s="35"/>
      <c r="AF389" s="35"/>
      <c r="AG389" s="35"/>
      <c r="AH389" s="35"/>
    </row>
    <row r="390">
      <c r="A390" s="35"/>
      <c r="B390" s="35"/>
      <c r="C390" s="35"/>
      <c r="D390" s="172"/>
      <c r="E390" s="21"/>
      <c r="F390" s="35"/>
      <c r="G390" s="35"/>
      <c r="H390" s="35"/>
      <c r="I390" s="35"/>
      <c r="J390" s="186"/>
      <c r="K390" s="110"/>
      <c r="L390" s="35"/>
      <c r="M390" s="172"/>
      <c r="N390" s="172"/>
      <c r="O390" s="35"/>
      <c r="P390" s="164"/>
      <c r="Q390" s="164"/>
      <c r="R390" s="164"/>
      <c r="S390" s="164"/>
      <c r="T390" s="164"/>
      <c r="U390" s="164"/>
      <c r="V390" s="35"/>
      <c r="W390" s="35"/>
      <c r="X390" s="35"/>
      <c r="Y390" s="35"/>
      <c r="Z390" s="35"/>
      <c r="AA390" s="35"/>
      <c r="AB390" s="35"/>
      <c r="AC390" s="35"/>
      <c r="AD390" s="35"/>
      <c r="AE390" s="35"/>
      <c r="AF390" s="35"/>
      <c r="AG390" s="35"/>
      <c r="AH390" s="35"/>
    </row>
    <row r="391">
      <c r="A391" s="35"/>
      <c r="B391" s="35"/>
      <c r="C391" s="35"/>
      <c r="D391" s="172"/>
      <c r="E391" s="21"/>
      <c r="F391" s="35"/>
      <c r="G391" s="35"/>
      <c r="H391" s="35"/>
      <c r="I391" s="35"/>
      <c r="J391" s="186"/>
      <c r="K391" s="110"/>
      <c r="L391" s="35"/>
      <c r="M391" s="172"/>
      <c r="N391" s="172"/>
      <c r="O391" s="35"/>
      <c r="P391" s="164"/>
      <c r="Q391" s="164"/>
      <c r="R391" s="164"/>
      <c r="S391" s="164"/>
      <c r="T391" s="164"/>
      <c r="U391" s="164"/>
      <c r="V391" s="35"/>
      <c r="W391" s="35"/>
      <c r="X391" s="35"/>
      <c r="Y391" s="35"/>
      <c r="Z391" s="35"/>
      <c r="AA391" s="35"/>
      <c r="AB391" s="35"/>
      <c r="AC391" s="35"/>
      <c r="AD391" s="35"/>
      <c r="AE391" s="35"/>
      <c r="AF391" s="35"/>
      <c r="AG391" s="35"/>
      <c r="AH391" s="35"/>
    </row>
    <row r="392">
      <c r="A392" s="35"/>
      <c r="B392" s="35"/>
      <c r="C392" s="35"/>
      <c r="D392" s="172"/>
      <c r="E392" s="21"/>
      <c r="F392" s="35"/>
      <c r="G392" s="35"/>
      <c r="H392" s="35"/>
      <c r="I392" s="35"/>
      <c r="J392" s="186"/>
      <c r="K392" s="110"/>
      <c r="L392" s="35"/>
      <c r="M392" s="172"/>
      <c r="N392" s="172"/>
      <c r="O392" s="35"/>
      <c r="P392" s="164"/>
      <c r="Q392" s="164"/>
      <c r="R392" s="164"/>
      <c r="S392" s="164"/>
      <c r="T392" s="164"/>
      <c r="U392" s="164"/>
      <c r="V392" s="35"/>
      <c r="W392" s="35"/>
      <c r="X392" s="35"/>
      <c r="Y392" s="35"/>
      <c r="Z392" s="35"/>
      <c r="AA392" s="35"/>
      <c r="AB392" s="35"/>
      <c r="AC392" s="35"/>
      <c r="AD392" s="35"/>
      <c r="AE392" s="35"/>
      <c r="AF392" s="35"/>
      <c r="AG392" s="35"/>
      <c r="AH392" s="35"/>
    </row>
    <row r="393">
      <c r="A393" s="35"/>
      <c r="B393" s="35"/>
      <c r="C393" s="35"/>
      <c r="D393" s="172"/>
      <c r="E393" s="21"/>
      <c r="F393" s="35"/>
      <c r="G393" s="35"/>
      <c r="H393" s="35"/>
      <c r="I393" s="35"/>
      <c r="J393" s="186"/>
      <c r="K393" s="110"/>
      <c r="L393" s="35"/>
      <c r="M393" s="172"/>
      <c r="N393" s="172"/>
      <c r="O393" s="35"/>
      <c r="P393" s="164"/>
      <c r="Q393" s="164"/>
      <c r="R393" s="164"/>
      <c r="S393" s="164"/>
      <c r="T393" s="164"/>
      <c r="U393" s="164"/>
      <c r="V393" s="35"/>
      <c r="W393" s="35"/>
      <c r="X393" s="35"/>
      <c r="Y393" s="35"/>
      <c r="Z393" s="35"/>
      <c r="AA393" s="35"/>
      <c r="AB393" s="35"/>
      <c r="AC393" s="35"/>
      <c r="AD393" s="35"/>
      <c r="AE393" s="35"/>
      <c r="AF393" s="35"/>
      <c r="AG393" s="35"/>
      <c r="AH393" s="35"/>
    </row>
    <row r="394">
      <c r="A394" s="35"/>
      <c r="B394" s="35"/>
      <c r="C394" s="35"/>
      <c r="D394" s="172"/>
      <c r="E394" s="21"/>
      <c r="F394" s="35"/>
      <c r="G394" s="35"/>
      <c r="H394" s="35"/>
      <c r="I394" s="35"/>
      <c r="J394" s="186"/>
      <c r="K394" s="110"/>
      <c r="L394" s="35"/>
      <c r="M394" s="172"/>
      <c r="N394" s="172"/>
      <c r="O394" s="35"/>
      <c r="P394" s="164"/>
      <c r="Q394" s="164"/>
      <c r="R394" s="164"/>
      <c r="S394" s="164"/>
      <c r="T394" s="164"/>
      <c r="U394" s="164"/>
      <c r="V394" s="35"/>
      <c r="W394" s="35"/>
      <c r="X394" s="35"/>
      <c r="Y394" s="35"/>
      <c r="Z394" s="35"/>
      <c r="AA394" s="35"/>
      <c r="AB394" s="35"/>
      <c r="AC394" s="35"/>
      <c r="AD394" s="35"/>
      <c r="AE394" s="35"/>
      <c r="AF394" s="35"/>
      <c r="AG394" s="35"/>
      <c r="AH394" s="35"/>
    </row>
    <row r="395">
      <c r="A395" s="35"/>
      <c r="B395" s="35"/>
      <c r="C395" s="35"/>
      <c r="D395" s="172"/>
      <c r="E395" s="21"/>
      <c r="F395" s="35"/>
      <c r="G395" s="35"/>
      <c r="H395" s="35"/>
      <c r="I395" s="35"/>
      <c r="J395" s="186"/>
      <c r="K395" s="110"/>
      <c r="L395" s="35"/>
      <c r="M395" s="172"/>
      <c r="N395" s="172"/>
      <c r="O395" s="35"/>
      <c r="P395" s="164"/>
      <c r="Q395" s="164"/>
      <c r="R395" s="164"/>
      <c r="S395" s="164"/>
      <c r="T395" s="164"/>
      <c r="U395" s="164"/>
      <c r="V395" s="35"/>
      <c r="W395" s="35"/>
      <c r="X395" s="35"/>
      <c r="Y395" s="35"/>
      <c r="Z395" s="35"/>
      <c r="AA395" s="35"/>
      <c r="AB395" s="35"/>
      <c r="AC395" s="35"/>
      <c r="AD395" s="35"/>
      <c r="AE395" s="35"/>
      <c r="AF395" s="35"/>
      <c r="AG395" s="35"/>
      <c r="AH395" s="35"/>
    </row>
    <row r="396">
      <c r="A396" s="35"/>
      <c r="B396" s="35"/>
      <c r="C396" s="35"/>
      <c r="D396" s="172"/>
      <c r="E396" s="21"/>
      <c r="F396" s="35"/>
      <c r="G396" s="35"/>
      <c r="H396" s="35"/>
      <c r="I396" s="35"/>
      <c r="J396" s="186"/>
      <c r="K396" s="110"/>
      <c r="L396" s="35"/>
      <c r="M396" s="172"/>
      <c r="N396" s="172"/>
      <c r="O396" s="35"/>
      <c r="P396" s="164"/>
      <c r="Q396" s="164"/>
      <c r="R396" s="164"/>
      <c r="S396" s="164"/>
      <c r="T396" s="164"/>
      <c r="U396" s="164"/>
      <c r="V396" s="35"/>
      <c r="W396" s="35"/>
      <c r="X396" s="35"/>
      <c r="Y396" s="35"/>
      <c r="Z396" s="35"/>
      <c r="AA396" s="35"/>
      <c r="AB396" s="35"/>
      <c r="AC396" s="35"/>
      <c r="AD396" s="35"/>
      <c r="AE396" s="35"/>
      <c r="AF396" s="35"/>
      <c r="AG396" s="35"/>
      <c r="AH396" s="35"/>
    </row>
    <row r="397">
      <c r="A397" s="35"/>
      <c r="B397" s="35"/>
      <c r="C397" s="35"/>
      <c r="D397" s="172"/>
      <c r="E397" s="21"/>
      <c r="F397" s="35"/>
      <c r="G397" s="35"/>
      <c r="H397" s="35"/>
      <c r="I397" s="35"/>
      <c r="J397" s="186"/>
      <c r="K397" s="110"/>
      <c r="L397" s="35"/>
      <c r="M397" s="172"/>
      <c r="N397" s="172"/>
      <c r="O397" s="35"/>
      <c r="P397" s="164"/>
      <c r="Q397" s="164"/>
      <c r="R397" s="164"/>
      <c r="S397" s="164"/>
      <c r="T397" s="164"/>
      <c r="U397" s="164"/>
      <c r="V397" s="35"/>
      <c r="W397" s="35"/>
      <c r="X397" s="35"/>
      <c r="Y397" s="35"/>
      <c r="Z397" s="35"/>
      <c r="AA397" s="35"/>
      <c r="AB397" s="35"/>
      <c r="AC397" s="35"/>
      <c r="AD397" s="35"/>
      <c r="AE397" s="35"/>
      <c r="AF397" s="35"/>
      <c r="AG397" s="35"/>
      <c r="AH397" s="35"/>
    </row>
    <row r="398">
      <c r="A398" s="35"/>
      <c r="B398" s="35"/>
      <c r="C398" s="35"/>
      <c r="D398" s="172"/>
      <c r="E398" s="21"/>
      <c r="F398" s="35"/>
      <c r="G398" s="35"/>
      <c r="H398" s="35"/>
      <c r="I398" s="35"/>
      <c r="J398" s="186"/>
      <c r="K398" s="110"/>
      <c r="L398" s="35"/>
      <c r="M398" s="172"/>
      <c r="N398" s="172"/>
      <c r="O398" s="35"/>
      <c r="P398" s="164"/>
      <c r="Q398" s="164"/>
      <c r="R398" s="164"/>
      <c r="S398" s="164"/>
      <c r="T398" s="164"/>
      <c r="U398" s="164"/>
      <c r="V398" s="35"/>
      <c r="W398" s="35"/>
      <c r="X398" s="35"/>
      <c r="Y398" s="35"/>
      <c r="Z398" s="35"/>
      <c r="AA398" s="35"/>
      <c r="AB398" s="35"/>
      <c r="AC398" s="35"/>
      <c r="AD398" s="35"/>
      <c r="AE398" s="35"/>
      <c r="AF398" s="35"/>
      <c r="AG398" s="35"/>
      <c r="AH398" s="35"/>
    </row>
    <row r="399">
      <c r="A399" s="35"/>
      <c r="B399" s="35"/>
      <c r="C399" s="35"/>
      <c r="D399" s="172"/>
      <c r="E399" s="21"/>
      <c r="F399" s="35"/>
      <c r="G399" s="35"/>
      <c r="H399" s="35"/>
      <c r="I399" s="35"/>
      <c r="J399" s="186"/>
      <c r="K399" s="110"/>
      <c r="L399" s="35"/>
      <c r="M399" s="172"/>
      <c r="N399" s="172"/>
      <c r="O399" s="35"/>
      <c r="P399" s="164"/>
      <c r="Q399" s="164"/>
      <c r="R399" s="164"/>
      <c r="S399" s="164"/>
      <c r="T399" s="164"/>
      <c r="U399" s="164"/>
      <c r="V399" s="35"/>
      <c r="W399" s="35"/>
      <c r="X399" s="35"/>
      <c r="Y399" s="35"/>
      <c r="Z399" s="35"/>
      <c r="AA399" s="35"/>
      <c r="AB399" s="35"/>
      <c r="AC399" s="35"/>
      <c r="AD399" s="35"/>
      <c r="AE399" s="35"/>
      <c r="AF399" s="35"/>
      <c r="AG399" s="35"/>
      <c r="AH399" s="35"/>
    </row>
    <row r="400">
      <c r="A400" s="35"/>
      <c r="B400" s="35"/>
      <c r="C400" s="35"/>
      <c r="D400" s="172"/>
      <c r="E400" s="21"/>
      <c r="F400" s="35"/>
      <c r="G400" s="35"/>
      <c r="H400" s="35"/>
      <c r="I400" s="35"/>
      <c r="J400" s="186"/>
      <c r="K400" s="110"/>
      <c r="L400" s="35"/>
      <c r="M400" s="172"/>
      <c r="N400" s="172"/>
      <c r="O400" s="35"/>
      <c r="P400" s="164"/>
      <c r="Q400" s="164"/>
      <c r="R400" s="164"/>
      <c r="S400" s="164"/>
      <c r="T400" s="164"/>
      <c r="U400" s="164"/>
      <c r="V400" s="35"/>
      <c r="W400" s="35"/>
      <c r="X400" s="35"/>
      <c r="Y400" s="35"/>
      <c r="Z400" s="35"/>
      <c r="AA400" s="35"/>
      <c r="AB400" s="35"/>
      <c r="AC400" s="35"/>
      <c r="AD400" s="35"/>
      <c r="AE400" s="35"/>
      <c r="AF400" s="35"/>
      <c r="AG400" s="35"/>
      <c r="AH400" s="35"/>
    </row>
    <row r="401">
      <c r="A401" s="35"/>
      <c r="B401" s="35"/>
      <c r="C401" s="35"/>
      <c r="D401" s="172"/>
      <c r="E401" s="21"/>
      <c r="F401" s="35"/>
      <c r="G401" s="35"/>
      <c r="H401" s="35"/>
      <c r="I401" s="35"/>
      <c r="J401" s="186"/>
      <c r="K401" s="110"/>
      <c r="L401" s="35"/>
      <c r="M401" s="172"/>
      <c r="N401" s="172"/>
      <c r="O401" s="35"/>
      <c r="P401" s="164"/>
      <c r="Q401" s="164"/>
      <c r="R401" s="164"/>
      <c r="S401" s="164"/>
      <c r="T401" s="164"/>
      <c r="U401" s="164"/>
      <c r="V401" s="35"/>
      <c r="W401" s="35"/>
      <c r="X401" s="35"/>
      <c r="Y401" s="35"/>
      <c r="Z401" s="35"/>
      <c r="AA401" s="35"/>
      <c r="AB401" s="35"/>
      <c r="AC401" s="35"/>
      <c r="AD401" s="35"/>
      <c r="AE401" s="35"/>
      <c r="AF401" s="35"/>
      <c r="AG401" s="35"/>
      <c r="AH401" s="35"/>
    </row>
    <row r="402">
      <c r="A402" s="35"/>
      <c r="B402" s="35"/>
      <c r="C402" s="35"/>
      <c r="D402" s="172"/>
      <c r="E402" s="21"/>
      <c r="F402" s="35"/>
      <c r="G402" s="35"/>
      <c r="H402" s="35"/>
      <c r="I402" s="35"/>
      <c r="J402" s="186"/>
      <c r="K402" s="110"/>
      <c r="L402" s="35"/>
      <c r="M402" s="172"/>
      <c r="N402" s="172"/>
      <c r="O402" s="35"/>
      <c r="P402" s="164"/>
      <c r="Q402" s="164"/>
      <c r="R402" s="164"/>
      <c r="S402" s="164"/>
      <c r="T402" s="164"/>
      <c r="U402" s="164"/>
      <c r="V402" s="35"/>
      <c r="W402" s="35"/>
      <c r="X402" s="35"/>
      <c r="Y402" s="35"/>
      <c r="Z402" s="35"/>
      <c r="AA402" s="35"/>
      <c r="AB402" s="35"/>
      <c r="AC402" s="35"/>
      <c r="AD402" s="35"/>
      <c r="AE402" s="35"/>
      <c r="AF402" s="35"/>
      <c r="AG402" s="35"/>
      <c r="AH402" s="35"/>
    </row>
    <row r="403">
      <c r="A403" s="35"/>
      <c r="B403" s="35"/>
      <c r="C403" s="35"/>
      <c r="D403" s="172"/>
      <c r="E403" s="21"/>
      <c r="F403" s="35"/>
      <c r="G403" s="35"/>
      <c r="H403" s="35"/>
      <c r="I403" s="35"/>
      <c r="J403" s="186"/>
      <c r="K403" s="110"/>
      <c r="L403" s="35"/>
      <c r="M403" s="172"/>
      <c r="N403" s="172"/>
      <c r="O403" s="35"/>
      <c r="P403" s="164"/>
      <c r="Q403" s="164"/>
      <c r="R403" s="164"/>
      <c r="S403" s="164"/>
      <c r="T403" s="164"/>
      <c r="U403" s="164"/>
      <c r="V403" s="35"/>
      <c r="W403" s="35"/>
      <c r="X403" s="35"/>
      <c r="Y403" s="35"/>
      <c r="Z403" s="35"/>
      <c r="AA403" s="35"/>
      <c r="AB403" s="35"/>
      <c r="AC403" s="35"/>
      <c r="AD403" s="35"/>
      <c r="AE403" s="35"/>
      <c r="AF403" s="35"/>
      <c r="AG403" s="35"/>
      <c r="AH403" s="35"/>
    </row>
    <row r="404">
      <c r="A404" s="35"/>
      <c r="B404" s="35"/>
      <c r="C404" s="35"/>
      <c r="D404" s="172"/>
      <c r="E404" s="21"/>
      <c r="F404" s="35"/>
      <c r="G404" s="35"/>
      <c r="H404" s="35"/>
      <c r="I404" s="35"/>
      <c r="J404" s="186"/>
      <c r="K404" s="110"/>
      <c r="L404" s="35"/>
      <c r="M404" s="172"/>
      <c r="N404" s="172"/>
      <c r="O404" s="35"/>
      <c r="P404" s="164"/>
      <c r="Q404" s="164"/>
      <c r="R404" s="164"/>
      <c r="S404" s="164"/>
      <c r="T404" s="164"/>
      <c r="U404" s="164"/>
      <c r="V404" s="35"/>
      <c r="W404" s="35"/>
      <c r="X404" s="35"/>
      <c r="Y404" s="35"/>
      <c r="Z404" s="35"/>
      <c r="AA404" s="35"/>
      <c r="AB404" s="35"/>
      <c r="AC404" s="35"/>
      <c r="AD404" s="35"/>
      <c r="AE404" s="35"/>
      <c r="AF404" s="35"/>
      <c r="AG404" s="35"/>
      <c r="AH404" s="35"/>
    </row>
    <row r="405">
      <c r="A405" s="35"/>
      <c r="B405" s="35"/>
      <c r="C405" s="35"/>
      <c r="D405" s="172"/>
      <c r="E405" s="21"/>
      <c r="F405" s="35"/>
      <c r="G405" s="35"/>
      <c r="H405" s="35"/>
      <c r="I405" s="35"/>
      <c r="J405" s="186"/>
      <c r="K405" s="110"/>
      <c r="L405" s="35"/>
      <c r="M405" s="172"/>
      <c r="N405" s="172"/>
      <c r="O405" s="35"/>
      <c r="P405" s="164"/>
      <c r="Q405" s="164"/>
      <c r="R405" s="164"/>
      <c r="S405" s="164"/>
      <c r="T405" s="164"/>
      <c r="U405" s="164"/>
      <c r="V405" s="35"/>
      <c r="W405" s="35"/>
      <c r="X405" s="35"/>
      <c r="Y405" s="35"/>
      <c r="Z405" s="35"/>
      <c r="AA405" s="35"/>
      <c r="AB405" s="35"/>
      <c r="AC405" s="35"/>
      <c r="AD405" s="35"/>
      <c r="AE405" s="35"/>
      <c r="AF405" s="35"/>
      <c r="AG405" s="35"/>
      <c r="AH405" s="35"/>
    </row>
    <row r="406">
      <c r="A406" s="35"/>
      <c r="B406" s="35"/>
      <c r="C406" s="35"/>
      <c r="D406" s="172"/>
      <c r="E406" s="21"/>
      <c r="F406" s="35"/>
      <c r="G406" s="35"/>
      <c r="H406" s="35"/>
      <c r="I406" s="35"/>
      <c r="J406" s="186"/>
      <c r="K406" s="110"/>
      <c r="L406" s="35"/>
      <c r="M406" s="172"/>
      <c r="N406" s="172"/>
      <c r="O406" s="35"/>
      <c r="P406" s="164"/>
      <c r="Q406" s="164"/>
      <c r="R406" s="164"/>
      <c r="S406" s="164"/>
      <c r="T406" s="164"/>
      <c r="U406" s="164"/>
      <c r="V406" s="35"/>
      <c r="W406" s="35"/>
      <c r="X406" s="35"/>
      <c r="Y406" s="35"/>
      <c r="Z406" s="35"/>
      <c r="AA406" s="35"/>
      <c r="AB406" s="35"/>
      <c r="AC406" s="35"/>
      <c r="AD406" s="35"/>
      <c r="AE406" s="35"/>
      <c r="AF406" s="35"/>
      <c r="AG406" s="35"/>
      <c r="AH406" s="35"/>
    </row>
    <row r="407">
      <c r="A407" s="35"/>
      <c r="B407" s="35"/>
      <c r="C407" s="35"/>
      <c r="D407" s="172"/>
      <c r="E407" s="21"/>
      <c r="F407" s="35"/>
      <c r="G407" s="35"/>
      <c r="H407" s="35"/>
      <c r="I407" s="35"/>
      <c r="J407" s="186"/>
      <c r="K407" s="110"/>
      <c r="L407" s="35"/>
      <c r="M407" s="172"/>
      <c r="N407" s="172"/>
      <c r="O407" s="35"/>
      <c r="P407" s="164"/>
      <c r="Q407" s="164"/>
      <c r="R407" s="164"/>
      <c r="S407" s="164"/>
      <c r="T407" s="164"/>
      <c r="U407" s="164"/>
      <c r="V407" s="35"/>
      <c r="W407" s="35"/>
      <c r="X407" s="35"/>
      <c r="Y407" s="35"/>
      <c r="Z407" s="35"/>
      <c r="AA407" s="35"/>
      <c r="AB407" s="35"/>
      <c r="AC407" s="35"/>
      <c r="AD407" s="35"/>
      <c r="AE407" s="35"/>
      <c r="AF407" s="35"/>
      <c r="AG407" s="35"/>
      <c r="AH407" s="35"/>
    </row>
    <row r="408">
      <c r="A408" s="35"/>
      <c r="B408" s="35"/>
      <c r="C408" s="35"/>
      <c r="D408" s="172"/>
      <c r="E408" s="21"/>
      <c r="F408" s="35"/>
      <c r="G408" s="35"/>
      <c r="H408" s="35"/>
      <c r="I408" s="35"/>
      <c r="J408" s="186"/>
      <c r="K408" s="110"/>
      <c r="L408" s="35"/>
      <c r="M408" s="172"/>
      <c r="N408" s="172"/>
      <c r="O408" s="35"/>
      <c r="P408" s="164"/>
      <c r="Q408" s="164"/>
      <c r="R408" s="164"/>
      <c r="S408" s="164"/>
      <c r="T408" s="164"/>
      <c r="U408" s="164"/>
      <c r="V408" s="35"/>
      <c r="W408" s="35"/>
      <c r="X408" s="35"/>
      <c r="Y408" s="35"/>
      <c r="Z408" s="35"/>
      <c r="AA408" s="35"/>
      <c r="AB408" s="35"/>
      <c r="AC408" s="35"/>
      <c r="AD408" s="35"/>
      <c r="AE408" s="35"/>
      <c r="AF408" s="35"/>
      <c r="AG408" s="35"/>
      <c r="AH408" s="35"/>
    </row>
    <row r="409">
      <c r="A409" s="35"/>
      <c r="B409" s="35"/>
      <c r="C409" s="35"/>
      <c r="D409" s="172"/>
      <c r="E409" s="21"/>
      <c r="F409" s="35"/>
      <c r="G409" s="35"/>
      <c r="H409" s="35"/>
      <c r="I409" s="35"/>
      <c r="J409" s="186"/>
      <c r="K409" s="110"/>
      <c r="L409" s="35"/>
      <c r="M409" s="172"/>
      <c r="N409" s="172"/>
      <c r="O409" s="35"/>
      <c r="P409" s="164"/>
      <c r="Q409" s="164"/>
      <c r="R409" s="164"/>
      <c r="S409" s="164"/>
      <c r="T409" s="164"/>
      <c r="U409" s="164"/>
      <c r="V409" s="35"/>
      <c r="W409" s="35"/>
      <c r="X409" s="35"/>
      <c r="Y409" s="35"/>
      <c r="Z409" s="35"/>
      <c r="AA409" s="35"/>
      <c r="AB409" s="35"/>
      <c r="AC409" s="35"/>
      <c r="AD409" s="35"/>
      <c r="AE409" s="35"/>
      <c r="AF409" s="35"/>
      <c r="AG409" s="35"/>
      <c r="AH409" s="35"/>
    </row>
    <row r="410">
      <c r="A410" s="35"/>
      <c r="B410" s="35"/>
      <c r="C410" s="35"/>
      <c r="D410" s="172"/>
      <c r="E410" s="21"/>
      <c r="F410" s="35"/>
      <c r="G410" s="35"/>
      <c r="H410" s="35"/>
      <c r="I410" s="35"/>
      <c r="J410" s="186"/>
      <c r="K410" s="110"/>
      <c r="L410" s="35"/>
      <c r="M410" s="172"/>
      <c r="N410" s="172"/>
      <c r="O410" s="35"/>
      <c r="P410" s="164"/>
      <c r="Q410" s="164"/>
      <c r="R410" s="164"/>
      <c r="S410" s="164"/>
      <c r="T410" s="164"/>
      <c r="U410" s="164"/>
      <c r="V410" s="35"/>
      <c r="W410" s="35"/>
      <c r="X410" s="35"/>
      <c r="Y410" s="35"/>
      <c r="Z410" s="35"/>
      <c r="AA410" s="35"/>
      <c r="AB410" s="35"/>
      <c r="AC410" s="35"/>
      <c r="AD410" s="35"/>
      <c r="AE410" s="35"/>
      <c r="AF410" s="35"/>
      <c r="AG410" s="35"/>
      <c r="AH410" s="35"/>
    </row>
    <row r="411">
      <c r="A411" s="35"/>
      <c r="B411" s="35"/>
      <c r="C411" s="35"/>
      <c r="D411" s="172"/>
      <c r="E411" s="21"/>
      <c r="F411" s="35"/>
      <c r="G411" s="35"/>
      <c r="H411" s="35"/>
      <c r="I411" s="35"/>
      <c r="J411" s="186"/>
      <c r="K411" s="110"/>
      <c r="L411" s="35"/>
      <c r="M411" s="172"/>
      <c r="N411" s="172"/>
      <c r="O411" s="35"/>
      <c r="P411" s="164"/>
      <c r="Q411" s="164"/>
      <c r="R411" s="164"/>
      <c r="S411" s="164"/>
      <c r="T411" s="164"/>
      <c r="U411" s="164"/>
      <c r="V411" s="35"/>
      <c r="W411" s="35"/>
      <c r="X411" s="35"/>
      <c r="Y411" s="35"/>
      <c r="Z411" s="35"/>
      <c r="AA411" s="35"/>
      <c r="AB411" s="35"/>
      <c r="AC411" s="35"/>
      <c r="AD411" s="35"/>
      <c r="AE411" s="35"/>
      <c r="AF411" s="35"/>
      <c r="AG411" s="35"/>
      <c r="AH411" s="35"/>
    </row>
    <row r="412">
      <c r="A412" s="35"/>
      <c r="B412" s="35"/>
      <c r="C412" s="35"/>
      <c r="D412" s="172"/>
      <c r="E412" s="21"/>
      <c r="F412" s="35"/>
      <c r="G412" s="35"/>
      <c r="H412" s="35"/>
      <c r="I412" s="35"/>
      <c r="J412" s="186"/>
      <c r="K412" s="110"/>
      <c r="L412" s="35"/>
      <c r="M412" s="172"/>
      <c r="N412" s="172"/>
      <c r="O412" s="35"/>
      <c r="P412" s="164"/>
      <c r="Q412" s="164"/>
      <c r="R412" s="164"/>
      <c r="S412" s="164"/>
      <c r="T412" s="164"/>
      <c r="U412" s="164"/>
      <c r="V412" s="35"/>
      <c r="W412" s="35"/>
      <c r="X412" s="35"/>
      <c r="Y412" s="35"/>
      <c r="Z412" s="35"/>
      <c r="AA412" s="35"/>
      <c r="AB412" s="35"/>
      <c r="AC412" s="35"/>
      <c r="AD412" s="35"/>
      <c r="AE412" s="35"/>
      <c r="AF412" s="35"/>
      <c r="AG412" s="35"/>
      <c r="AH412" s="35"/>
    </row>
    <row r="413">
      <c r="A413" s="35"/>
      <c r="B413" s="35"/>
      <c r="C413" s="35"/>
      <c r="D413" s="172"/>
      <c r="E413" s="21"/>
      <c r="F413" s="35"/>
      <c r="G413" s="35"/>
      <c r="H413" s="35"/>
      <c r="I413" s="35"/>
      <c r="J413" s="186"/>
      <c r="K413" s="110"/>
      <c r="L413" s="35"/>
      <c r="M413" s="172"/>
      <c r="N413" s="172"/>
      <c r="O413" s="35"/>
      <c r="P413" s="164"/>
      <c r="Q413" s="164"/>
      <c r="R413" s="164"/>
      <c r="S413" s="164"/>
      <c r="T413" s="164"/>
      <c r="U413" s="164"/>
      <c r="V413" s="35"/>
      <c r="W413" s="35"/>
      <c r="X413" s="35"/>
      <c r="Y413" s="35"/>
      <c r="Z413" s="35"/>
      <c r="AA413" s="35"/>
      <c r="AB413" s="35"/>
      <c r="AC413" s="35"/>
      <c r="AD413" s="35"/>
      <c r="AE413" s="35"/>
      <c r="AF413" s="35"/>
      <c r="AG413" s="35"/>
      <c r="AH413" s="35"/>
    </row>
    <row r="414">
      <c r="A414" s="35"/>
      <c r="B414" s="35"/>
      <c r="C414" s="35"/>
      <c r="D414" s="172"/>
      <c r="E414" s="21"/>
      <c r="F414" s="35"/>
      <c r="G414" s="35"/>
      <c r="H414" s="35"/>
      <c r="I414" s="35"/>
      <c r="J414" s="186"/>
      <c r="K414" s="110"/>
      <c r="L414" s="35"/>
      <c r="M414" s="172"/>
      <c r="N414" s="172"/>
      <c r="O414" s="35"/>
      <c r="P414" s="164"/>
      <c r="Q414" s="164"/>
      <c r="R414" s="164"/>
      <c r="S414" s="164"/>
      <c r="T414" s="164"/>
      <c r="U414" s="164"/>
      <c r="V414" s="35"/>
      <c r="W414" s="35"/>
      <c r="X414" s="35"/>
      <c r="Y414" s="35"/>
      <c r="Z414" s="35"/>
      <c r="AA414" s="35"/>
      <c r="AB414" s="35"/>
      <c r="AC414" s="35"/>
      <c r="AD414" s="35"/>
      <c r="AE414" s="35"/>
      <c r="AF414" s="35"/>
      <c r="AG414" s="35"/>
      <c r="AH414" s="35"/>
    </row>
    <row r="415">
      <c r="A415" s="35"/>
      <c r="B415" s="35"/>
      <c r="C415" s="35"/>
      <c r="D415" s="172"/>
      <c r="E415" s="21"/>
      <c r="F415" s="35"/>
      <c r="G415" s="35"/>
      <c r="H415" s="35"/>
      <c r="I415" s="35"/>
      <c r="J415" s="186"/>
      <c r="K415" s="110"/>
      <c r="L415" s="35"/>
      <c r="M415" s="172"/>
      <c r="N415" s="172"/>
      <c r="O415" s="35"/>
      <c r="P415" s="164"/>
      <c r="Q415" s="164"/>
      <c r="R415" s="164"/>
      <c r="S415" s="164"/>
      <c r="T415" s="164"/>
      <c r="U415" s="164"/>
      <c r="V415" s="35"/>
      <c r="W415" s="35"/>
      <c r="X415" s="35"/>
      <c r="Y415" s="35"/>
      <c r="Z415" s="35"/>
      <c r="AA415" s="35"/>
      <c r="AB415" s="35"/>
      <c r="AC415" s="35"/>
      <c r="AD415" s="35"/>
      <c r="AE415" s="35"/>
      <c r="AF415" s="35"/>
      <c r="AG415" s="35"/>
      <c r="AH415" s="35"/>
    </row>
    <row r="416">
      <c r="A416" s="35"/>
      <c r="B416" s="35"/>
      <c r="C416" s="35"/>
      <c r="D416" s="172"/>
      <c r="E416" s="21"/>
      <c r="F416" s="35"/>
      <c r="G416" s="35"/>
      <c r="H416" s="35"/>
      <c r="I416" s="35"/>
      <c r="J416" s="186"/>
      <c r="K416" s="110"/>
      <c r="L416" s="35"/>
      <c r="M416" s="172"/>
      <c r="N416" s="172"/>
      <c r="O416" s="35"/>
      <c r="P416" s="164"/>
      <c r="Q416" s="164"/>
      <c r="R416" s="164"/>
      <c r="S416" s="164"/>
      <c r="T416" s="164"/>
      <c r="U416" s="164"/>
      <c r="V416" s="35"/>
      <c r="W416" s="35"/>
      <c r="X416" s="35"/>
      <c r="Y416" s="35"/>
      <c r="Z416" s="35"/>
      <c r="AA416" s="35"/>
      <c r="AB416" s="35"/>
      <c r="AC416" s="35"/>
      <c r="AD416" s="35"/>
      <c r="AE416" s="35"/>
      <c r="AF416" s="35"/>
      <c r="AG416" s="35"/>
      <c r="AH416" s="35"/>
    </row>
    <row r="417">
      <c r="A417" s="35"/>
      <c r="B417" s="35"/>
      <c r="C417" s="35"/>
      <c r="D417" s="172"/>
      <c r="E417" s="21"/>
      <c r="F417" s="35"/>
      <c r="G417" s="35"/>
      <c r="H417" s="35"/>
      <c r="I417" s="35"/>
      <c r="J417" s="186"/>
      <c r="K417" s="110"/>
      <c r="L417" s="35"/>
      <c r="M417" s="172"/>
      <c r="N417" s="172"/>
      <c r="O417" s="35"/>
      <c r="P417" s="164"/>
      <c r="Q417" s="164"/>
      <c r="R417" s="164"/>
      <c r="S417" s="164"/>
      <c r="T417" s="164"/>
      <c r="U417" s="164"/>
      <c r="V417" s="35"/>
      <c r="W417" s="35"/>
      <c r="X417" s="35"/>
      <c r="Y417" s="35"/>
      <c r="Z417" s="35"/>
      <c r="AA417" s="35"/>
      <c r="AB417" s="35"/>
      <c r="AC417" s="35"/>
      <c r="AD417" s="35"/>
      <c r="AE417" s="35"/>
      <c r="AF417" s="35"/>
      <c r="AG417" s="35"/>
      <c r="AH417" s="35"/>
    </row>
    <row r="418">
      <c r="A418" s="35"/>
      <c r="B418" s="35"/>
      <c r="C418" s="35"/>
      <c r="D418" s="172"/>
      <c r="E418" s="21"/>
      <c r="F418" s="35"/>
      <c r="G418" s="35"/>
      <c r="H418" s="35"/>
      <c r="I418" s="35"/>
      <c r="J418" s="186"/>
      <c r="K418" s="110"/>
      <c r="L418" s="35"/>
      <c r="M418" s="172"/>
      <c r="N418" s="172"/>
      <c r="O418" s="35"/>
      <c r="P418" s="164"/>
      <c r="Q418" s="164"/>
      <c r="R418" s="164"/>
      <c r="S418" s="164"/>
      <c r="T418" s="164"/>
      <c r="U418" s="164"/>
      <c r="V418" s="35"/>
      <c r="W418" s="35"/>
      <c r="X418" s="35"/>
      <c r="Y418" s="35"/>
      <c r="Z418" s="35"/>
      <c r="AA418" s="35"/>
      <c r="AB418" s="35"/>
      <c r="AC418" s="35"/>
      <c r="AD418" s="35"/>
      <c r="AE418" s="35"/>
      <c r="AF418" s="35"/>
      <c r="AG418" s="35"/>
      <c r="AH418" s="35"/>
    </row>
    <row r="419">
      <c r="A419" s="35"/>
      <c r="B419" s="35"/>
      <c r="C419" s="35"/>
      <c r="D419" s="172"/>
      <c r="E419" s="21"/>
      <c r="F419" s="35"/>
      <c r="G419" s="35"/>
      <c r="H419" s="35"/>
      <c r="I419" s="35"/>
      <c r="J419" s="186"/>
      <c r="K419" s="110"/>
      <c r="L419" s="35"/>
      <c r="M419" s="172"/>
      <c r="N419" s="172"/>
      <c r="O419" s="35"/>
      <c r="P419" s="164"/>
      <c r="Q419" s="164"/>
      <c r="R419" s="164"/>
      <c r="S419" s="164"/>
      <c r="T419" s="164"/>
      <c r="U419" s="164"/>
      <c r="V419" s="35"/>
      <c r="W419" s="35"/>
      <c r="X419" s="35"/>
      <c r="Y419" s="35"/>
      <c r="Z419" s="35"/>
      <c r="AA419" s="35"/>
      <c r="AB419" s="35"/>
      <c r="AC419" s="35"/>
      <c r="AD419" s="35"/>
      <c r="AE419" s="35"/>
      <c r="AF419" s="35"/>
      <c r="AG419" s="35"/>
      <c r="AH419" s="35"/>
    </row>
    <row r="420">
      <c r="A420" s="35"/>
      <c r="B420" s="35"/>
      <c r="C420" s="35"/>
      <c r="D420" s="172"/>
      <c r="E420" s="21"/>
      <c r="F420" s="35"/>
      <c r="G420" s="35"/>
      <c r="H420" s="35"/>
      <c r="I420" s="35"/>
      <c r="J420" s="186"/>
      <c r="K420" s="110"/>
      <c r="L420" s="35"/>
      <c r="M420" s="172"/>
      <c r="N420" s="172"/>
      <c r="O420" s="35"/>
      <c r="P420" s="164"/>
      <c r="Q420" s="164"/>
      <c r="R420" s="164"/>
      <c r="S420" s="164"/>
      <c r="T420" s="164"/>
      <c r="U420" s="164"/>
      <c r="V420" s="35"/>
      <c r="W420" s="35"/>
      <c r="X420" s="35"/>
      <c r="Y420" s="35"/>
      <c r="Z420" s="35"/>
      <c r="AA420" s="35"/>
      <c r="AB420" s="35"/>
      <c r="AC420" s="35"/>
      <c r="AD420" s="35"/>
      <c r="AE420" s="35"/>
      <c r="AF420" s="35"/>
      <c r="AG420" s="35"/>
      <c r="AH420" s="35"/>
    </row>
    <row r="421">
      <c r="A421" s="35"/>
      <c r="B421" s="35"/>
      <c r="C421" s="35"/>
      <c r="D421" s="172"/>
      <c r="E421" s="21"/>
      <c r="F421" s="35"/>
      <c r="G421" s="35"/>
      <c r="H421" s="35"/>
      <c r="I421" s="35"/>
      <c r="J421" s="186"/>
      <c r="K421" s="110"/>
      <c r="L421" s="35"/>
      <c r="M421" s="172"/>
      <c r="N421" s="172"/>
      <c r="O421" s="35"/>
      <c r="P421" s="164"/>
      <c r="Q421" s="164"/>
      <c r="R421" s="164"/>
      <c r="S421" s="164"/>
      <c r="T421" s="164"/>
      <c r="U421" s="164"/>
      <c r="V421" s="35"/>
      <c r="W421" s="35"/>
      <c r="X421" s="35"/>
      <c r="Y421" s="35"/>
      <c r="Z421" s="35"/>
      <c r="AA421" s="35"/>
      <c r="AB421" s="35"/>
      <c r="AC421" s="35"/>
      <c r="AD421" s="35"/>
      <c r="AE421" s="35"/>
      <c r="AF421" s="35"/>
      <c r="AG421" s="35"/>
      <c r="AH421" s="35"/>
    </row>
    <row r="422">
      <c r="A422" s="35"/>
      <c r="B422" s="35"/>
      <c r="C422" s="35"/>
      <c r="D422" s="172"/>
      <c r="E422" s="21"/>
      <c r="F422" s="35"/>
      <c r="G422" s="35"/>
      <c r="H422" s="35"/>
      <c r="I422" s="35"/>
      <c r="J422" s="186"/>
      <c r="K422" s="110"/>
      <c r="L422" s="35"/>
      <c r="M422" s="172"/>
      <c r="N422" s="172"/>
      <c r="O422" s="35"/>
      <c r="P422" s="164"/>
      <c r="Q422" s="164"/>
      <c r="R422" s="164"/>
      <c r="S422" s="164"/>
      <c r="T422" s="164"/>
      <c r="U422" s="164"/>
      <c r="V422" s="35"/>
      <c r="W422" s="35"/>
      <c r="X422" s="35"/>
      <c r="Y422" s="35"/>
      <c r="Z422" s="35"/>
      <c r="AA422" s="35"/>
      <c r="AB422" s="35"/>
      <c r="AC422" s="35"/>
      <c r="AD422" s="35"/>
      <c r="AE422" s="35"/>
      <c r="AF422" s="35"/>
      <c r="AG422" s="35"/>
      <c r="AH422" s="35"/>
    </row>
    <row r="423">
      <c r="A423" s="35"/>
      <c r="B423" s="35"/>
      <c r="C423" s="35"/>
      <c r="D423" s="172"/>
      <c r="E423" s="21"/>
      <c r="F423" s="35"/>
      <c r="G423" s="35"/>
      <c r="H423" s="35"/>
      <c r="I423" s="35"/>
      <c r="J423" s="186"/>
      <c r="K423" s="110"/>
      <c r="L423" s="35"/>
      <c r="M423" s="172"/>
      <c r="N423" s="172"/>
      <c r="O423" s="35"/>
      <c r="P423" s="164"/>
      <c r="Q423" s="164"/>
      <c r="R423" s="164"/>
      <c r="S423" s="164"/>
      <c r="T423" s="164"/>
      <c r="U423" s="164"/>
      <c r="V423" s="35"/>
      <c r="W423" s="35"/>
      <c r="X423" s="35"/>
      <c r="Y423" s="35"/>
      <c r="Z423" s="35"/>
      <c r="AA423" s="35"/>
      <c r="AB423" s="35"/>
      <c r="AC423" s="35"/>
      <c r="AD423" s="35"/>
      <c r="AE423" s="35"/>
      <c r="AF423" s="35"/>
      <c r="AG423" s="35"/>
      <c r="AH423" s="35"/>
    </row>
    <row r="424">
      <c r="A424" s="35"/>
      <c r="B424" s="35"/>
      <c r="C424" s="35"/>
      <c r="D424" s="172"/>
      <c r="E424" s="21"/>
      <c r="F424" s="35"/>
      <c r="G424" s="35"/>
      <c r="H424" s="35"/>
      <c r="I424" s="35"/>
      <c r="J424" s="186"/>
      <c r="K424" s="110"/>
      <c r="L424" s="35"/>
      <c r="M424" s="172"/>
      <c r="N424" s="172"/>
      <c r="O424" s="35"/>
      <c r="P424" s="164"/>
      <c r="Q424" s="164"/>
      <c r="R424" s="164"/>
      <c r="S424" s="164"/>
      <c r="T424" s="164"/>
      <c r="U424" s="164"/>
      <c r="V424" s="35"/>
      <c r="W424" s="35"/>
      <c r="X424" s="35"/>
      <c r="Y424" s="35"/>
      <c r="Z424" s="35"/>
      <c r="AA424" s="35"/>
      <c r="AB424" s="35"/>
      <c r="AC424" s="35"/>
      <c r="AD424" s="35"/>
      <c r="AE424" s="35"/>
      <c r="AF424" s="35"/>
      <c r="AG424" s="35"/>
      <c r="AH424" s="35"/>
    </row>
    <row r="425">
      <c r="A425" s="35"/>
      <c r="B425" s="35"/>
      <c r="C425" s="35"/>
      <c r="D425" s="172"/>
      <c r="E425" s="21"/>
      <c r="F425" s="35"/>
      <c r="G425" s="35"/>
      <c r="H425" s="35"/>
      <c r="I425" s="35"/>
      <c r="J425" s="186"/>
      <c r="K425" s="110"/>
      <c r="L425" s="35"/>
      <c r="M425" s="172"/>
      <c r="N425" s="172"/>
      <c r="O425" s="35"/>
      <c r="P425" s="164"/>
      <c r="Q425" s="164"/>
      <c r="R425" s="164"/>
      <c r="S425" s="164"/>
      <c r="T425" s="164"/>
      <c r="U425" s="164"/>
      <c r="V425" s="35"/>
      <c r="W425" s="35"/>
      <c r="X425" s="35"/>
      <c r="Y425" s="35"/>
      <c r="Z425" s="35"/>
      <c r="AA425" s="35"/>
      <c r="AB425" s="35"/>
      <c r="AC425" s="35"/>
      <c r="AD425" s="35"/>
      <c r="AE425" s="35"/>
      <c r="AF425" s="35"/>
      <c r="AG425" s="35"/>
      <c r="AH425" s="35"/>
    </row>
    <row r="426">
      <c r="A426" s="35"/>
      <c r="B426" s="35"/>
      <c r="C426" s="35"/>
      <c r="D426" s="172"/>
      <c r="E426" s="21"/>
      <c r="F426" s="35"/>
      <c r="G426" s="35"/>
      <c r="H426" s="35"/>
      <c r="I426" s="35"/>
      <c r="J426" s="186"/>
      <c r="K426" s="110"/>
      <c r="L426" s="35"/>
      <c r="M426" s="172"/>
      <c r="N426" s="172"/>
      <c r="O426" s="35"/>
      <c r="P426" s="164"/>
      <c r="Q426" s="164"/>
      <c r="R426" s="164"/>
      <c r="S426" s="164"/>
      <c r="T426" s="164"/>
      <c r="U426" s="164"/>
      <c r="V426" s="35"/>
      <c r="W426" s="35"/>
      <c r="X426" s="35"/>
      <c r="Y426" s="35"/>
      <c r="Z426" s="35"/>
      <c r="AA426" s="35"/>
      <c r="AB426" s="35"/>
      <c r="AC426" s="35"/>
      <c r="AD426" s="35"/>
      <c r="AE426" s="35"/>
      <c r="AF426" s="35"/>
      <c r="AG426" s="35"/>
      <c r="AH426" s="35"/>
    </row>
    <row r="427">
      <c r="A427" s="35"/>
      <c r="B427" s="35"/>
      <c r="C427" s="35"/>
      <c r="D427" s="172"/>
      <c r="E427" s="21"/>
      <c r="F427" s="35"/>
      <c r="G427" s="35"/>
      <c r="H427" s="35"/>
      <c r="I427" s="35"/>
      <c r="J427" s="186"/>
      <c r="K427" s="110"/>
      <c r="L427" s="35"/>
      <c r="M427" s="172"/>
      <c r="N427" s="172"/>
      <c r="O427" s="35"/>
      <c r="P427" s="164"/>
      <c r="Q427" s="164"/>
      <c r="R427" s="164"/>
      <c r="S427" s="164"/>
      <c r="T427" s="164"/>
      <c r="U427" s="164"/>
      <c r="V427" s="35"/>
      <c r="W427" s="35"/>
      <c r="X427" s="35"/>
      <c r="Y427" s="35"/>
      <c r="Z427" s="35"/>
      <c r="AA427" s="35"/>
      <c r="AB427" s="35"/>
      <c r="AC427" s="35"/>
      <c r="AD427" s="35"/>
      <c r="AE427" s="35"/>
      <c r="AF427" s="35"/>
      <c r="AG427" s="35"/>
      <c r="AH427" s="35"/>
    </row>
    <row r="428">
      <c r="A428" s="35"/>
      <c r="B428" s="35"/>
      <c r="C428" s="35"/>
      <c r="D428" s="172"/>
      <c r="E428" s="21"/>
      <c r="F428" s="35"/>
      <c r="G428" s="35"/>
      <c r="H428" s="35"/>
      <c r="I428" s="35"/>
      <c r="J428" s="186"/>
      <c r="K428" s="110"/>
      <c r="L428" s="35"/>
      <c r="M428" s="172"/>
      <c r="N428" s="172"/>
      <c r="O428" s="35"/>
      <c r="P428" s="164"/>
      <c r="Q428" s="164"/>
      <c r="R428" s="164"/>
      <c r="S428" s="164"/>
      <c r="T428" s="164"/>
      <c r="U428" s="164"/>
      <c r="V428" s="35"/>
      <c r="W428" s="35"/>
      <c r="X428" s="35"/>
      <c r="Y428" s="35"/>
      <c r="Z428" s="35"/>
      <c r="AA428" s="35"/>
      <c r="AB428" s="35"/>
      <c r="AC428" s="35"/>
      <c r="AD428" s="35"/>
      <c r="AE428" s="35"/>
      <c r="AF428" s="35"/>
      <c r="AG428" s="35"/>
      <c r="AH428" s="35"/>
    </row>
    <row r="429">
      <c r="A429" s="35"/>
      <c r="B429" s="35"/>
      <c r="C429" s="35"/>
      <c r="D429" s="172"/>
      <c r="E429" s="21"/>
      <c r="F429" s="35"/>
      <c r="G429" s="35"/>
      <c r="H429" s="35"/>
      <c r="I429" s="35"/>
      <c r="J429" s="186"/>
      <c r="K429" s="110"/>
      <c r="L429" s="35"/>
      <c r="M429" s="172"/>
      <c r="N429" s="172"/>
      <c r="O429" s="35"/>
      <c r="P429" s="164"/>
      <c r="Q429" s="164"/>
      <c r="R429" s="164"/>
      <c r="S429" s="164"/>
      <c r="T429" s="164"/>
      <c r="U429" s="164"/>
      <c r="V429" s="35"/>
      <c r="W429" s="35"/>
      <c r="X429" s="35"/>
      <c r="Y429" s="35"/>
      <c r="Z429" s="35"/>
      <c r="AA429" s="35"/>
      <c r="AB429" s="35"/>
      <c r="AC429" s="35"/>
      <c r="AD429" s="35"/>
      <c r="AE429" s="35"/>
      <c r="AF429" s="35"/>
      <c r="AG429" s="35"/>
      <c r="AH429" s="35"/>
    </row>
    <row r="430">
      <c r="A430" s="35"/>
      <c r="B430" s="35"/>
      <c r="C430" s="35"/>
      <c r="D430" s="172"/>
      <c r="E430" s="21"/>
      <c r="F430" s="35"/>
      <c r="G430" s="35"/>
      <c r="H430" s="35"/>
      <c r="I430" s="35"/>
      <c r="J430" s="186"/>
      <c r="K430" s="110"/>
      <c r="L430" s="35"/>
      <c r="M430" s="172"/>
      <c r="N430" s="172"/>
      <c r="O430" s="35"/>
      <c r="P430" s="164"/>
      <c r="Q430" s="164"/>
      <c r="R430" s="164"/>
      <c r="S430" s="164"/>
      <c r="T430" s="164"/>
      <c r="U430" s="164"/>
      <c r="V430" s="35"/>
      <c r="W430" s="35"/>
      <c r="X430" s="35"/>
      <c r="Y430" s="35"/>
      <c r="Z430" s="35"/>
      <c r="AA430" s="35"/>
      <c r="AB430" s="35"/>
      <c r="AC430" s="35"/>
      <c r="AD430" s="35"/>
      <c r="AE430" s="35"/>
      <c r="AF430" s="35"/>
      <c r="AG430" s="35"/>
      <c r="AH430" s="35"/>
    </row>
    <row r="431">
      <c r="A431" s="35"/>
      <c r="B431" s="35"/>
      <c r="C431" s="35"/>
      <c r="D431" s="172"/>
      <c r="E431" s="21"/>
      <c r="F431" s="35"/>
      <c r="G431" s="35"/>
      <c r="H431" s="35"/>
      <c r="I431" s="35"/>
      <c r="J431" s="186"/>
      <c r="K431" s="110"/>
      <c r="L431" s="35"/>
      <c r="M431" s="172"/>
      <c r="N431" s="172"/>
      <c r="O431" s="35"/>
      <c r="P431" s="164"/>
      <c r="Q431" s="164"/>
      <c r="R431" s="164"/>
      <c r="S431" s="164"/>
      <c r="T431" s="164"/>
      <c r="U431" s="164"/>
      <c r="V431" s="35"/>
      <c r="W431" s="35"/>
      <c r="X431" s="35"/>
      <c r="Y431" s="35"/>
      <c r="Z431" s="35"/>
      <c r="AA431" s="35"/>
      <c r="AB431" s="35"/>
      <c r="AC431" s="35"/>
      <c r="AD431" s="35"/>
      <c r="AE431" s="35"/>
      <c r="AF431" s="35"/>
      <c r="AG431" s="35"/>
      <c r="AH431" s="35"/>
    </row>
    <row r="432">
      <c r="A432" s="35"/>
      <c r="B432" s="35"/>
      <c r="C432" s="35"/>
      <c r="D432" s="172"/>
      <c r="E432" s="21"/>
      <c r="F432" s="35"/>
      <c r="G432" s="35"/>
      <c r="H432" s="35"/>
      <c r="I432" s="35"/>
      <c r="J432" s="186"/>
      <c r="K432" s="110"/>
      <c r="L432" s="35"/>
      <c r="M432" s="172"/>
      <c r="N432" s="172"/>
      <c r="O432" s="35"/>
      <c r="P432" s="164"/>
      <c r="Q432" s="164"/>
      <c r="R432" s="164"/>
      <c r="S432" s="164"/>
      <c r="T432" s="164"/>
      <c r="U432" s="164"/>
      <c r="V432" s="35"/>
      <c r="W432" s="35"/>
      <c r="X432" s="35"/>
      <c r="Y432" s="35"/>
      <c r="Z432" s="35"/>
      <c r="AA432" s="35"/>
      <c r="AB432" s="35"/>
      <c r="AC432" s="35"/>
      <c r="AD432" s="35"/>
      <c r="AE432" s="35"/>
      <c r="AF432" s="35"/>
      <c r="AG432" s="35"/>
      <c r="AH432" s="35"/>
    </row>
    <row r="433">
      <c r="A433" s="35"/>
      <c r="B433" s="35"/>
      <c r="C433" s="35"/>
      <c r="D433" s="172"/>
      <c r="E433" s="21"/>
      <c r="F433" s="35"/>
      <c r="G433" s="35"/>
      <c r="H433" s="35"/>
      <c r="I433" s="35"/>
      <c r="J433" s="186"/>
      <c r="K433" s="110"/>
      <c r="L433" s="35"/>
      <c r="M433" s="172"/>
      <c r="N433" s="172"/>
      <c r="O433" s="35"/>
      <c r="P433" s="164"/>
      <c r="Q433" s="164"/>
      <c r="R433" s="164"/>
      <c r="S433" s="164"/>
      <c r="T433" s="164"/>
      <c r="U433" s="164"/>
      <c r="V433" s="35"/>
      <c r="W433" s="35"/>
      <c r="X433" s="35"/>
      <c r="Y433" s="35"/>
      <c r="Z433" s="35"/>
      <c r="AA433" s="35"/>
      <c r="AB433" s="35"/>
      <c r="AC433" s="35"/>
      <c r="AD433" s="35"/>
      <c r="AE433" s="35"/>
      <c r="AF433" s="35"/>
      <c r="AG433" s="35"/>
      <c r="AH433" s="35"/>
    </row>
    <row r="434">
      <c r="A434" s="35"/>
      <c r="B434" s="35"/>
      <c r="C434" s="35"/>
      <c r="D434" s="172"/>
      <c r="E434" s="21"/>
      <c r="F434" s="35"/>
      <c r="G434" s="35"/>
      <c r="H434" s="35"/>
      <c r="I434" s="35"/>
      <c r="J434" s="186"/>
      <c r="K434" s="110"/>
      <c r="L434" s="35"/>
      <c r="M434" s="172"/>
      <c r="N434" s="172"/>
      <c r="O434" s="35"/>
      <c r="P434" s="164"/>
      <c r="Q434" s="164"/>
      <c r="R434" s="164"/>
      <c r="S434" s="164"/>
      <c r="T434" s="164"/>
      <c r="U434" s="164"/>
      <c r="V434" s="35"/>
      <c r="W434" s="35"/>
      <c r="X434" s="35"/>
      <c r="Y434" s="35"/>
      <c r="Z434" s="35"/>
      <c r="AA434" s="35"/>
      <c r="AB434" s="35"/>
      <c r="AC434" s="35"/>
      <c r="AD434" s="35"/>
      <c r="AE434" s="35"/>
      <c r="AF434" s="35"/>
      <c r="AG434" s="35"/>
      <c r="AH434" s="35"/>
    </row>
    <row r="435">
      <c r="A435" s="35"/>
      <c r="B435" s="35"/>
      <c r="C435" s="35"/>
      <c r="D435" s="172"/>
      <c r="E435" s="21"/>
      <c r="F435" s="35"/>
      <c r="G435" s="35"/>
      <c r="H435" s="35"/>
      <c r="I435" s="35"/>
      <c r="J435" s="186"/>
      <c r="K435" s="110"/>
      <c r="L435" s="35"/>
      <c r="M435" s="172"/>
      <c r="N435" s="172"/>
      <c r="O435" s="35"/>
      <c r="P435" s="164"/>
      <c r="Q435" s="164"/>
      <c r="R435" s="164"/>
      <c r="S435" s="164"/>
      <c r="T435" s="164"/>
      <c r="U435" s="164"/>
      <c r="V435" s="35"/>
      <c r="W435" s="35"/>
      <c r="X435" s="35"/>
      <c r="Y435" s="35"/>
      <c r="Z435" s="35"/>
      <c r="AA435" s="35"/>
      <c r="AB435" s="35"/>
      <c r="AC435" s="35"/>
      <c r="AD435" s="35"/>
      <c r="AE435" s="35"/>
      <c r="AF435" s="35"/>
      <c r="AG435" s="35"/>
      <c r="AH435" s="35"/>
    </row>
    <row r="436">
      <c r="A436" s="35"/>
      <c r="B436" s="35"/>
      <c r="C436" s="35"/>
      <c r="D436" s="172"/>
      <c r="E436" s="21"/>
      <c r="F436" s="35"/>
      <c r="G436" s="35"/>
      <c r="H436" s="35"/>
      <c r="I436" s="35"/>
      <c r="J436" s="186"/>
      <c r="K436" s="110"/>
      <c r="L436" s="35"/>
      <c r="M436" s="172"/>
      <c r="N436" s="172"/>
      <c r="O436" s="35"/>
      <c r="P436" s="164"/>
      <c r="Q436" s="164"/>
      <c r="R436" s="164"/>
      <c r="S436" s="164"/>
      <c r="T436" s="164"/>
      <c r="U436" s="164"/>
      <c r="V436" s="35"/>
      <c r="W436" s="35"/>
      <c r="X436" s="35"/>
      <c r="Y436" s="35"/>
      <c r="Z436" s="35"/>
      <c r="AA436" s="35"/>
      <c r="AB436" s="35"/>
      <c r="AC436" s="35"/>
      <c r="AD436" s="35"/>
      <c r="AE436" s="35"/>
      <c r="AF436" s="35"/>
      <c r="AG436" s="35"/>
      <c r="AH436" s="35"/>
    </row>
    <row r="437">
      <c r="A437" s="35"/>
      <c r="B437" s="35"/>
      <c r="C437" s="35"/>
      <c r="D437" s="172"/>
      <c r="E437" s="21"/>
      <c r="F437" s="35"/>
      <c r="G437" s="35"/>
      <c r="H437" s="35"/>
      <c r="I437" s="35"/>
      <c r="J437" s="186"/>
      <c r="K437" s="110"/>
      <c r="L437" s="35"/>
      <c r="M437" s="172"/>
      <c r="N437" s="172"/>
      <c r="O437" s="35"/>
      <c r="P437" s="164"/>
      <c r="Q437" s="164"/>
      <c r="R437" s="164"/>
      <c r="S437" s="164"/>
      <c r="T437" s="164"/>
      <c r="U437" s="164"/>
      <c r="V437" s="35"/>
      <c r="W437" s="35"/>
      <c r="X437" s="35"/>
      <c r="Y437" s="35"/>
      <c r="Z437" s="35"/>
      <c r="AA437" s="35"/>
      <c r="AB437" s="35"/>
      <c r="AC437" s="35"/>
      <c r="AD437" s="35"/>
      <c r="AE437" s="35"/>
      <c r="AF437" s="35"/>
      <c r="AG437" s="35"/>
      <c r="AH437" s="35"/>
    </row>
    <row r="438">
      <c r="A438" s="35"/>
      <c r="B438" s="35"/>
      <c r="C438" s="35"/>
      <c r="D438" s="172"/>
      <c r="E438" s="21"/>
      <c r="F438" s="35"/>
      <c r="G438" s="35"/>
      <c r="H438" s="35"/>
      <c r="I438" s="35"/>
      <c r="J438" s="186"/>
      <c r="K438" s="110"/>
      <c r="L438" s="35"/>
      <c r="M438" s="172"/>
      <c r="N438" s="172"/>
      <c r="O438" s="35"/>
      <c r="P438" s="164"/>
      <c r="Q438" s="164"/>
      <c r="R438" s="164"/>
      <c r="S438" s="164"/>
      <c r="T438" s="164"/>
      <c r="U438" s="164"/>
      <c r="V438" s="35"/>
      <c r="W438" s="35"/>
      <c r="X438" s="35"/>
      <c r="Y438" s="35"/>
      <c r="Z438" s="35"/>
      <c r="AA438" s="35"/>
      <c r="AB438" s="35"/>
      <c r="AC438" s="35"/>
      <c r="AD438" s="35"/>
      <c r="AE438" s="35"/>
      <c r="AF438" s="35"/>
      <c r="AG438" s="35"/>
      <c r="AH438" s="35"/>
    </row>
    <row r="439">
      <c r="A439" s="35"/>
      <c r="B439" s="35"/>
      <c r="C439" s="35"/>
      <c r="D439" s="172"/>
      <c r="E439" s="21"/>
      <c r="F439" s="35"/>
      <c r="G439" s="35"/>
      <c r="H439" s="35"/>
      <c r="I439" s="35"/>
      <c r="J439" s="186"/>
      <c r="K439" s="110"/>
      <c r="L439" s="35"/>
      <c r="M439" s="172"/>
      <c r="N439" s="172"/>
      <c r="O439" s="35"/>
      <c r="P439" s="164"/>
      <c r="Q439" s="164"/>
      <c r="R439" s="164"/>
      <c r="S439" s="164"/>
      <c r="T439" s="164"/>
      <c r="U439" s="164"/>
      <c r="V439" s="35"/>
      <c r="W439" s="35"/>
      <c r="X439" s="35"/>
      <c r="Y439" s="35"/>
      <c r="Z439" s="35"/>
      <c r="AA439" s="35"/>
      <c r="AB439" s="35"/>
      <c r="AC439" s="35"/>
      <c r="AD439" s="35"/>
      <c r="AE439" s="35"/>
      <c r="AF439" s="35"/>
      <c r="AG439" s="35"/>
      <c r="AH439" s="35"/>
    </row>
    <row r="440">
      <c r="A440" s="35"/>
      <c r="B440" s="35"/>
      <c r="C440" s="35"/>
      <c r="D440" s="172"/>
      <c r="E440" s="21"/>
      <c r="F440" s="35"/>
      <c r="G440" s="35"/>
      <c r="H440" s="35"/>
      <c r="I440" s="35"/>
      <c r="J440" s="186"/>
      <c r="K440" s="110"/>
      <c r="L440" s="35"/>
      <c r="M440" s="172"/>
      <c r="N440" s="172"/>
      <c r="O440" s="35"/>
      <c r="P440" s="164"/>
      <c r="Q440" s="164"/>
      <c r="R440" s="164"/>
      <c r="S440" s="164"/>
      <c r="T440" s="164"/>
      <c r="U440" s="164"/>
      <c r="V440" s="35"/>
      <c r="W440" s="35"/>
      <c r="X440" s="35"/>
      <c r="Y440" s="35"/>
      <c r="Z440" s="35"/>
      <c r="AA440" s="35"/>
      <c r="AB440" s="35"/>
      <c r="AC440" s="35"/>
      <c r="AD440" s="35"/>
      <c r="AE440" s="35"/>
      <c r="AF440" s="35"/>
      <c r="AG440" s="35"/>
      <c r="AH440" s="35"/>
    </row>
    <row r="441">
      <c r="A441" s="35"/>
      <c r="B441" s="35"/>
      <c r="C441" s="35"/>
      <c r="D441" s="172"/>
      <c r="E441" s="21"/>
      <c r="F441" s="35"/>
      <c r="G441" s="35"/>
      <c r="H441" s="35"/>
      <c r="I441" s="35"/>
      <c r="J441" s="186"/>
      <c r="K441" s="110"/>
      <c r="L441" s="35"/>
      <c r="M441" s="172"/>
      <c r="N441" s="172"/>
      <c r="O441" s="35"/>
      <c r="P441" s="164"/>
      <c r="Q441" s="164"/>
      <c r="R441" s="164"/>
      <c r="S441" s="164"/>
      <c r="T441" s="164"/>
      <c r="U441" s="164"/>
      <c r="V441" s="35"/>
      <c r="W441" s="35"/>
      <c r="X441" s="35"/>
      <c r="Y441" s="35"/>
      <c r="Z441" s="35"/>
      <c r="AA441" s="35"/>
      <c r="AB441" s="35"/>
      <c r="AC441" s="35"/>
      <c r="AD441" s="35"/>
      <c r="AE441" s="35"/>
      <c r="AF441" s="35"/>
      <c r="AG441" s="35"/>
      <c r="AH441" s="35"/>
    </row>
    <row r="442">
      <c r="A442" s="35"/>
      <c r="B442" s="35"/>
      <c r="C442" s="35"/>
      <c r="D442" s="172"/>
      <c r="E442" s="21"/>
      <c r="F442" s="35"/>
      <c r="G442" s="35"/>
      <c r="H442" s="35"/>
      <c r="I442" s="35"/>
      <c r="J442" s="186"/>
      <c r="K442" s="110"/>
      <c r="L442" s="35"/>
      <c r="M442" s="172"/>
      <c r="N442" s="172"/>
      <c r="O442" s="35"/>
      <c r="P442" s="164"/>
      <c r="Q442" s="164"/>
      <c r="R442" s="164"/>
      <c r="S442" s="164"/>
      <c r="T442" s="164"/>
      <c r="U442" s="164"/>
      <c r="V442" s="35"/>
      <c r="W442" s="35"/>
      <c r="X442" s="35"/>
      <c r="Y442" s="35"/>
      <c r="Z442" s="35"/>
      <c r="AA442" s="35"/>
      <c r="AB442" s="35"/>
      <c r="AC442" s="35"/>
      <c r="AD442" s="35"/>
      <c r="AE442" s="35"/>
      <c r="AF442" s="35"/>
      <c r="AG442" s="35"/>
      <c r="AH442" s="35"/>
    </row>
    <row r="443">
      <c r="A443" s="35"/>
      <c r="B443" s="35"/>
      <c r="C443" s="35"/>
      <c r="D443" s="172"/>
      <c r="E443" s="21"/>
      <c r="F443" s="35"/>
      <c r="G443" s="35"/>
      <c r="H443" s="35"/>
      <c r="I443" s="35"/>
      <c r="J443" s="186"/>
      <c r="K443" s="110"/>
      <c r="L443" s="35"/>
      <c r="M443" s="172"/>
      <c r="N443" s="172"/>
      <c r="O443" s="35"/>
      <c r="P443" s="164"/>
      <c r="Q443" s="164"/>
      <c r="R443" s="164"/>
      <c r="S443" s="164"/>
      <c r="T443" s="164"/>
      <c r="U443" s="164"/>
      <c r="V443" s="35"/>
      <c r="W443" s="35"/>
      <c r="X443" s="35"/>
      <c r="Y443" s="35"/>
      <c r="Z443" s="35"/>
      <c r="AA443" s="35"/>
      <c r="AB443" s="35"/>
      <c r="AC443" s="35"/>
      <c r="AD443" s="35"/>
      <c r="AE443" s="35"/>
      <c r="AF443" s="35"/>
      <c r="AG443" s="35"/>
      <c r="AH443" s="35"/>
    </row>
    <row r="444">
      <c r="A444" s="35"/>
      <c r="B444" s="35"/>
      <c r="C444" s="35"/>
      <c r="D444" s="172"/>
      <c r="E444" s="21"/>
      <c r="F444" s="35"/>
      <c r="G444" s="35"/>
      <c r="H444" s="35"/>
      <c r="I444" s="35"/>
      <c r="J444" s="186"/>
      <c r="K444" s="110"/>
      <c r="L444" s="35"/>
      <c r="M444" s="172"/>
      <c r="N444" s="172"/>
      <c r="O444" s="35"/>
      <c r="P444" s="164"/>
      <c r="Q444" s="164"/>
      <c r="R444" s="164"/>
      <c r="S444" s="164"/>
      <c r="T444" s="164"/>
      <c r="U444" s="164"/>
      <c r="V444" s="35"/>
      <c r="W444" s="35"/>
      <c r="X444" s="35"/>
      <c r="Y444" s="35"/>
      <c r="Z444" s="35"/>
      <c r="AA444" s="35"/>
      <c r="AB444" s="35"/>
      <c r="AC444" s="35"/>
      <c r="AD444" s="35"/>
      <c r="AE444" s="35"/>
      <c r="AF444" s="35"/>
      <c r="AG444" s="35"/>
      <c r="AH444" s="35"/>
    </row>
    <row r="445">
      <c r="A445" s="35"/>
      <c r="B445" s="35"/>
      <c r="C445" s="35"/>
      <c r="D445" s="172"/>
      <c r="E445" s="21"/>
      <c r="F445" s="35"/>
      <c r="G445" s="35"/>
      <c r="H445" s="35"/>
      <c r="I445" s="35"/>
      <c r="J445" s="186"/>
      <c r="K445" s="110"/>
      <c r="L445" s="35"/>
      <c r="M445" s="172"/>
      <c r="N445" s="172"/>
      <c r="O445" s="35"/>
      <c r="P445" s="164"/>
      <c r="Q445" s="164"/>
      <c r="R445" s="164"/>
      <c r="S445" s="164"/>
      <c r="T445" s="164"/>
      <c r="U445" s="164"/>
      <c r="V445" s="35"/>
      <c r="W445" s="35"/>
      <c r="X445" s="35"/>
      <c r="Y445" s="35"/>
      <c r="Z445" s="35"/>
      <c r="AA445" s="35"/>
      <c r="AB445" s="35"/>
      <c r="AC445" s="35"/>
      <c r="AD445" s="35"/>
      <c r="AE445" s="35"/>
      <c r="AF445" s="35"/>
      <c r="AG445" s="35"/>
      <c r="AH445" s="35"/>
    </row>
    <row r="446">
      <c r="A446" s="35"/>
      <c r="B446" s="35"/>
      <c r="C446" s="35"/>
      <c r="D446" s="172"/>
      <c r="E446" s="21"/>
      <c r="F446" s="35"/>
      <c r="G446" s="35"/>
      <c r="H446" s="35"/>
      <c r="I446" s="35"/>
      <c r="J446" s="186"/>
      <c r="K446" s="110"/>
      <c r="L446" s="35"/>
      <c r="M446" s="172"/>
      <c r="N446" s="172"/>
      <c r="O446" s="35"/>
      <c r="P446" s="164"/>
      <c r="Q446" s="164"/>
      <c r="R446" s="164"/>
      <c r="S446" s="164"/>
      <c r="T446" s="164"/>
      <c r="U446" s="164"/>
      <c r="V446" s="35"/>
      <c r="W446" s="35"/>
      <c r="X446" s="35"/>
      <c r="Y446" s="35"/>
      <c r="Z446" s="35"/>
      <c r="AA446" s="35"/>
      <c r="AB446" s="35"/>
      <c r="AC446" s="35"/>
      <c r="AD446" s="35"/>
      <c r="AE446" s="35"/>
      <c r="AF446" s="35"/>
      <c r="AG446" s="35"/>
      <c r="AH446" s="35"/>
    </row>
    <row r="447">
      <c r="A447" s="35"/>
      <c r="B447" s="35"/>
      <c r="C447" s="35"/>
      <c r="D447" s="172"/>
      <c r="E447" s="21"/>
      <c r="F447" s="35"/>
      <c r="G447" s="35"/>
      <c r="H447" s="35"/>
      <c r="I447" s="35"/>
      <c r="J447" s="186"/>
      <c r="K447" s="110"/>
      <c r="L447" s="35"/>
      <c r="M447" s="172"/>
      <c r="N447" s="172"/>
      <c r="O447" s="35"/>
      <c r="P447" s="164"/>
      <c r="Q447" s="164"/>
      <c r="R447" s="164"/>
      <c r="S447" s="164"/>
      <c r="T447" s="164"/>
      <c r="U447" s="164"/>
      <c r="V447" s="35"/>
      <c r="W447" s="35"/>
      <c r="X447" s="35"/>
      <c r="Y447" s="35"/>
      <c r="Z447" s="35"/>
      <c r="AA447" s="35"/>
      <c r="AB447" s="35"/>
      <c r="AC447" s="35"/>
      <c r="AD447" s="35"/>
      <c r="AE447" s="35"/>
      <c r="AF447" s="35"/>
      <c r="AG447" s="35"/>
      <c r="AH447" s="35"/>
    </row>
    <row r="448">
      <c r="A448" s="35"/>
      <c r="B448" s="35"/>
      <c r="C448" s="35"/>
      <c r="D448" s="172"/>
      <c r="E448" s="21"/>
      <c r="F448" s="35"/>
      <c r="G448" s="35"/>
      <c r="H448" s="35"/>
      <c r="I448" s="35"/>
      <c r="J448" s="186"/>
      <c r="K448" s="110"/>
      <c r="L448" s="35"/>
      <c r="M448" s="172"/>
      <c r="N448" s="172"/>
      <c r="O448" s="35"/>
      <c r="P448" s="164"/>
      <c r="Q448" s="164"/>
      <c r="R448" s="164"/>
      <c r="S448" s="164"/>
      <c r="T448" s="164"/>
      <c r="U448" s="164"/>
      <c r="V448" s="35"/>
      <c r="W448" s="35"/>
      <c r="X448" s="35"/>
      <c r="Y448" s="35"/>
      <c r="Z448" s="35"/>
      <c r="AA448" s="35"/>
      <c r="AB448" s="35"/>
      <c r="AC448" s="35"/>
      <c r="AD448" s="35"/>
      <c r="AE448" s="35"/>
      <c r="AF448" s="35"/>
      <c r="AG448" s="35"/>
      <c r="AH448" s="35"/>
    </row>
    <row r="449">
      <c r="A449" s="35"/>
      <c r="B449" s="35"/>
      <c r="C449" s="35"/>
      <c r="D449" s="172"/>
      <c r="E449" s="21"/>
      <c r="F449" s="35"/>
      <c r="G449" s="35"/>
      <c r="H449" s="35"/>
      <c r="I449" s="35"/>
      <c r="J449" s="186"/>
      <c r="K449" s="110"/>
      <c r="L449" s="35"/>
      <c r="M449" s="172"/>
      <c r="N449" s="172"/>
      <c r="O449" s="35"/>
      <c r="P449" s="164"/>
      <c r="Q449" s="164"/>
      <c r="R449" s="164"/>
      <c r="S449" s="164"/>
      <c r="T449" s="164"/>
      <c r="U449" s="164"/>
      <c r="V449" s="35"/>
      <c r="W449" s="35"/>
      <c r="X449" s="35"/>
      <c r="Y449" s="35"/>
      <c r="Z449" s="35"/>
      <c r="AA449" s="35"/>
      <c r="AB449" s="35"/>
      <c r="AC449" s="35"/>
      <c r="AD449" s="35"/>
      <c r="AE449" s="35"/>
      <c r="AF449" s="35"/>
      <c r="AG449" s="35"/>
      <c r="AH449" s="35"/>
    </row>
    <row r="450">
      <c r="A450" s="35"/>
      <c r="B450" s="35"/>
      <c r="C450" s="35"/>
      <c r="D450" s="172"/>
      <c r="E450" s="21"/>
      <c r="F450" s="35"/>
      <c r="G450" s="35"/>
      <c r="H450" s="35"/>
      <c r="I450" s="35"/>
      <c r="J450" s="186"/>
      <c r="K450" s="110"/>
      <c r="L450" s="35"/>
      <c r="M450" s="172"/>
      <c r="N450" s="172"/>
      <c r="O450" s="35"/>
      <c r="P450" s="164"/>
      <c r="Q450" s="164"/>
      <c r="R450" s="164"/>
      <c r="S450" s="164"/>
      <c r="T450" s="164"/>
      <c r="U450" s="164"/>
      <c r="V450" s="35"/>
      <c r="W450" s="35"/>
      <c r="X450" s="35"/>
      <c r="Y450" s="35"/>
      <c r="Z450" s="35"/>
      <c r="AA450" s="35"/>
      <c r="AB450" s="35"/>
      <c r="AC450" s="35"/>
      <c r="AD450" s="35"/>
      <c r="AE450" s="35"/>
      <c r="AF450" s="35"/>
      <c r="AG450" s="35"/>
      <c r="AH450" s="35"/>
    </row>
    <row r="451">
      <c r="A451" s="35"/>
      <c r="B451" s="35"/>
      <c r="C451" s="35"/>
      <c r="D451" s="172"/>
      <c r="E451" s="21"/>
      <c r="F451" s="35"/>
      <c r="G451" s="35"/>
      <c r="H451" s="35"/>
      <c r="I451" s="35"/>
      <c r="J451" s="186"/>
      <c r="K451" s="110"/>
      <c r="L451" s="35"/>
      <c r="M451" s="172"/>
      <c r="N451" s="172"/>
      <c r="O451" s="35"/>
      <c r="P451" s="164"/>
      <c r="Q451" s="164"/>
      <c r="R451" s="164"/>
      <c r="S451" s="164"/>
      <c r="T451" s="164"/>
      <c r="U451" s="164"/>
      <c r="V451" s="35"/>
      <c r="W451" s="35"/>
      <c r="X451" s="35"/>
      <c r="Y451" s="35"/>
      <c r="Z451" s="35"/>
      <c r="AA451" s="35"/>
      <c r="AB451" s="35"/>
      <c r="AC451" s="35"/>
      <c r="AD451" s="35"/>
      <c r="AE451" s="35"/>
      <c r="AF451" s="35"/>
      <c r="AG451" s="35"/>
      <c r="AH451" s="35"/>
    </row>
    <row r="452">
      <c r="A452" s="35"/>
      <c r="B452" s="35"/>
      <c r="C452" s="35"/>
      <c r="D452" s="172"/>
      <c r="E452" s="21"/>
      <c r="F452" s="35"/>
      <c r="G452" s="35"/>
      <c r="H452" s="35"/>
      <c r="I452" s="35"/>
      <c r="J452" s="186"/>
      <c r="K452" s="110"/>
      <c r="L452" s="35"/>
      <c r="M452" s="172"/>
      <c r="N452" s="172"/>
      <c r="O452" s="35"/>
      <c r="P452" s="164"/>
      <c r="Q452" s="164"/>
      <c r="R452" s="164"/>
      <c r="S452" s="164"/>
      <c r="T452" s="164"/>
      <c r="U452" s="164"/>
      <c r="V452" s="35"/>
      <c r="W452" s="35"/>
      <c r="X452" s="35"/>
      <c r="Y452" s="35"/>
      <c r="Z452" s="35"/>
      <c r="AA452" s="35"/>
      <c r="AB452" s="35"/>
      <c r="AC452" s="35"/>
      <c r="AD452" s="35"/>
      <c r="AE452" s="35"/>
      <c r="AF452" s="35"/>
      <c r="AG452" s="35"/>
      <c r="AH452" s="35"/>
    </row>
    <row r="453">
      <c r="A453" s="35"/>
      <c r="B453" s="35"/>
      <c r="C453" s="35"/>
      <c r="D453" s="172"/>
      <c r="E453" s="21"/>
      <c r="F453" s="35"/>
      <c r="G453" s="35"/>
      <c r="H453" s="35"/>
      <c r="I453" s="35"/>
      <c r="J453" s="186"/>
      <c r="K453" s="110"/>
      <c r="L453" s="35"/>
      <c r="M453" s="172"/>
      <c r="N453" s="172"/>
      <c r="O453" s="35"/>
      <c r="P453" s="164"/>
      <c r="Q453" s="164"/>
      <c r="R453" s="164"/>
      <c r="S453" s="164"/>
      <c r="T453" s="164"/>
      <c r="U453" s="164"/>
      <c r="V453" s="35"/>
      <c r="W453" s="35"/>
      <c r="X453" s="35"/>
      <c r="Y453" s="35"/>
      <c r="Z453" s="35"/>
      <c r="AA453" s="35"/>
      <c r="AB453" s="35"/>
      <c r="AC453" s="35"/>
      <c r="AD453" s="35"/>
      <c r="AE453" s="35"/>
      <c r="AF453" s="35"/>
      <c r="AG453" s="35"/>
      <c r="AH453" s="35"/>
    </row>
    <row r="454">
      <c r="A454" s="35"/>
      <c r="B454" s="35"/>
      <c r="C454" s="35"/>
      <c r="D454" s="172"/>
      <c r="E454" s="21"/>
      <c r="F454" s="35"/>
      <c r="G454" s="35"/>
      <c r="H454" s="35"/>
      <c r="I454" s="35"/>
      <c r="J454" s="186"/>
      <c r="K454" s="110"/>
      <c r="L454" s="35"/>
      <c r="M454" s="172"/>
      <c r="N454" s="172"/>
      <c r="O454" s="35"/>
      <c r="P454" s="164"/>
      <c r="Q454" s="164"/>
      <c r="R454" s="164"/>
      <c r="S454" s="164"/>
      <c r="T454" s="164"/>
      <c r="U454" s="164"/>
      <c r="V454" s="35"/>
      <c r="W454" s="35"/>
      <c r="X454" s="35"/>
      <c r="Y454" s="35"/>
      <c r="Z454" s="35"/>
      <c r="AA454" s="35"/>
      <c r="AB454" s="35"/>
      <c r="AC454" s="35"/>
      <c r="AD454" s="35"/>
      <c r="AE454" s="35"/>
      <c r="AF454" s="35"/>
      <c r="AG454" s="35"/>
      <c r="AH454" s="35"/>
    </row>
    <row r="455">
      <c r="A455" s="35"/>
      <c r="B455" s="35"/>
      <c r="C455" s="35"/>
      <c r="D455" s="172"/>
      <c r="E455" s="21"/>
      <c r="F455" s="35"/>
      <c r="G455" s="35"/>
      <c r="H455" s="35"/>
      <c r="I455" s="35"/>
      <c r="J455" s="186"/>
      <c r="K455" s="110"/>
      <c r="L455" s="35"/>
      <c r="M455" s="172"/>
      <c r="N455" s="172"/>
      <c r="O455" s="35"/>
      <c r="P455" s="164"/>
      <c r="Q455" s="164"/>
      <c r="R455" s="164"/>
      <c r="S455" s="164"/>
      <c r="T455" s="164"/>
      <c r="U455" s="164"/>
      <c r="V455" s="35"/>
      <c r="W455" s="35"/>
      <c r="X455" s="35"/>
      <c r="Y455" s="35"/>
      <c r="Z455" s="35"/>
      <c r="AA455" s="35"/>
      <c r="AB455" s="35"/>
      <c r="AC455" s="35"/>
      <c r="AD455" s="35"/>
      <c r="AE455" s="35"/>
      <c r="AF455" s="35"/>
      <c r="AG455" s="35"/>
      <c r="AH455" s="35"/>
    </row>
    <row r="456">
      <c r="A456" s="35"/>
      <c r="B456" s="35"/>
      <c r="C456" s="35"/>
      <c r="D456" s="172"/>
      <c r="E456" s="21"/>
      <c r="F456" s="35"/>
      <c r="G456" s="35"/>
      <c r="H456" s="35"/>
      <c r="I456" s="35"/>
      <c r="J456" s="186"/>
      <c r="K456" s="110"/>
      <c r="L456" s="35"/>
      <c r="M456" s="172"/>
      <c r="N456" s="172"/>
      <c r="O456" s="35"/>
      <c r="P456" s="164"/>
      <c r="Q456" s="164"/>
      <c r="R456" s="164"/>
      <c r="S456" s="164"/>
      <c r="T456" s="164"/>
      <c r="U456" s="164"/>
      <c r="V456" s="35"/>
      <c r="W456" s="35"/>
      <c r="X456" s="35"/>
      <c r="Y456" s="35"/>
      <c r="Z456" s="35"/>
      <c r="AA456" s="35"/>
      <c r="AB456" s="35"/>
      <c r="AC456" s="35"/>
      <c r="AD456" s="35"/>
      <c r="AE456" s="35"/>
      <c r="AF456" s="35"/>
      <c r="AG456" s="35"/>
      <c r="AH456" s="35"/>
    </row>
    <row r="457">
      <c r="A457" s="35"/>
      <c r="B457" s="35"/>
      <c r="C457" s="35"/>
      <c r="D457" s="172"/>
      <c r="E457" s="21"/>
      <c r="F457" s="35"/>
      <c r="G457" s="35"/>
      <c r="H457" s="35"/>
      <c r="I457" s="35"/>
      <c r="J457" s="186"/>
      <c r="K457" s="110"/>
      <c r="L457" s="35"/>
      <c r="M457" s="172"/>
      <c r="N457" s="172"/>
      <c r="O457" s="35"/>
      <c r="P457" s="164"/>
      <c r="Q457" s="164"/>
      <c r="R457" s="164"/>
      <c r="S457" s="164"/>
      <c r="T457" s="164"/>
      <c r="U457" s="164"/>
      <c r="V457" s="35"/>
      <c r="W457" s="35"/>
      <c r="X457" s="35"/>
      <c r="Y457" s="35"/>
      <c r="Z457" s="35"/>
      <c r="AA457" s="35"/>
      <c r="AB457" s="35"/>
      <c r="AC457" s="35"/>
      <c r="AD457" s="35"/>
      <c r="AE457" s="35"/>
      <c r="AF457" s="35"/>
      <c r="AG457" s="35"/>
      <c r="AH457" s="35"/>
    </row>
    <row r="458">
      <c r="A458" s="35"/>
      <c r="B458" s="35"/>
      <c r="C458" s="35"/>
      <c r="D458" s="172"/>
      <c r="E458" s="21"/>
      <c r="F458" s="35"/>
      <c r="G458" s="35"/>
      <c r="H458" s="35"/>
      <c r="I458" s="35"/>
      <c r="J458" s="186"/>
      <c r="K458" s="110"/>
      <c r="L458" s="35"/>
      <c r="M458" s="172"/>
      <c r="N458" s="172"/>
      <c r="O458" s="35"/>
      <c r="P458" s="164"/>
      <c r="Q458" s="164"/>
      <c r="R458" s="164"/>
      <c r="S458" s="164"/>
      <c r="T458" s="164"/>
      <c r="U458" s="164"/>
      <c r="V458" s="35"/>
      <c r="W458" s="35"/>
      <c r="X458" s="35"/>
      <c r="Y458" s="35"/>
      <c r="Z458" s="35"/>
      <c r="AA458" s="35"/>
      <c r="AB458" s="35"/>
      <c r="AC458" s="35"/>
      <c r="AD458" s="35"/>
      <c r="AE458" s="35"/>
      <c r="AF458" s="35"/>
      <c r="AG458" s="35"/>
      <c r="AH458" s="35"/>
    </row>
    <row r="459">
      <c r="A459" s="35"/>
      <c r="B459" s="35"/>
      <c r="C459" s="35"/>
      <c r="D459" s="172"/>
      <c r="E459" s="21"/>
      <c r="F459" s="35"/>
      <c r="G459" s="35"/>
      <c r="H459" s="35"/>
      <c r="I459" s="35"/>
      <c r="J459" s="186"/>
      <c r="K459" s="110"/>
      <c r="L459" s="35"/>
      <c r="M459" s="172"/>
      <c r="N459" s="172"/>
      <c r="O459" s="35"/>
      <c r="P459" s="164"/>
      <c r="Q459" s="164"/>
      <c r="R459" s="164"/>
      <c r="S459" s="164"/>
      <c r="T459" s="164"/>
      <c r="U459" s="164"/>
      <c r="V459" s="35"/>
      <c r="W459" s="35"/>
      <c r="X459" s="35"/>
      <c r="Y459" s="35"/>
      <c r="Z459" s="35"/>
      <c r="AA459" s="35"/>
      <c r="AB459" s="35"/>
      <c r="AC459" s="35"/>
      <c r="AD459" s="35"/>
      <c r="AE459" s="35"/>
      <c r="AF459" s="35"/>
      <c r="AG459" s="35"/>
      <c r="AH459" s="35"/>
    </row>
    <row r="460">
      <c r="A460" s="35"/>
      <c r="B460" s="35"/>
      <c r="C460" s="35"/>
      <c r="D460" s="172"/>
      <c r="E460" s="21"/>
      <c r="F460" s="35"/>
      <c r="G460" s="35"/>
      <c r="H460" s="35"/>
      <c r="I460" s="35"/>
      <c r="J460" s="186"/>
      <c r="K460" s="110"/>
      <c r="L460" s="35"/>
      <c r="M460" s="172"/>
      <c r="N460" s="172"/>
      <c r="O460" s="35"/>
      <c r="P460" s="164"/>
      <c r="Q460" s="164"/>
      <c r="R460" s="164"/>
      <c r="S460" s="164"/>
      <c r="T460" s="164"/>
      <c r="U460" s="164"/>
      <c r="V460" s="35"/>
      <c r="W460" s="35"/>
      <c r="X460" s="35"/>
      <c r="Y460" s="35"/>
      <c r="Z460" s="35"/>
      <c r="AA460" s="35"/>
      <c r="AB460" s="35"/>
      <c r="AC460" s="35"/>
      <c r="AD460" s="35"/>
      <c r="AE460" s="35"/>
      <c r="AF460" s="35"/>
      <c r="AG460" s="35"/>
      <c r="AH460" s="35"/>
    </row>
    <row r="461">
      <c r="A461" s="35"/>
      <c r="B461" s="35"/>
      <c r="C461" s="35"/>
      <c r="D461" s="172"/>
      <c r="E461" s="21"/>
      <c r="F461" s="35"/>
      <c r="G461" s="35"/>
      <c r="H461" s="35"/>
      <c r="I461" s="35"/>
      <c r="J461" s="186"/>
      <c r="K461" s="110"/>
      <c r="L461" s="35"/>
      <c r="M461" s="172"/>
      <c r="N461" s="172"/>
      <c r="O461" s="35"/>
      <c r="P461" s="164"/>
      <c r="Q461" s="164"/>
      <c r="R461" s="164"/>
      <c r="S461" s="164"/>
      <c r="T461" s="164"/>
      <c r="U461" s="164"/>
      <c r="V461" s="35"/>
      <c r="W461" s="35"/>
      <c r="X461" s="35"/>
      <c r="Y461" s="35"/>
      <c r="Z461" s="35"/>
      <c r="AA461" s="35"/>
      <c r="AB461" s="35"/>
      <c r="AC461" s="35"/>
      <c r="AD461" s="35"/>
      <c r="AE461" s="35"/>
      <c r="AF461" s="35"/>
      <c r="AG461" s="35"/>
      <c r="AH461" s="35"/>
    </row>
    <row r="462">
      <c r="A462" s="35"/>
      <c r="B462" s="35"/>
      <c r="C462" s="35"/>
      <c r="D462" s="172"/>
      <c r="E462" s="21"/>
      <c r="F462" s="35"/>
      <c r="G462" s="35"/>
      <c r="H462" s="35"/>
      <c r="I462" s="35"/>
      <c r="J462" s="186"/>
      <c r="K462" s="110"/>
      <c r="L462" s="35"/>
      <c r="M462" s="172"/>
      <c r="N462" s="172"/>
      <c r="O462" s="35"/>
      <c r="P462" s="164"/>
      <c r="Q462" s="164"/>
      <c r="R462" s="164"/>
      <c r="S462" s="164"/>
      <c r="T462" s="164"/>
      <c r="U462" s="164"/>
      <c r="V462" s="35"/>
      <c r="W462" s="35"/>
      <c r="X462" s="35"/>
      <c r="Y462" s="35"/>
      <c r="Z462" s="35"/>
      <c r="AA462" s="35"/>
      <c r="AB462" s="35"/>
      <c r="AC462" s="35"/>
      <c r="AD462" s="35"/>
      <c r="AE462" s="35"/>
      <c r="AF462" s="35"/>
      <c r="AG462" s="35"/>
      <c r="AH462" s="35"/>
    </row>
    <row r="463">
      <c r="A463" s="35"/>
      <c r="B463" s="35"/>
      <c r="C463" s="35"/>
      <c r="D463" s="172"/>
      <c r="E463" s="21"/>
      <c r="F463" s="35"/>
      <c r="G463" s="35"/>
      <c r="H463" s="35"/>
      <c r="I463" s="35"/>
      <c r="J463" s="186"/>
      <c r="K463" s="110"/>
      <c r="L463" s="35"/>
      <c r="M463" s="172"/>
      <c r="N463" s="172"/>
      <c r="O463" s="35"/>
      <c r="P463" s="164"/>
      <c r="Q463" s="164"/>
      <c r="R463" s="164"/>
      <c r="S463" s="164"/>
      <c r="T463" s="164"/>
      <c r="U463" s="164"/>
      <c r="V463" s="35"/>
      <c r="W463" s="35"/>
      <c r="X463" s="35"/>
      <c r="Y463" s="35"/>
      <c r="Z463" s="35"/>
      <c r="AA463" s="35"/>
      <c r="AB463" s="35"/>
      <c r="AC463" s="35"/>
      <c r="AD463" s="35"/>
      <c r="AE463" s="35"/>
      <c r="AF463" s="35"/>
      <c r="AG463" s="35"/>
      <c r="AH463" s="35"/>
    </row>
    <row r="464">
      <c r="A464" s="35"/>
      <c r="B464" s="35"/>
      <c r="C464" s="35"/>
      <c r="D464" s="172"/>
      <c r="E464" s="21"/>
      <c r="F464" s="35"/>
      <c r="G464" s="35"/>
      <c r="H464" s="35"/>
      <c r="I464" s="35"/>
      <c r="J464" s="186"/>
      <c r="K464" s="110"/>
      <c r="L464" s="35"/>
      <c r="M464" s="172"/>
      <c r="N464" s="172"/>
      <c r="O464" s="35"/>
      <c r="P464" s="164"/>
      <c r="Q464" s="164"/>
      <c r="R464" s="164"/>
      <c r="S464" s="164"/>
      <c r="T464" s="164"/>
      <c r="U464" s="164"/>
      <c r="V464" s="35"/>
      <c r="W464" s="35"/>
      <c r="X464" s="35"/>
      <c r="Y464" s="35"/>
      <c r="Z464" s="35"/>
      <c r="AA464" s="35"/>
      <c r="AB464" s="35"/>
      <c r="AC464" s="35"/>
      <c r="AD464" s="35"/>
      <c r="AE464" s="35"/>
      <c r="AF464" s="35"/>
      <c r="AG464" s="35"/>
      <c r="AH464" s="35"/>
    </row>
    <row r="465">
      <c r="A465" s="35"/>
      <c r="B465" s="35"/>
      <c r="C465" s="35"/>
      <c r="D465" s="172"/>
      <c r="E465" s="21"/>
      <c r="F465" s="35"/>
      <c r="G465" s="35"/>
      <c r="H465" s="35"/>
      <c r="I465" s="35"/>
      <c r="J465" s="186"/>
      <c r="K465" s="110"/>
      <c r="L465" s="35"/>
      <c r="M465" s="172"/>
      <c r="N465" s="172"/>
      <c r="O465" s="35"/>
      <c r="P465" s="164"/>
      <c r="Q465" s="164"/>
      <c r="R465" s="164"/>
      <c r="S465" s="164"/>
      <c r="T465" s="164"/>
      <c r="U465" s="164"/>
      <c r="V465" s="35"/>
      <c r="W465" s="35"/>
      <c r="X465" s="35"/>
      <c r="Y465" s="35"/>
      <c r="Z465" s="35"/>
      <c r="AA465" s="35"/>
      <c r="AB465" s="35"/>
      <c r="AC465" s="35"/>
      <c r="AD465" s="35"/>
      <c r="AE465" s="35"/>
      <c r="AF465" s="35"/>
      <c r="AG465" s="35"/>
      <c r="AH465" s="35"/>
    </row>
    <row r="466">
      <c r="A466" s="35"/>
      <c r="B466" s="35"/>
      <c r="C466" s="35"/>
      <c r="D466" s="172"/>
      <c r="E466" s="21"/>
      <c r="F466" s="35"/>
      <c r="G466" s="35"/>
      <c r="H466" s="35"/>
      <c r="I466" s="35"/>
      <c r="J466" s="186"/>
      <c r="K466" s="110"/>
      <c r="L466" s="35"/>
      <c r="M466" s="172"/>
      <c r="N466" s="172"/>
      <c r="O466" s="35"/>
      <c r="P466" s="164"/>
      <c r="Q466" s="164"/>
      <c r="R466" s="164"/>
      <c r="S466" s="164"/>
      <c r="T466" s="164"/>
      <c r="U466" s="164"/>
      <c r="V466" s="35"/>
      <c r="W466" s="35"/>
      <c r="X466" s="35"/>
      <c r="Y466" s="35"/>
      <c r="Z466" s="35"/>
      <c r="AA466" s="35"/>
      <c r="AB466" s="35"/>
      <c r="AC466" s="35"/>
      <c r="AD466" s="35"/>
      <c r="AE466" s="35"/>
      <c r="AF466" s="35"/>
      <c r="AG466" s="35"/>
      <c r="AH466" s="35"/>
    </row>
    <row r="467">
      <c r="A467" s="35"/>
      <c r="B467" s="35"/>
      <c r="C467" s="35"/>
      <c r="D467" s="172"/>
      <c r="E467" s="21"/>
      <c r="F467" s="35"/>
      <c r="G467" s="35"/>
      <c r="H467" s="35"/>
      <c r="I467" s="35"/>
      <c r="J467" s="186"/>
      <c r="K467" s="110"/>
      <c r="L467" s="35"/>
      <c r="M467" s="172"/>
      <c r="N467" s="172"/>
      <c r="O467" s="35"/>
      <c r="P467" s="164"/>
      <c r="Q467" s="164"/>
      <c r="R467" s="164"/>
      <c r="S467" s="164"/>
      <c r="T467" s="164"/>
      <c r="U467" s="164"/>
      <c r="V467" s="35"/>
      <c r="W467" s="35"/>
      <c r="X467" s="35"/>
      <c r="Y467" s="35"/>
      <c r="Z467" s="35"/>
      <c r="AA467" s="35"/>
      <c r="AB467" s="35"/>
      <c r="AC467" s="35"/>
      <c r="AD467" s="35"/>
      <c r="AE467" s="35"/>
      <c r="AF467" s="35"/>
      <c r="AG467" s="35"/>
      <c r="AH467" s="35"/>
    </row>
    <row r="468">
      <c r="A468" s="35"/>
      <c r="B468" s="35"/>
      <c r="C468" s="35"/>
      <c r="D468" s="172"/>
      <c r="E468" s="21"/>
      <c r="F468" s="35"/>
      <c r="G468" s="35"/>
      <c r="H468" s="35"/>
      <c r="I468" s="35"/>
      <c r="J468" s="186"/>
      <c r="K468" s="110"/>
      <c r="L468" s="35"/>
      <c r="M468" s="172"/>
      <c r="N468" s="172"/>
      <c r="O468" s="35"/>
      <c r="P468" s="164"/>
      <c r="Q468" s="164"/>
      <c r="R468" s="164"/>
      <c r="S468" s="164"/>
      <c r="T468" s="164"/>
      <c r="U468" s="164"/>
      <c r="V468" s="35"/>
      <c r="W468" s="35"/>
      <c r="X468" s="35"/>
      <c r="Y468" s="35"/>
      <c r="Z468" s="35"/>
      <c r="AA468" s="35"/>
      <c r="AB468" s="35"/>
      <c r="AC468" s="35"/>
      <c r="AD468" s="35"/>
      <c r="AE468" s="35"/>
      <c r="AF468" s="35"/>
      <c r="AG468" s="35"/>
      <c r="AH468" s="35"/>
    </row>
    <row r="469">
      <c r="A469" s="35"/>
      <c r="B469" s="35"/>
      <c r="C469" s="35"/>
      <c r="D469" s="172"/>
      <c r="E469" s="21"/>
      <c r="F469" s="35"/>
      <c r="G469" s="35"/>
      <c r="H469" s="35"/>
      <c r="I469" s="35"/>
      <c r="J469" s="186"/>
      <c r="K469" s="110"/>
      <c r="L469" s="35"/>
      <c r="M469" s="172"/>
      <c r="N469" s="172"/>
      <c r="O469" s="35"/>
      <c r="P469" s="164"/>
      <c r="Q469" s="164"/>
      <c r="R469" s="164"/>
      <c r="S469" s="164"/>
      <c r="T469" s="164"/>
      <c r="U469" s="164"/>
      <c r="V469" s="35"/>
      <c r="W469" s="35"/>
      <c r="X469" s="35"/>
      <c r="Y469" s="35"/>
      <c r="Z469" s="35"/>
      <c r="AA469" s="35"/>
      <c r="AB469" s="35"/>
      <c r="AC469" s="35"/>
      <c r="AD469" s="35"/>
      <c r="AE469" s="35"/>
      <c r="AF469" s="35"/>
      <c r="AG469" s="35"/>
      <c r="AH469" s="35"/>
    </row>
    <row r="470">
      <c r="A470" s="35"/>
      <c r="B470" s="35"/>
      <c r="C470" s="35"/>
      <c r="D470" s="172"/>
      <c r="E470" s="21"/>
      <c r="F470" s="35"/>
      <c r="G470" s="35"/>
      <c r="H470" s="35"/>
      <c r="I470" s="35"/>
      <c r="J470" s="186"/>
      <c r="K470" s="110"/>
      <c r="L470" s="35"/>
      <c r="M470" s="172"/>
      <c r="N470" s="172"/>
      <c r="O470" s="35"/>
      <c r="P470" s="164"/>
      <c r="Q470" s="164"/>
      <c r="R470" s="164"/>
      <c r="S470" s="164"/>
      <c r="T470" s="164"/>
      <c r="U470" s="164"/>
      <c r="V470" s="35"/>
      <c r="W470" s="35"/>
      <c r="X470" s="35"/>
      <c r="Y470" s="35"/>
      <c r="Z470" s="35"/>
      <c r="AA470" s="35"/>
      <c r="AB470" s="35"/>
      <c r="AC470" s="35"/>
      <c r="AD470" s="35"/>
      <c r="AE470" s="35"/>
      <c r="AF470" s="35"/>
      <c r="AG470" s="35"/>
      <c r="AH470" s="35"/>
    </row>
    <row r="471">
      <c r="A471" s="35"/>
      <c r="B471" s="35"/>
      <c r="C471" s="35"/>
      <c r="D471" s="172"/>
      <c r="E471" s="21"/>
      <c r="F471" s="35"/>
      <c r="G471" s="35"/>
      <c r="H471" s="35"/>
      <c r="I471" s="35"/>
      <c r="J471" s="186"/>
      <c r="K471" s="110"/>
      <c r="L471" s="35"/>
      <c r="M471" s="172"/>
      <c r="N471" s="172"/>
      <c r="O471" s="35"/>
      <c r="P471" s="164"/>
      <c r="Q471" s="164"/>
      <c r="R471" s="164"/>
      <c r="S471" s="164"/>
      <c r="T471" s="164"/>
      <c r="U471" s="164"/>
      <c r="V471" s="35"/>
      <c r="W471" s="35"/>
      <c r="X471" s="35"/>
      <c r="Y471" s="35"/>
      <c r="Z471" s="35"/>
      <c r="AA471" s="35"/>
      <c r="AB471" s="35"/>
      <c r="AC471" s="35"/>
      <c r="AD471" s="35"/>
      <c r="AE471" s="35"/>
      <c r="AF471" s="35"/>
      <c r="AG471" s="35"/>
      <c r="AH471" s="35"/>
    </row>
    <row r="472">
      <c r="A472" s="35"/>
      <c r="B472" s="35"/>
      <c r="C472" s="35"/>
      <c r="D472" s="172"/>
      <c r="E472" s="21"/>
      <c r="F472" s="35"/>
      <c r="G472" s="35"/>
      <c r="H472" s="35"/>
      <c r="I472" s="35"/>
      <c r="J472" s="186"/>
      <c r="K472" s="110"/>
      <c r="L472" s="35"/>
      <c r="M472" s="172"/>
      <c r="N472" s="172"/>
      <c r="O472" s="35"/>
      <c r="P472" s="164"/>
      <c r="Q472" s="164"/>
      <c r="R472" s="164"/>
      <c r="S472" s="164"/>
      <c r="T472" s="164"/>
      <c r="U472" s="164"/>
      <c r="V472" s="35"/>
      <c r="W472" s="35"/>
      <c r="X472" s="35"/>
      <c r="Y472" s="35"/>
      <c r="Z472" s="35"/>
      <c r="AA472" s="35"/>
      <c r="AB472" s="35"/>
      <c r="AC472" s="35"/>
      <c r="AD472" s="35"/>
      <c r="AE472" s="35"/>
      <c r="AF472" s="35"/>
      <c r="AG472" s="35"/>
      <c r="AH472" s="35"/>
    </row>
    <row r="473">
      <c r="A473" s="35"/>
      <c r="B473" s="35"/>
      <c r="C473" s="35"/>
      <c r="D473" s="172"/>
      <c r="E473" s="21"/>
      <c r="F473" s="35"/>
      <c r="G473" s="35"/>
      <c r="H473" s="35"/>
      <c r="I473" s="35"/>
      <c r="J473" s="186"/>
      <c r="K473" s="110"/>
      <c r="L473" s="35"/>
      <c r="M473" s="172"/>
      <c r="N473" s="172"/>
      <c r="O473" s="35"/>
      <c r="P473" s="164"/>
      <c r="Q473" s="164"/>
      <c r="R473" s="164"/>
      <c r="S473" s="164"/>
      <c r="T473" s="164"/>
      <c r="U473" s="164"/>
      <c r="V473" s="35"/>
      <c r="W473" s="35"/>
      <c r="X473" s="35"/>
      <c r="Y473" s="35"/>
      <c r="Z473" s="35"/>
      <c r="AA473" s="35"/>
      <c r="AB473" s="35"/>
      <c r="AC473" s="35"/>
      <c r="AD473" s="35"/>
      <c r="AE473" s="35"/>
      <c r="AF473" s="35"/>
      <c r="AG473" s="35"/>
      <c r="AH473" s="35"/>
    </row>
    <row r="474">
      <c r="A474" s="35"/>
      <c r="B474" s="35"/>
      <c r="C474" s="35"/>
      <c r="D474" s="172"/>
      <c r="E474" s="21"/>
      <c r="F474" s="35"/>
      <c r="G474" s="35"/>
      <c r="H474" s="35"/>
      <c r="I474" s="35"/>
      <c r="J474" s="186"/>
      <c r="K474" s="110"/>
      <c r="L474" s="35"/>
      <c r="M474" s="172"/>
      <c r="N474" s="172"/>
      <c r="O474" s="35"/>
      <c r="P474" s="164"/>
      <c r="Q474" s="164"/>
      <c r="R474" s="164"/>
      <c r="S474" s="164"/>
      <c r="T474" s="164"/>
      <c r="U474" s="164"/>
      <c r="V474" s="35"/>
      <c r="W474" s="35"/>
      <c r="X474" s="35"/>
      <c r="Y474" s="35"/>
      <c r="Z474" s="35"/>
      <c r="AA474" s="35"/>
      <c r="AB474" s="35"/>
      <c r="AC474" s="35"/>
      <c r="AD474" s="35"/>
      <c r="AE474" s="35"/>
      <c r="AF474" s="35"/>
      <c r="AG474" s="35"/>
      <c r="AH474" s="35"/>
    </row>
    <row r="475">
      <c r="A475" s="35"/>
      <c r="B475" s="35"/>
      <c r="C475" s="35"/>
      <c r="D475" s="172"/>
      <c r="E475" s="21"/>
      <c r="F475" s="35"/>
      <c r="G475" s="35"/>
      <c r="H475" s="35"/>
      <c r="I475" s="35"/>
      <c r="J475" s="186"/>
      <c r="K475" s="110"/>
      <c r="L475" s="35"/>
      <c r="M475" s="172"/>
      <c r="N475" s="172"/>
      <c r="O475" s="35"/>
      <c r="P475" s="164"/>
      <c r="Q475" s="164"/>
      <c r="R475" s="164"/>
      <c r="S475" s="164"/>
      <c r="T475" s="164"/>
      <c r="U475" s="164"/>
      <c r="V475" s="35"/>
      <c r="W475" s="35"/>
      <c r="X475" s="35"/>
      <c r="Y475" s="35"/>
      <c r="Z475" s="35"/>
      <c r="AA475" s="35"/>
      <c r="AB475" s="35"/>
      <c r="AC475" s="35"/>
      <c r="AD475" s="35"/>
      <c r="AE475" s="35"/>
      <c r="AF475" s="35"/>
      <c r="AG475" s="35"/>
      <c r="AH475" s="35"/>
    </row>
    <row r="476">
      <c r="A476" s="35"/>
      <c r="B476" s="35"/>
      <c r="C476" s="35"/>
      <c r="D476" s="172"/>
      <c r="E476" s="21"/>
      <c r="F476" s="35"/>
      <c r="G476" s="35"/>
      <c r="H476" s="35"/>
      <c r="I476" s="35"/>
      <c r="J476" s="186"/>
      <c r="K476" s="110"/>
      <c r="L476" s="35"/>
      <c r="M476" s="172"/>
      <c r="N476" s="172"/>
      <c r="O476" s="35"/>
      <c r="P476" s="164"/>
      <c r="Q476" s="164"/>
      <c r="R476" s="164"/>
      <c r="S476" s="164"/>
      <c r="T476" s="164"/>
      <c r="U476" s="164"/>
      <c r="V476" s="35"/>
      <c r="W476" s="35"/>
      <c r="X476" s="35"/>
      <c r="Y476" s="35"/>
      <c r="Z476" s="35"/>
      <c r="AA476" s="35"/>
      <c r="AB476" s="35"/>
      <c r="AC476" s="35"/>
      <c r="AD476" s="35"/>
      <c r="AE476" s="35"/>
      <c r="AF476" s="35"/>
      <c r="AG476" s="35"/>
      <c r="AH476" s="35"/>
    </row>
    <row r="477">
      <c r="A477" s="35"/>
      <c r="B477" s="35"/>
      <c r="C477" s="35"/>
      <c r="D477" s="172"/>
      <c r="E477" s="21"/>
      <c r="F477" s="35"/>
      <c r="G477" s="35"/>
      <c r="H477" s="35"/>
      <c r="I477" s="35"/>
      <c r="J477" s="186"/>
      <c r="K477" s="110"/>
      <c r="L477" s="35"/>
      <c r="M477" s="172"/>
      <c r="N477" s="172"/>
      <c r="O477" s="35"/>
      <c r="P477" s="164"/>
      <c r="Q477" s="164"/>
      <c r="R477" s="164"/>
      <c r="S477" s="164"/>
      <c r="T477" s="164"/>
      <c r="U477" s="164"/>
      <c r="V477" s="35"/>
      <c r="W477" s="35"/>
      <c r="X477" s="35"/>
      <c r="Y477" s="35"/>
      <c r="Z477" s="35"/>
      <c r="AA477" s="35"/>
      <c r="AB477" s="35"/>
      <c r="AC477" s="35"/>
      <c r="AD477" s="35"/>
      <c r="AE477" s="35"/>
      <c r="AF477" s="35"/>
      <c r="AG477" s="35"/>
      <c r="AH477" s="35"/>
    </row>
    <row r="478">
      <c r="A478" s="35"/>
      <c r="B478" s="35"/>
      <c r="C478" s="35"/>
      <c r="D478" s="172"/>
      <c r="E478" s="21"/>
      <c r="F478" s="35"/>
      <c r="G478" s="35"/>
      <c r="H478" s="35"/>
      <c r="I478" s="35"/>
      <c r="J478" s="186"/>
      <c r="K478" s="110"/>
      <c r="L478" s="35"/>
      <c r="M478" s="172"/>
      <c r="N478" s="172"/>
      <c r="O478" s="35"/>
      <c r="P478" s="164"/>
      <c r="Q478" s="164"/>
      <c r="R478" s="164"/>
      <c r="S478" s="164"/>
      <c r="T478" s="164"/>
      <c r="U478" s="164"/>
      <c r="V478" s="35"/>
      <c r="W478" s="35"/>
      <c r="X478" s="35"/>
      <c r="Y478" s="35"/>
      <c r="Z478" s="35"/>
      <c r="AA478" s="35"/>
      <c r="AB478" s="35"/>
      <c r="AC478" s="35"/>
      <c r="AD478" s="35"/>
      <c r="AE478" s="35"/>
      <c r="AF478" s="35"/>
      <c r="AG478" s="35"/>
      <c r="AH478" s="35"/>
    </row>
    <row r="479">
      <c r="A479" s="35"/>
      <c r="B479" s="35"/>
      <c r="C479" s="35"/>
      <c r="D479" s="172"/>
      <c r="E479" s="21"/>
      <c r="F479" s="35"/>
      <c r="G479" s="35"/>
      <c r="H479" s="35"/>
      <c r="I479" s="35"/>
      <c r="J479" s="186"/>
      <c r="K479" s="110"/>
      <c r="L479" s="35"/>
      <c r="M479" s="172"/>
      <c r="N479" s="172"/>
      <c r="O479" s="35"/>
      <c r="P479" s="164"/>
      <c r="Q479" s="164"/>
      <c r="R479" s="164"/>
      <c r="S479" s="164"/>
      <c r="T479" s="164"/>
      <c r="U479" s="164"/>
      <c r="V479" s="35"/>
      <c r="W479" s="35"/>
      <c r="X479" s="35"/>
      <c r="Y479" s="35"/>
      <c r="Z479" s="35"/>
      <c r="AA479" s="35"/>
      <c r="AB479" s="35"/>
      <c r="AC479" s="35"/>
      <c r="AD479" s="35"/>
      <c r="AE479" s="35"/>
      <c r="AF479" s="35"/>
      <c r="AG479" s="35"/>
      <c r="AH479" s="35"/>
    </row>
    <row r="480">
      <c r="A480" s="35"/>
      <c r="B480" s="35"/>
      <c r="C480" s="35"/>
      <c r="D480" s="172"/>
      <c r="E480" s="21"/>
      <c r="F480" s="35"/>
      <c r="G480" s="35"/>
      <c r="H480" s="35"/>
      <c r="I480" s="35"/>
      <c r="J480" s="186"/>
      <c r="K480" s="110"/>
      <c r="L480" s="35"/>
      <c r="M480" s="172"/>
      <c r="N480" s="172"/>
      <c r="O480" s="35"/>
      <c r="P480" s="164"/>
      <c r="Q480" s="164"/>
      <c r="R480" s="164"/>
      <c r="S480" s="164"/>
      <c r="T480" s="164"/>
      <c r="U480" s="164"/>
      <c r="V480" s="35"/>
      <c r="W480" s="35"/>
      <c r="X480" s="35"/>
      <c r="Y480" s="35"/>
      <c r="Z480" s="35"/>
      <c r="AA480" s="35"/>
      <c r="AB480" s="35"/>
      <c r="AC480" s="35"/>
      <c r="AD480" s="35"/>
      <c r="AE480" s="35"/>
      <c r="AF480" s="35"/>
      <c r="AG480" s="35"/>
      <c r="AH480" s="35"/>
    </row>
    <row r="481">
      <c r="A481" s="35"/>
      <c r="B481" s="35"/>
      <c r="C481" s="35"/>
      <c r="D481" s="172"/>
      <c r="E481" s="21"/>
      <c r="F481" s="35"/>
      <c r="G481" s="35"/>
      <c r="H481" s="35"/>
      <c r="I481" s="35"/>
      <c r="J481" s="186"/>
      <c r="K481" s="110"/>
      <c r="L481" s="35"/>
      <c r="M481" s="172"/>
      <c r="N481" s="172"/>
      <c r="O481" s="35"/>
      <c r="P481" s="164"/>
      <c r="Q481" s="164"/>
      <c r="R481" s="164"/>
      <c r="S481" s="164"/>
      <c r="T481" s="164"/>
      <c r="U481" s="164"/>
      <c r="V481" s="35"/>
      <c r="W481" s="35"/>
      <c r="X481" s="35"/>
      <c r="Y481" s="35"/>
      <c r="Z481" s="35"/>
      <c r="AA481" s="35"/>
      <c r="AB481" s="35"/>
      <c r="AC481" s="35"/>
      <c r="AD481" s="35"/>
      <c r="AE481" s="35"/>
      <c r="AF481" s="35"/>
      <c r="AG481" s="35"/>
      <c r="AH481" s="35"/>
    </row>
    <row r="482">
      <c r="A482" s="35"/>
      <c r="B482" s="35"/>
      <c r="C482" s="35"/>
      <c r="D482" s="172"/>
      <c r="E482" s="21"/>
      <c r="F482" s="35"/>
      <c r="G482" s="35"/>
      <c r="H482" s="35"/>
      <c r="I482" s="35"/>
      <c r="J482" s="186"/>
      <c r="K482" s="110"/>
      <c r="L482" s="35"/>
      <c r="M482" s="172"/>
      <c r="N482" s="172"/>
      <c r="O482" s="35"/>
      <c r="P482" s="164"/>
      <c r="Q482" s="164"/>
      <c r="R482" s="164"/>
      <c r="S482" s="164"/>
      <c r="T482" s="164"/>
      <c r="U482" s="164"/>
      <c r="V482" s="35"/>
      <c r="W482" s="35"/>
      <c r="X482" s="35"/>
      <c r="Y482" s="35"/>
      <c r="Z482" s="35"/>
      <c r="AA482" s="35"/>
      <c r="AB482" s="35"/>
      <c r="AC482" s="35"/>
      <c r="AD482" s="35"/>
      <c r="AE482" s="35"/>
      <c r="AF482" s="35"/>
      <c r="AG482" s="35"/>
      <c r="AH482" s="35"/>
    </row>
    <row r="483">
      <c r="A483" s="35"/>
      <c r="B483" s="35"/>
      <c r="C483" s="35"/>
      <c r="D483" s="172"/>
      <c r="E483" s="21"/>
      <c r="F483" s="35"/>
      <c r="G483" s="35"/>
      <c r="H483" s="35"/>
      <c r="I483" s="35"/>
      <c r="J483" s="186"/>
      <c r="K483" s="110"/>
      <c r="L483" s="35"/>
      <c r="M483" s="172"/>
      <c r="N483" s="172"/>
      <c r="O483" s="35"/>
      <c r="P483" s="164"/>
      <c r="Q483" s="164"/>
      <c r="R483" s="164"/>
      <c r="S483" s="164"/>
      <c r="T483" s="164"/>
      <c r="U483" s="164"/>
      <c r="V483" s="35"/>
      <c r="W483" s="35"/>
      <c r="X483" s="35"/>
      <c r="Y483" s="35"/>
      <c r="Z483" s="35"/>
      <c r="AA483" s="35"/>
      <c r="AB483" s="35"/>
      <c r="AC483" s="35"/>
      <c r="AD483" s="35"/>
      <c r="AE483" s="35"/>
      <c r="AF483" s="35"/>
      <c r="AG483" s="35"/>
      <c r="AH483" s="35"/>
    </row>
    <row r="484">
      <c r="A484" s="35"/>
      <c r="B484" s="35"/>
      <c r="C484" s="35"/>
      <c r="D484" s="172"/>
      <c r="E484" s="21"/>
      <c r="F484" s="35"/>
      <c r="G484" s="35"/>
      <c r="H484" s="35"/>
      <c r="I484" s="35"/>
      <c r="J484" s="186"/>
      <c r="K484" s="110"/>
      <c r="L484" s="35"/>
      <c r="M484" s="172"/>
      <c r="N484" s="172"/>
      <c r="O484" s="35"/>
      <c r="P484" s="164"/>
      <c r="Q484" s="164"/>
      <c r="R484" s="164"/>
      <c r="S484" s="164"/>
      <c r="T484" s="164"/>
      <c r="U484" s="164"/>
      <c r="V484" s="35"/>
      <c r="W484" s="35"/>
      <c r="X484" s="35"/>
      <c r="Y484" s="35"/>
      <c r="Z484" s="35"/>
      <c r="AA484" s="35"/>
      <c r="AB484" s="35"/>
      <c r="AC484" s="35"/>
      <c r="AD484" s="35"/>
      <c r="AE484" s="35"/>
      <c r="AF484" s="35"/>
      <c r="AG484" s="35"/>
      <c r="AH484" s="35"/>
    </row>
    <row r="485">
      <c r="A485" s="35"/>
      <c r="B485" s="35"/>
      <c r="C485" s="35"/>
      <c r="D485" s="172"/>
      <c r="E485" s="21"/>
      <c r="F485" s="35"/>
      <c r="G485" s="35"/>
      <c r="H485" s="35"/>
      <c r="I485" s="35"/>
      <c r="J485" s="186"/>
      <c r="K485" s="110"/>
      <c r="L485" s="35"/>
      <c r="M485" s="172"/>
      <c r="N485" s="172"/>
      <c r="O485" s="35"/>
      <c r="P485" s="164"/>
      <c r="Q485" s="164"/>
      <c r="R485" s="164"/>
      <c r="S485" s="164"/>
      <c r="T485" s="164"/>
      <c r="U485" s="164"/>
      <c r="V485" s="35"/>
      <c r="W485" s="35"/>
      <c r="X485" s="35"/>
      <c r="Y485" s="35"/>
      <c r="Z485" s="35"/>
      <c r="AA485" s="35"/>
      <c r="AB485" s="35"/>
      <c r="AC485" s="35"/>
      <c r="AD485" s="35"/>
      <c r="AE485" s="35"/>
      <c r="AF485" s="35"/>
      <c r="AG485" s="35"/>
      <c r="AH485" s="35"/>
    </row>
    <row r="486">
      <c r="A486" s="35"/>
      <c r="B486" s="35"/>
      <c r="C486" s="35"/>
      <c r="D486" s="172"/>
      <c r="E486" s="21"/>
      <c r="F486" s="35"/>
      <c r="G486" s="35"/>
      <c r="H486" s="35"/>
      <c r="I486" s="35"/>
      <c r="J486" s="186"/>
      <c r="K486" s="110"/>
      <c r="L486" s="35"/>
      <c r="M486" s="172"/>
      <c r="N486" s="172"/>
      <c r="O486" s="35"/>
      <c r="P486" s="164"/>
      <c r="Q486" s="164"/>
      <c r="R486" s="164"/>
      <c r="S486" s="164"/>
      <c r="T486" s="164"/>
      <c r="U486" s="164"/>
      <c r="V486" s="35"/>
      <c r="W486" s="35"/>
      <c r="X486" s="35"/>
      <c r="Y486" s="35"/>
      <c r="Z486" s="35"/>
      <c r="AA486" s="35"/>
      <c r="AB486" s="35"/>
      <c r="AC486" s="35"/>
      <c r="AD486" s="35"/>
      <c r="AE486" s="35"/>
      <c r="AF486" s="35"/>
      <c r="AG486" s="35"/>
      <c r="AH486" s="35"/>
    </row>
    <row r="487">
      <c r="A487" s="35"/>
      <c r="B487" s="35"/>
      <c r="C487" s="35"/>
      <c r="D487" s="172"/>
      <c r="E487" s="21"/>
      <c r="F487" s="35"/>
      <c r="G487" s="35"/>
      <c r="H487" s="35"/>
      <c r="I487" s="35"/>
      <c r="J487" s="186"/>
      <c r="K487" s="110"/>
      <c r="L487" s="35"/>
      <c r="M487" s="172"/>
      <c r="N487" s="172"/>
      <c r="O487" s="35"/>
      <c r="P487" s="164"/>
      <c r="Q487" s="164"/>
      <c r="R487" s="164"/>
      <c r="S487" s="164"/>
      <c r="T487" s="164"/>
      <c r="U487" s="164"/>
      <c r="V487" s="35"/>
      <c r="W487" s="35"/>
      <c r="X487" s="35"/>
      <c r="Y487" s="35"/>
      <c r="Z487" s="35"/>
      <c r="AA487" s="35"/>
      <c r="AB487" s="35"/>
      <c r="AC487" s="35"/>
      <c r="AD487" s="35"/>
      <c r="AE487" s="35"/>
      <c r="AF487" s="35"/>
      <c r="AG487" s="35"/>
      <c r="AH487" s="35"/>
    </row>
    <row r="488">
      <c r="A488" s="35"/>
      <c r="B488" s="35"/>
      <c r="C488" s="35"/>
      <c r="D488" s="172"/>
      <c r="E488" s="21"/>
      <c r="F488" s="35"/>
      <c r="G488" s="35"/>
      <c r="H488" s="35"/>
      <c r="I488" s="35"/>
      <c r="J488" s="186"/>
      <c r="K488" s="110"/>
      <c r="L488" s="35"/>
      <c r="M488" s="172"/>
      <c r="N488" s="172"/>
      <c r="O488" s="35"/>
      <c r="P488" s="164"/>
      <c r="Q488" s="164"/>
      <c r="R488" s="164"/>
      <c r="S488" s="164"/>
      <c r="T488" s="164"/>
      <c r="U488" s="164"/>
      <c r="V488" s="35"/>
      <c r="W488" s="35"/>
      <c r="X488" s="35"/>
      <c r="Y488" s="35"/>
      <c r="Z488" s="35"/>
      <c r="AA488" s="35"/>
      <c r="AB488" s="35"/>
      <c r="AC488" s="35"/>
      <c r="AD488" s="35"/>
      <c r="AE488" s="35"/>
      <c r="AF488" s="35"/>
      <c r="AG488" s="35"/>
      <c r="AH488" s="35"/>
    </row>
    <row r="489">
      <c r="A489" s="35"/>
      <c r="B489" s="35"/>
      <c r="C489" s="35"/>
      <c r="D489" s="172"/>
      <c r="E489" s="21"/>
      <c r="F489" s="35"/>
      <c r="G489" s="35"/>
      <c r="H489" s="35"/>
      <c r="I489" s="35"/>
      <c r="J489" s="186"/>
      <c r="K489" s="110"/>
      <c r="L489" s="35"/>
      <c r="M489" s="172"/>
      <c r="N489" s="172"/>
      <c r="O489" s="35"/>
      <c r="P489" s="164"/>
      <c r="Q489" s="164"/>
      <c r="R489" s="164"/>
      <c r="S489" s="164"/>
      <c r="T489" s="164"/>
      <c r="U489" s="164"/>
      <c r="V489" s="35"/>
      <c r="W489" s="35"/>
      <c r="X489" s="35"/>
      <c r="Y489" s="35"/>
      <c r="Z489" s="35"/>
      <c r="AA489" s="35"/>
      <c r="AB489" s="35"/>
      <c r="AC489" s="35"/>
      <c r="AD489" s="35"/>
      <c r="AE489" s="35"/>
      <c r="AF489" s="35"/>
      <c r="AG489" s="35"/>
      <c r="AH489" s="35"/>
    </row>
    <row r="490">
      <c r="A490" s="35"/>
      <c r="B490" s="35"/>
      <c r="C490" s="35"/>
      <c r="D490" s="172"/>
      <c r="E490" s="21"/>
      <c r="F490" s="35"/>
      <c r="G490" s="35"/>
      <c r="H490" s="35"/>
      <c r="I490" s="35"/>
      <c r="J490" s="186"/>
      <c r="K490" s="110"/>
      <c r="L490" s="35"/>
      <c r="M490" s="172"/>
      <c r="N490" s="172"/>
      <c r="O490" s="35"/>
      <c r="P490" s="164"/>
      <c r="Q490" s="164"/>
      <c r="R490" s="164"/>
      <c r="S490" s="164"/>
      <c r="T490" s="164"/>
      <c r="U490" s="164"/>
      <c r="V490" s="35"/>
      <c r="W490" s="35"/>
      <c r="X490" s="35"/>
      <c r="Y490" s="35"/>
      <c r="Z490" s="35"/>
      <c r="AA490" s="35"/>
      <c r="AB490" s="35"/>
      <c r="AC490" s="35"/>
      <c r="AD490" s="35"/>
      <c r="AE490" s="35"/>
      <c r="AF490" s="35"/>
      <c r="AG490" s="35"/>
      <c r="AH490" s="35"/>
    </row>
    <row r="491">
      <c r="A491" s="35"/>
      <c r="B491" s="35"/>
      <c r="C491" s="35"/>
      <c r="D491" s="172"/>
      <c r="E491" s="21"/>
      <c r="F491" s="35"/>
      <c r="G491" s="35"/>
      <c r="H491" s="35"/>
      <c r="I491" s="35"/>
      <c r="J491" s="186"/>
      <c r="K491" s="110"/>
      <c r="L491" s="35"/>
      <c r="M491" s="172"/>
      <c r="N491" s="172"/>
      <c r="O491" s="35"/>
      <c r="P491" s="164"/>
      <c r="Q491" s="164"/>
      <c r="R491" s="164"/>
      <c r="S491" s="164"/>
      <c r="T491" s="164"/>
      <c r="U491" s="164"/>
      <c r="V491" s="35"/>
      <c r="W491" s="35"/>
      <c r="X491" s="35"/>
      <c r="Y491" s="35"/>
      <c r="Z491" s="35"/>
      <c r="AA491" s="35"/>
      <c r="AB491" s="35"/>
      <c r="AC491" s="35"/>
      <c r="AD491" s="35"/>
      <c r="AE491" s="35"/>
      <c r="AF491" s="35"/>
      <c r="AG491" s="35"/>
      <c r="AH491" s="35"/>
    </row>
    <row r="492">
      <c r="A492" s="35"/>
      <c r="B492" s="35"/>
      <c r="C492" s="35"/>
      <c r="D492" s="172"/>
      <c r="E492" s="21"/>
      <c r="F492" s="35"/>
      <c r="G492" s="35"/>
      <c r="H492" s="35"/>
      <c r="I492" s="35"/>
      <c r="J492" s="186"/>
      <c r="K492" s="110"/>
      <c r="L492" s="35"/>
      <c r="M492" s="172"/>
      <c r="N492" s="172"/>
      <c r="O492" s="35"/>
      <c r="P492" s="164"/>
      <c r="Q492" s="164"/>
      <c r="R492" s="164"/>
      <c r="S492" s="164"/>
      <c r="T492" s="164"/>
      <c r="U492" s="164"/>
      <c r="V492" s="35"/>
      <c r="W492" s="35"/>
      <c r="X492" s="35"/>
      <c r="Y492" s="35"/>
      <c r="Z492" s="35"/>
      <c r="AA492" s="35"/>
      <c r="AB492" s="35"/>
      <c r="AC492" s="35"/>
      <c r="AD492" s="35"/>
      <c r="AE492" s="35"/>
      <c r="AF492" s="35"/>
      <c r="AG492" s="35"/>
      <c r="AH492" s="35"/>
    </row>
    <row r="493">
      <c r="A493" s="35"/>
      <c r="B493" s="35"/>
      <c r="C493" s="35"/>
      <c r="D493" s="172"/>
      <c r="E493" s="21"/>
      <c r="F493" s="35"/>
      <c r="G493" s="35"/>
      <c r="H493" s="35"/>
      <c r="I493" s="35"/>
      <c r="J493" s="186"/>
      <c r="K493" s="110"/>
      <c r="L493" s="35"/>
      <c r="M493" s="172"/>
      <c r="N493" s="172"/>
      <c r="O493" s="35"/>
      <c r="P493" s="164"/>
      <c r="Q493" s="164"/>
      <c r="R493" s="164"/>
      <c r="S493" s="164"/>
      <c r="T493" s="164"/>
      <c r="U493" s="164"/>
      <c r="V493" s="35"/>
      <c r="W493" s="35"/>
      <c r="X493" s="35"/>
      <c r="Y493" s="35"/>
      <c r="Z493" s="35"/>
      <c r="AA493" s="35"/>
      <c r="AB493" s="35"/>
      <c r="AC493" s="35"/>
      <c r="AD493" s="35"/>
      <c r="AE493" s="35"/>
      <c r="AF493" s="35"/>
      <c r="AG493" s="35"/>
      <c r="AH493" s="35"/>
    </row>
    <row r="494">
      <c r="A494" s="35"/>
      <c r="B494" s="35"/>
      <c r="C494" s="35"/>
      <c r="D494" s="172"/>
      <c r="E494" s="21"/>
      <c r="F494" s="35"/>
      <c r="G494" s="35"/>
      <c r="H494" s="35"/>
      <c r="I494" s="35"/>
      <c r="J494" s="186"/>
      <c r="K494" s="110"/>
      <c r="L494" s="35"/>
      <c r="M494" s="172"/>
      <c r="N494" s="172"/>
      <c r="O494" s="35"/>
      <c r="P494" s="164"/>
      <c r="Q494" s="164"/>
      <c r="R494" s="164"/>
      <c r="S494" s="164"/>
      <c r="T494" s="164"/>
      <c r="U494" s="164"/>
      <c r="V494" s="35"/>
      <c r="W494" s="35"/>
      <c r="X494" s="35"/>
      <c r="Y494" s="35"/>
      <c r="Z494" s="35"/>
      <c r="AA494" s="35"/>
      <c r="AB494" s="35"/>
      <c r="AC494" s="35"/>
      <c r="AD494" s="35"/>
      <c r="AE494" s="35"/>
      <c r="AF494" s="35"/>
      <c r="AG494" s="35"/>
      <c r="AH494" s="35"/>
    </row>
    <row r="495">
      <c r="A495" s="35"/>
      <c r="B495" s="35"/>
      <c r="C495" s="35"/>
      <c r="D495" s="172"/>
      <c r="E495" s="21"/>
      <c r="F495" s="35"/>
      <c r="G495" s="35"/>
      <c r="H495" s="35"/>
      <c r="I495" s="35"/>
      <c r="J495" s="186"/>
      <c r="K495" s="110"/>
      <c r="L495" s="35"/>
      <c r="M495" s="172"/>
      <c r="N495" s="172"/>
      <c r="O495" s="35"/>
      <c r="P495" s="164"/>
      <c r="Q495" s="164"/>
      <c r="R495" s="164"/>
      <c r="S495" s="164"/>
      <c r="T495" s="164"/>
      <c r="U495" s="164"/>
      <c r="V495" s="35"/>
      <c r="W495" s="35"/>
      <c r="X495" s="35"/>
      <c r="Y495" s="35"/>
      <c r="Z495" s="35"/>
      <c r="AA495" s="35"/>
      <c r="AB495" s="35"/>
      <c r="AC495" s="35"/>
      <c r="AD495" s="35"/>
      <c r="AE495" s="35"/>
      <c r="AF495" s="35"/>
      <c r="AG495" s="35"/>
      <c r="AH495" s="35"/>
    </row>
    <row r="496">
      <c r="A496" s="35"/>
      <c r="B496" s="35"/>
      <c r="C496" s="35"/>
      <c r="D496" s="172"/>
      <c r="E496" s="21"/>
      <c r="F496" s="35"/>
      <c r="G496" s="35"/>
      <c r="H496" s="35"/>
      <c r="I496" s="35"/>
      <c r="J496" s="186"/>
      <c r="K496" s="110"/>
      <c r="L496" s="35"/>
      <c r="M496" s="172"/>
      <c r="N496" s="172"/>
      <c r="O496" s="35"/>
      <c r="P496" s="164"/>
      <c r="Q496" s="164"/>
      <c r="R496" s="164"/>
      <c r="S496" s="164"/>
      <c r="T496" s="164"/>
      <c r="U496" s="164"/>
      <c r="V496" s="35"/>
      <c r="W496" s="35"/>
      <c r="X496" s="35"/>
      <c r="Y496" s="35"/>
      <c r="Z496" s="35"/>
      <c r="AA496" s="35"/>
      <c r="AB496" s="35"/>
      <c r="AC496" s="35"/>
      <c r="AD496" s="35"/>
      <c r="AE496" s="35"/>
      <c r="AF496" s="35"/>
      <c r="AG496" s="35"/>
      <c r="AH496" s="35"/>
    </row>
    <row r="497">
      <c r="A497" s="35"/>
      <c r="B497" s="35"/>
      <c r="C497" s="35"/>
      <c r="D497" s="172"/>
      <c r="E497" s="21"/>
      <c r="F497" s="35"/>
      <c r="G497" s="35"/>
      <c r="H497" s="35"/>
      <c r="I497" s="35"/>
      <c r="J497" s="186"/>
      <c r="K497" s="110"/>
      <c r="L497" s="35"/>
      <c r="M497" s="172"/>
      <c r="N497" s="172"/>
      <c r="O497" s="35"/>
      <c r="P497" s="164"/>
      <c r="Q497" s="164"/>
      <c r="R497" s="164"/>
      <c r="S497" s="164"/>
      <c r="T497" s="164"/>
      <c r="U497" s="164"/>
      <c r="V497" s="35"/>
      <c r="W497" s="35"/>
      <c r="X497" s="35"/>
      <c r="Y497" s="35"/>
      <c r="Z497" s="35"/>
      <c r="AA497" s="35"/>
      <c r="AB497" s="35"/>
      <c r="AC497" s="35"/>
      <c r="AD497" s="35"/>
      <c r="AE497" s="35"/>
      <c r="AF497" s="35"/>
      <c r="AG497" s="35"/>
      <c r="AH497" s="35"/>
    </row>
    <row r="498">
      <c r="A498" s="35"/>
      <c r="B498" s="35"/>
      <c r="C498" s="35"/>
      <c r="D498" s="172"/>
      <c r="E498" s="21"/>
      <c r="F498" s="35"/>
      <c r="G498" s="35"/>
      <c r="H498" s="35"/>
      <c r="I498" s="35"/>
      <c r="J498" s="186"/>
      <c r="K498" s="110"/>
      <c r="L498" s="35"/>
      <c r="M498" s="172"/>
      <c r="N498" s="172"/>
      <c r="O498" s="35"/>
      <c r="P498" s="164"/>
      <c r="Q498" s="164"/>
      <c r="R498" s="164"/>
      <c r="S498" s="164"/>
      <c r="T498" s="164"/>
      <c r="U498" s="164"/>
      <c r="V498" s="35"/>
      <c r="W498" s="35"/>
      <c r="X498" s="35"/>
      <c r="Y498" s="35"/>
      <c r="Z498" s="35"/>
      <c r="AA498" s="35"/>
      <c r="AB498" s="35"/>
      <c r="AC498" s="35"/>
      <c r="AD498" s="35"/>
      <c r="AE498" s="35"/>
      <c r="AF498" s="35"/>
      <c r="AG498" s="35"/>
      <c r="AH498" s="35"/>
    </row>
    <row r="499">
      <c r="A499" s="35"/>
      <c r="B499" s="35"/>
      <c r="C499" s="35"/>
      <c r="D499" s="172"/>
      <c r="E499" s="21"/>
      <c r="F499" s="35"/>
      <c r="G499" s="35"/>
      <c r="H499" s="35"/>
      <c r="I499" s="35"/>
      <c r="J499" s="186"/>
      <c r="K499" s="110"/>
      <c r="L499" s="35"/>
      <c r="M499" s="172"/>
      <c r="N499" s="172"/>
      <c r="O499" s="35"/>
      <c r="P499" s="164"/>
      <c r="Q499" s="164"/>
      <c r="R499" s="164"/>
      <c r="S499" s="164"/>
      <c r="T499" s="164"/>
      <c r="U499" s="164"/>
      <c r="V499" s="35"/>
      <c r="W499" s="35"/>
      <c r="X499" s="35"/>
      <c r="Y499" s="35"/>
      <c r="Z499" s="35"/>
      <c r="AA499" s="35"/>
      <c r="AB499" s="35"/>
      <c r="AC499" s="35"/>
      <c r="AD499" s="35"/>
      <c r="AE499" s="35"/>
      <c r="AF499" s="35"/>
      <c r="AG499" s="35"/>
      <c r="AH499" s="35"/>
    </row>
    <row r="500">
      <c r="A500" s="35"/>
      <c r="B500" s="35"/>
      <c r="C500" s="35"/>
      <c r="D500" s="172"/>
      <c r="E500" s="21"/>
      <c r="F500" s="35"/>
      <c r="G500" s="35"/>
      <c r="H500" s="35"/>
      <c r="I500" s="35"/>
      <c r="J500" s="186"/>
      <c r="K500" s="110"/>
      <c r="L500" s="35"/>
      <c r="M500" s="172"/>
      <c r="N500" s="172"/>
      <c r="O500" s="35"/>
      <c r="P500" s="164"/>
      <c r="Q500" s="164"/>
      <c r="R500" s="164"/>
      <c r="S500" s="164"/>
      <c r="T500" s="164"/>
      <c r="U500" s="164"/>
      <c r="V500" s="35"/>
      <c r="W500" s="35"/>
      <c r="X500" s="35"/>
      <c r="Y500" s="35"/>
      <c r="Z500" s="35"/>
      <c r="AA500" s="35"/>
      <c r="AB500" s="35"/>
      <c r="AC500" s="35"/>
      <c r="AD500" s="35"/>
      <c r="AE500" s="35"/>
      <c r="AF500" s="35"/>
      <c r="AG500" s="35"/>
      <c r="AH500" s="35"/>
    </row>
    <row r="501">
      <c r="A501" s="35"/>
      <c r="B501" s="35"/>
      <c r="C501" s="35"/>
      <c r="D501" s="172"/>
      <c r="E501" s="21"/>
      <c r="F501" s="35"/>
      <c r="G501" s="35"/>
      <c r="H501" s="35"/>
      <c r="I501" s="35"/>
      <c r="J501" s="186"/>
      <c r="K501" s="110"/>
      <c r="L501" s="35"/>
      <c r="M501" s="172"/>
      <c r="N501" s="172"/>
      <c r="O501" s="35"/>
      <c r="P501" s="164"/>
      <c r="Q501" s="164"/>
      <c r="R501" s="164"/>
      <c r="S501" s="164"/>
      <c r="T501" s="164"/>
      <c r="U501" s="164"/>
      <c r="V501" s="35"/>
      <c r="W501" s="35"/>
      <c r="X501" s="35"/>
      <c r="Y501" s="35"/>
      <c r="Z501" s="35"/>
      <c r="AA501" s="35"/>
      <c r="AB501" s="35"/>
      <c r="AC501" s="35"/>
      <c r="AD501" s="35"/>
      <c r="AE501" s="35"/>
      <c r="AF501" s="35"/>
      <c r="AG501" s="35"/>
      <c r="AH501" s="35"/>
    </row>
    <row r="502">
      <c r="A502" s="35"/>
      <c r="B502" s="35"/>
      <c r="C502" s="35"/>
      <c r="D502" s="172"/>
      <c r="E502" s="21"/>
      <c r="F502" s="35"/>
      <c r="G502" s="35"/>
      <c r="H502" s="35"/>
      <c r="I502" s="35"/>
      <c r="J502" s="186"/>
      <c r="K502" s="110"/>
      <c r="L502" s="35"/>
      <c r="M502" s="172"/>
      <c r="N502" s="172"/>
      <c r="O502" s="35"/>
      <c r="P502" s="164"/>
      <c r="Q502" s="164"/>
      <c r="R502" s="164"/>
      <c r="S502" s="164"/>
      <c r="T502" s="164"/>
      <c r="U502" s="164"/>
      <c r="V502" s="35"/>
      <c r="W502" s="35"/>
      <c r="X502" s="35"/>
      <c r="Y502" s="35"/>
      <c r="Z502" s="35"/>
      <c r="AA502" s="35"/>
      <c r="AB502" s="35"/>
      <c r="AC502" s="35"/>
      <c r="AD502" s="35"/>
      <c r="AE502" s="35"/>
      <c r="AF502" s="35"/>
      <c r="AG502" s="35"/>
      <c r="AH502" s="35"/>
    </row>
    <row r="503">
      <c r="A503" s="35"/>
      <c r="B503" s="35"/>
      <c r="C503" s="35"/>
      <c r="D503" s="172"/>
      <c r="E503" s="21"/>
      <c r="F503" s="35"/>
      <c r="G503" s="35"/>
      <c r="H503" s="35"/>
      <c r="I503" s="35"/>
      <c r="J503" s="186"/>
      <c r="K503" s="110"/>
      <c r="L503" s="35"/>
      <c r="M503" s="172"/>
      <c r="N503" s="172"/>
      <c r="O503" s="35"/>
      <c r="P503" s="164"/>
      <c r="Q503" s="164"/>
      <c r="R503" s="164"/>
      <c r="S503" s="164"/>
      <c r="T503" s="164"/>
      <c r="U503" s="164"/>
      <c r="V503" s="35"/>
      <c r="W503" s="35"/>
      <c r="X503" s="35"/>
      <c r="Y503" s="35"/>
      <c r="Z503" s="35"/>
      <c r="AA503" s="35"/>
      <c r="AB503" s="35"/>
      <c r="AC503" s="35"/>
      <c r="AD503" s="35"/>
      <c r="AE503" s="35"/>
      <c r="AF503" s="35"/>
      <c r="AG503" s="35"/>
      <c r="AH503" s="35"/>
    </row>
    <row r="504">
      <c r="A504" s="35"/>
      <c r="B504" s="35"/>
      <c r="C504" s="35"/>
      <c r="D504" s="172"/>
      <c r="E504" s="21"/>
      <c r="F504" s="35"/>
      <c r="G504" s="35"/>
      <c r="H504" s="35"/>
      <c r="I504" s="35"/>
      <c r="J504" s="186"/>
      <c r="K504" s="110"/>
      <c r="L504" s="35"/>
      <c r="M504" s="172"/>
      <c r="N504" s="172"/>
      <c r="O504" s="35"/>
      <c r="P504" s="164"/>
      <c r="Q504" s="164"/>
      <c r="R504" s="164"/>
      <c r="S504" s="164"/>
      <c r="T504" s="164"/>
      <c r="U504" s="164"/>
      <c r="V504" s="35"/>
      <c r="W504" s="35"/>
      <c r="X504" s="35"/>
      <c r="Y504" s="35"/>
      <c r="Z504" s="35"/>
      <c r="AA504" s="35"/>
      <c r="AB504" s="35"/>
      <c r="AC504" s="35"/>
      <c r="AD504" s="35"/>
      <c r="AE504" s="35"/>
      <c r="AF504" s="35"/>
      <c r="AG504" s="35"/>
      <c r="AH504" s="35"/>
    </row>
    <row r="505">
      <c r="A505" s="35"/>
      <c r="B505" s="35"/>
      <c r="C505" s="35"/>
      <c r="D505" s="172"/>
      <c r="E505" s="21"/>
      <c r="F505" s="35"/>
      <c r="G505" s="35"/>
      <c r="H505" s="35"/>
      <c r="I505" s="35"/>
      <c r="J505" s="186"/>
      <c r="K505" s="110"/>
      <c r="L505" s="35"/>
      <c r="M505" s="172"/>
      <c r="N505" s="172"/>
      <c r="O505" s="35"/>
      <c r="P505" s="164"/>
      <c r="Q505" s="164"/>
      <c r="R505" s="164"/>
      <c r="S505" s="164"/>
      <c r="T505" s="164"/>
      <c r="U505" s="164"/>
      <c r="V505" s="35"/>
      <c r="W505" s="35"/>
      <c r="X505" s="35"/>
      <c r="Y505" s="35"/>
      <c r="Z505" s="35"/>
      <c r="AA505" s="35"/>
      <c r="AB505" s="35"/>
      <c r="AC505" s="35"/>
      <c r="AD505" s="35"/>
      <c r="AE505" s="35"/>
      <c r="AF505" s="35"/>
      <c r="AG505" s="35"/>
      <c r="AH505" s="35"/>
    </row>
    <row r="506">
      <c r="A506" s="35"/>
      <c r="B506" s="35"/>
      <c r="C506" s="35"/>
      <c r="D506" s="172"/>
      <c r="E506" s="21"/>
      <c r="F506" s="35"/>
      <c r="G506" s="35"/>
      <c r="H506" s="35"/>
      <c r="I506" s="35"/>
      <c r="J506" s="186"/>
      <c r="K506" s="110"/>
      <c r="L506" s="35"/>
      <c r="M506" s="172"/>
      <c r="N506" s="172"/>
      <c r="O506" s="35"/>
      <c r="P506" s="164"/>
      <c r="Q506" s="164"/>
      <c r="R506" s="164"/>
      <c r="S506" s="164"/>
      <c r="T506" s="164"/>
      <c r="U506" s="164"/>
      <c r="V506" s="35"/>
      <c r="W506" s="35"/>
      <c r="X506" s="35"/>
      <c r="Y506" s="35"/>
      <c r="Z506" s="35"/>
      <c r="AA506" s="35"/>
      <c r="AB506" s="35"/>
      <c r="AC506" s="35"/>
      <c r="AD506" s="35"/>
      <c r="AE506" s="35"/>
      <c r="AF506" s="35"/>
      <c r="AG506" s="35"/>
      <c r="AH506" s="35"/>
    </row>
    <row r="507">
      <c r="A507" s="35"/>
      <c r="B507" s="35"/>
      <c r="C507" s="35"/>
      <c r="D507" s="172"/>
      <c r="E507" s="21"/>
      <c r="F507" s="35"/>
      <c r="G507" s="35"/>
      <c r="H507" s="35"/>
      <c r="I507" s="35"/>
      <c r="J507" s="186"/>
      <c r="K507" s="110"/>
      <c r="L507" s="35"/>
      <c r="M507" s="172"/>
      <c r="N507" s="172"/>
      <c r="O507" s="35"/>
      <c r="P507" s="164"/>
      <c r="Q507" s="164"/>
      <c r="R507" s="164"/>
      <c r="S507" s="164"/>
      <c r="T507" s="164"/>
      <c r="U507" s="164"/>
      <c r="V507" s="35"/>
      <c r="W507" s="35"/>
      <c r="X507" s="35"/>
      <c r="Y507" s="35"/>
      <c r="Z507" s="35"/>
      <c r="AA507" s="35"/>
      <c r="AB507" s="35"/>
      <c r="AC507" s="35"/>
      <c r="AD507" s="35"/>
      <c r="AE507" s="35"/>
      <c r="AF507" s="35"/>
      <c r="AG507" s="35"/>
      <c r="AH507" s="35"/>
    </row>
    <row r="508">
      <c r="A508" s="35"/>
      <c r="B508" s="35"/>
      <c r="C508" s="35"/>
      <c r="D508" s="172"/>
      <c r="E508" s="21"/>
      <c r="F508" s="35"/>
      <c r="G508" s="35"/>
      <c r="H508" s="35"/>
      <c r="I508" s="35"/>
      <c r="J508" s="186"/>
      <c r="K508" s="110"/>
      <c r="L508" s="35"/>
      <c r="M508" s="172"/>
      <c r="N508" s="172"/>
      <c r="O508" s="35"/>
      <c r="P508" s="164"/>
      <c r="Q508" s="164"/>
      <c r="R508" s="164"/>
      <c r="S508" s="164"/>
      <c r="T508" s="164"/>
      <c r="U508" s="164"/>
      <c r="V508" s="35"/>
      <c r="W508" s="35"/>
      <c r="X508" s="35"/>
      <c r="Y508" s="35"/>
      <c r="Z508" s="35"/>
      <c r="AA508" s="35"/>
      <c r="AB508" s="35"/>
      <c r="AC508" s="35"/>
      <c r="AD508" s="35"/>
      <c r="AE508" s="35"/>
      <c r="AF508" s="35"/>
      <c r="AG508" s="35"/>
      <c r="AH508" s="35"/>
    </row>
    <row r="509">
      <c r="A509" s="35"/>
      <c r="B509" s="35"/>
      <c r="C509" s="35"/>
      <c r="D509" s="172"/>
      <c r="E509" s="21"/>
      <c r="F509" s="35"/>
      <c r="G509" s="35"/>
      <c r="H509" s="35"/>
      <c r="I509" s="35"/>
      <c r="J509" s="186"/>
      <c r="K509" s="110"/>
      <c r="L509" s="35"/>
      <c r="M509" s="172"/>
      <c r="N509" s="172"/>
      <c r="O509" s="35"/>
      <c r="P509" s="164"/>
      <c r="Q509" s="164"/>
      <c r="R509" s="164"/>
      <c r="S509" s="164"/>
      <c r="T509" s="164"/>
      <c r="U509" s="164"/>
      <c r="V509" s="35"/>
      <c r="W509" s="35"/>
      <c r="X509" s="35"/>
      <c r="Y509" s="35"/>
      <c r="Z509" s="35"/>
      <c r="AA509" s="35"/>
      <c r="AB509" s="35"/>
      <c r="AC509" s="35"/>
      <c r="AD509" s="35"/>
      <c r="AE509" s="35"/>
      <c r="AF509" s="35"/>
      <c r="AG509" s="35"/>
      <c r="AH509" s="35"/>
    </row>
    <row r="510">
      <c r="A510" s="35"/>
      <c r="B510" s="35"/>
      <c r="C510" s="35"/>
      <c r="D510" s="172"/>
      <c r="E510" s="21"/>
      <c r="F510" s="35"/>
      <c r="G510" s="35"/>
      <c r="H510" s="35"/>
      <c r="I510" s="35"/>
      <c r="J510" s="186"/>
      <c r="K510" s="110"/>
      <c r="L510" s="35"/>
      <c r="M510" s="172"/>
      <c r="N510" s="172"/>
      <c r="O510" s="35"/>
      <c r="P510" s="164"/>
      <c r="Q510" s="164"/>
      <c r="R510" s="164"/>
      <c r="S510" s="164"/>
      <c r="T510" s="164"/>
      <c r="U510" s="164"/>
      <c r="V510" s="35"/>
      <c r="W510" s="35"/>
      <c r="X510" s="35"/>
      <c r="Y510" s="35"/>
      <c r="Z510" s="35"/>
      <c r="AA510" s="35"/>
      <c r="AB510" s="35"/>
      <c r="AC510" s="35"/>
      <c r="AD510" s="35"/>
      <c r="AE510" s="35"/>
      <c r="AF510" s="35"/>
      <c r="AG510" s="35"/>
      <c r="AH510" s="35"/>
    </row>
    <row r="511">
      <c r="A511" s="35"/>
      <c r="B511" s="35"/>
      <c r="C511" s="35"/>
      <c r="D511" s="172"/>
      <c r="E511" s="21"/>
      <c r="F511" s="35"/>
      <c r="G511" s="35"/>
      <c r="H511" s="35"/>
      <c r="I511" s="35"/>
      <c r="J511" s="186"/>
      <c r="K511" s="110"/>
      <c r="L511" s="35"/>
      <c r="M511" s="172"/>
      <c r="N511" s="172"/>
      <c r="O511" s="35"/>
      <c r="P511" s="164"/>
      <c r="Q511" s="164"/>
      <c r="R511" s="164"/>
      <c r="S511" s="164"/>
      <c r="T511" s="164"/>
      <c r="U511" s="164"/>
      <c r="V511" s="35"/>
      <c r="W511" s="35"/>
      <c r="X511" s="35"/>
      <c r="Y511" s="35"/>
      <c r="Z511" s="35"/>
      <c r="AA511" s="35"/>
      <c r="AB511" s="35"/>
      <c r="AC511" s="35"/>
      <c r="AD511" s="35"/>
      <c r="AE511" s="35"/>
      <c r="AF511" s="35"/>
      <c r="AG511" s="35"/>
      <c r="AH511" s="35"/>
    </row>
    <row r="512">
      <c r="A512" s="35"/>
      <c r="B512" s="35"/>
      <c r="C512" s="35"/>
      <c r="D512" s="172"/>
      <c r="E512" s="21"/>
      <c r="F512" s="35"/>
      <c r="G512" s="35"/>
      <c r="H512" s="35"/>
      <c r="I512" s="35"/>
      <c r="J512" s="186"/>
      <c r="K512" s="110"/>
      <c r="L512" s="35"/>
      <c r="M512" s="172"/>
      <c r="N512" s="172"/>
      <c r="O512" s="35"/>
      <c r="P512" s="164"/>
      <c r="Q512" s="164"/>
      <c r="R512" s="164"/>
      <c r="S512" s="164"/>
      <c r="T512" s="164"/>
      <c r="U512" s="164"/>
      <c r="V512" s="35"/>
      <c r="W512" s="35"/>
      <c r="X512" s="35"/>
      <c r="Y512" s="35"/>
      <c r="Z512" s="35"/>
      <c r="AA512" s="35"/>
      <c r="AB512" s="35"/>
      <c r="AC512" s="35"/>
      <c r="AD512" s="35"/>
      <c r="AE512" s="35"/>
      <c r="AF512" s="35"/>
      <c r="AG512" s="35"/>
      <c r="AH512" s="35"/>
    </row>
    <row r="513">
      <c r="A513" s="35"/>
      <c r="B513" s="35"/>
      <c r="C513" s="35"/>
      <c r="D513" s="172"/>
      <c r="E513" s="21"/>
      <c r="F513" s="35"/>
      <c r="G513" s="35"/>
      <c r="H513" s="35"/>
      <c r="I513" s="35"/>
      <c r="J513" s="186"/>
      <c r="K513" s="110"/>
      <c r="L513" s="35"/>
      <c r="M513" s="172"/>
      <c r="N513" s="172"/>
      <c r="O513" s="35"/>
      <c r="P513" s="164"/>
      <c r="Q513" s="164"/>
      <c r="R513" s="164"/>
      <c r="S513" s="164"/>
      <c r="T513" s="164"/>
      <c r="U513" s="164"/>
      <c r="V513" s="35"/>
      <c r="W513" s="35"/>
      <c r="X513" s="35"/>
      <c r="Y513" s="35"/>
      <c r="Z513" s="35"/>
      <c r="AA513" s="35"/>
      <c r="AB513" s="35"/>
      <c r="AC513" s="35"/>
      <c r="AD513" s="35"/>
      <c r="AE513" s="35"/>
      <c r="AF513" s="35"/>
      <c r="AG513" s="35"/>
      <c r="AH513" s="35"/>
    </row>
    <row r="514">
      <c r="A514" s="35"/>
      <c r="B514" s="35"/>
      <c r="C514" s="35"/>
      <c r="D514" s="172"/>
      <c r="E514" s="21"/>
      <c r="F514" s="35"/>
      <c r="G514" s="35"/>
      <c r="H514" s="35"/>
      <c r="I514" s="35"/>
      <c r="J514" s="186"/>
      <c r="K514" s="110"/>
      <c r="L514" s="35"/>
      <c r="M514" s="172"/>
      <c r="N514" s="172"/>
      <c r="O514" s="35"/>
      <c r="P514" s="164"/>
      <c r="Q514" s="164"/>
      <c r="R514" s="164"/>
      <c r="S514" s="164"/>
      <c r="T514" s="164"/>
      <c r="U514" s="164"/>
      <c r="V514" s="35"/>
      <c r="W514" s="35"/>
      <c r="X514" s="35"/>
      <c r="Y514" s="35"/>
      <c r="Z514" s="35"/>
      <c r="AA514" s="35"/>
      <c r="AB514" s="35"/>
      <c r="AC514" s="35"/>
      <c r="AD514" s="35"/>
      <c r="AE514" s="35"/>
      <c r="AF514" s="35"/>
      <c r="AG514" s="35"/>
      <c r="AH514" s="35"/>
    </row>
    <row r="515">
      <c r="A515" s="35"/>
      <c r="B515" s="35"/>
      <c r="C515" s="35"/>
      <c r="D515" s="172"/>
      <c r="E515" s="21"/>
      <c r="F515" s="35"/>
      <c r="G515" s="35"/>
      <c r="H515" s="35"/>
      <c r="I515" s="35"/>
      <c r="J515" s="186"/>
      <c r="K515" s="110"/>
      <c r="L515" s="35"/>
      <c r="M515" s="172"/>
      <c r="N515" s="172"/>
      <c r="O515" s="35"/>
      <c r="P515" s="164"/>
      <c r="Q515" s="164"/>
      <c r="R515" s="164"/>
      <c r="S515" s="164"/>
      <c r="T515" s="164"/>
      <c r="U515" s="164"/>
      <c r="V515" s="35"/>
      <c r="W515" s="35"/>
      <c r="X515" s="35"/>
      <c r="Y515" s="35"/>
      <c r="Z515" s="35"/>
      <c r="AA515" s="35"/>
      <c r="AB515" s="35"/>
      <c r="AC515" s="35"/>
      <c r="AD515" s="35"/>
      <c r="AE515" s="35"/>
      <c r="AF515" s="35"/>
      <c r="AG515" s="35"/>
      <c r="AH515" s="35"/>
    </row>
    <row r="516">
      <c r="A516" s="35"/>
      <c r="B516" s="35"/>
      <c r="C516" s="35"/>
      <c r="D516" s="172"/>
      <c r="E516" s="21"/>
      <c r="F516" s="35"/>
      <c r="G516" s="35"/>
      <c r="H516" s="35"/>
      <c r="I516" s="35"/>
      <c r="J516" s="186"/>
      <c r="K516" s="110"/>
      <c r="L516" s="35"/>
      <c r="M516" s="172"/>
      <c r="N516" s="172"/>
      <c r="O516" s="35"/>
      <c r="P516" s="164"/>
      <c r="Q516" s="164"/>
      <c r="R516" s="164"/>
      <c r="S516" s="164"/>
      <c r="T516" s="164"/>
      <c r="U516" s="164"/>
      <c r="V516" s="35"/>
      <c r="W516" s="35"/>
      <c r="X516" s="35"/>
      <c r="Y516" s="35"/>
      <c r="Z516" s="35"/>
      <c r="AA516" s="35"/>
      <c r="AB516" s="35"/>
      <c r="AC516" s="35"/>
      <c r="AD516" s="35"/>
      <c r="AE516" s="35"/>
      <c r="AF516" s="35"/>
      <c r="AG516" s="35"/>
      <c r="AH516" s="35"/>
    </row>
    <row r="517">
      <c r="A517" s="35"/>
      <c r="B517" s="35"/>
      <c r="C517" s="35"/>
      <c r="D517" s="172"/>
      <c r="E517" s="21"/>
      <c r="F517" s="35"/>
      <c r="G517" s="35"/>
      <c r="H517" s="35"/>
      <c r="I517" s="35"/>
      <c r="J517" s="186"/>
      <c r="K517" s="110"/>
      <c r="L517" s="35"/>
      <c r="M517" s="172"/>
      <c r="N517" s="172"/>
      <c r="O517" s="35"/>
      <c r="P517" s="164"/>
      <c r="Q517" s="164"/>
      <c r="R517" s="164"/>
      <c r="S517" s="164"/>
      <c r="T517" s="164"/>
      <c r="U517" s="164"/>
      <c r="V517" s="35"/>
      <c r="W517" s="35"/>
      <c r="X517" s="35"/>
      <c r="Y517" s="35"/>
      <c r="Z517" s="35"/>
      <c r="AA517" s="35"/>
      <c r="AB517" s="35"/>
      <c r="AC517" s="35"/>
      <c r="AD517" s="35"/>
      <c r="AE517" s="35"/>
      <c r="AF517" s="35"/>
      <c r="AG517" s="35"/>
      <c r="AH517" s="35"/>
    </row>
    <row r="518">
      <c r="A518" s="35"/>
      <c r="B518" s="35"/>
      <c r="C518" s="35"/>
      <c r="D518" s="172"/>
      <c r="E518" s="21"/>
      <c r="F518" s="35"/>
      <c r="G518" s="35"/>
      <c r="H518" s="35"/>
      <c r="I518" s="35"/>
      <c r="J518" s="186"/>
      <c r="K518" s="110"/>
      <c r="L518" s="35"/>
      <c r="M518" s="172"/>
      <c r="N518" s="172"/>
      <c r="O518" s="35"/>
      <c r="P518" s="164"/>
      <c r="Q518" s="164"/>
      <c r="R518" s="164"/>
      <c r="S518" s="164"/>
      <c r="T518" s="164"/>
      <c r="U518" s="164"/>
      <c r="V518" s="35"/>
      <c r="W518" s="35"/>
      <c r="X518" s="35"/>
      <c r="Y518" s="35"/>
      <c r="Z518" s="35"/>
      <c r="AA518" s="35"/>
      <c r="AB518" s="35"/>
      <c r="AC518" s="35"/>
      <c r="AD518" s="35"/>
      <c r="AE518" s="35"/>
      <c r="AF518" s="35"/>
      <c r="AG518" s="35"/>
      <c r="AH518" s="35"/>
    </row>
    <row r="519">
      <c r="A519" s="35"/>
      <c r="B519" s="35"/>
      <c r="C519" s="35"/>
      <c r="D519" s="172"/>
      <c r="E519" s="21"/>
      <c r="F519" s="35"/>
      <c r="G519" s="35"/>
      <c r="H519" s="35"/>
      <c r="I519" s="35"/>
      <c r="J519" s="186"/>
      <c r="K519" s="110"/>
      <c r="L519" s="35"/>
      <c r="M519" s="172"/>
      <c r="N519" s="172"/>
      <c r="O519" s="35"/>
      <c r="P519" s="164"/>
      <c r="Q519" s="164"/>
      <c r="R519" s="164"/>
      <c r="S519" s="164"/>
      <c r="T519" s="164"/>
      <c r="U519" s="164"/>
      <c r="V519" s="35"/>
      <c r="W519" s="35"/>
      <c r="X519" s="35"/>
      <c r="Y519" s="35"/>
      <c r="Z519" s="35"/>
      <c r="AA519" s="35"/>
      <c r="AB519" s="35"/>
      <c r="AC519" s="35"/>
      <c r="AD519" s="35"/>
      <c r="AE519" s="35"/>
      <c r="AF519" s="35"/>
      <c r="AG519" s="35"/>
      <c r="AH519" s="35"/>
    </row>
    <row r="520">
      <c r="A520" s="35"/>
      <c r="B520" s="35"/>
      <c r="C520" s="35"/>
      <c r="D520" s="172"/>
      <c r="E520" s="21"/>
      <c r="F520" s="35"/>
      <c r="G520" s="35"/>
      <c r="H520" s="35"/>
      <c r="I520" s="35"/>
      <c r="J520" s="186"/>
      <c r="K520" s="110"/>
      <c r="L520" s="35"/>
      <c r="M520" s="172"/>
      <c r="N520" s="172"/>
      <c r="O520" s="35"/>
      <c r="P520" s="164"/>
      <c r="Q520" s="164"/>
      <c r="R520" s="164"/>
      <c r="S520" s="164"/>
      <c r="T520" s="164"/>
      <c r="U520" s="164"/>
      <c r="V520" s="35"/>
      <c r="W520" s="35"/>
      <c r="X520" s="35"/>
      <c r="Y520" s="35"/>
      <c r="Z520" s="35"/>
      <c r="AA520" s="35"/>
      <c r="AB520" s="35"/>
      <c r="AC520" s="35"/>
      <c r="AD520" s="35"/>
      <c r="AE520" s="35"/>
      <c r="AF520" s="35"/>
      <c r="AG520" s="35"/>
      <c r="AH520" s="35"/>
    </row>
    <row r="521">
      <c r="A521" s="35"/>
      <c r="B521" s="35"/>
      <c r="C521" s="35"/>
      <c r="D521" s="172"/>
      <c r="E521" s="21"/>
      <c r="F521" s="35"/>
      <c r="G521" s="35"/>
      <c r="H521" s="35"/>
      <c r="I521" s="35"/>
      <c r="J521" s="186"/>
      <c r="K521" s="110"/>
      <c r="L521" s="35"/>
      <c r="M521" s="172"/>
      <c r="N521" s="172"/>
      <c r="O521" s="35"/>
      <c r="P521" s="164"/>
      <c r="Q521" s="164"/>
      <c r="R521" s="164"/>
      <c r="S521" s="164"/>
      <c r="T521" s="164"/>
      <c r="U521" s="164"/>
      <c r="V521" s="35"/>
      <c r="W521" s="35"/>
      <c r="X521" s="35"/>
      <c r="Y521" s="35"/>
      <c r="Z521" s="35"/>
      <c r="AA521" s="35"/>
      <c r="AB521" s="35"/>
      <c r="AC521" s="35"/>
      <c r="AD521" s="35"/>
      <c r="AE521" s="35"/>
      <c r="AF521" s="35"/>
      <c r="AG521" s="35"/>
      <c r="AH521" s="35"/>
    </row>
    <row r="522">
      <c r="A522" s="35"/>
      <c r="B522" s="35"/>
      <c r="C522" s="35"/>
      <c r="D522" s="172"/>
      <c r="E522" s="21"/>
      <c r="F522" s="35"/>
      <c r="G522" s="35"/>
      <c r="H522" s="35"/>
      <c r="I522" s="35"/>
      <c r="J522" s="186"/>
      <c r="K522" s="110"/>
      <c r="L522" s="35"/>
      <c r="M522" s="172"/>
      <c r="N522" s="172"/>
      <c r="O522" s="35"/>
      <c r="P522" s="164"/>
      <c r="Q522" s="164"/>
      <c r="R522" s="164"/>
      <c r="S522" s="164"/>
      <c r="T522" s="164"/>
      <c r="U522" s="164"/>
      <c r="V522" s="35"/>
      <c r="W522" s="35"/>
      <c r="X522" s="35"/>
      <c r="Y522" s="35"/>
      <c r="Z522" s="35"/>
      <c r="AA522" s="35"/>
      <c r="AB522" s="35"/>
      <c r="AC522" s="35"/>
      <c r="AD522" s="35"/>
      <c r="AE522" s="35"/>
      <c r="AF522" s="35"/>
      <c r="AG522" s="35"/>
      <c r="AH522" s="35"/>
    </row>
    <row r="523">
      <c r="A523" s="35"/>
      <c r="B523" s="35"/>
      <c r="C523" s="35"/>
      <c r="D523" s="172"/>
      <c r="E523" s="21"/>
      <c r="F523" s="35"/>
      <c r="G523" s="35"/>
      <c r="H523" s="35"/>
      <c r="I523" s="35"/>
      <c r="J523" s="186"/>
      <c r="K523" s="110"/>
      <c r="L523" s="35"/>
      <c r="M523" s="172"/>
      <c r="N523" s="172"/>
      <c r="O523" s="35"/>
      <c r="P523" s="164"/>
      <c r="Q523" s="164"/>
      <c r="R523" s="164"/>
      <c r="S523" s="164"/>
      <c r="T523" s="164"/>
      <c r="U523" s="164"/>
      <c r="V523" s="35"/>
      <c r="W523" s="35"/>
      <c r="X523" s="35"/>
      <c r="Y523" s="35"/>
      <c r="Z523" s="35"/>
      <c r="AA523" s="35"/>
      <c r="AB523" s="35"/>
      <c r="AC523" s="35"/>
      <c r="AD523" s="35"/>
      <c r="AE523" s="35"/>
      <c r="AF523" s="35"/>
      <c r="AG523" s="35"/>
      <c r="AH523" s="35"/>
    </row>
    <row r="524">
      <c r="A524" s="35"/>
      <c r="B524" s="35"/>
      <c r="C524" s="35"/>
      <c r="D524" s="172"/>
      <c r="E524" s="21"/>
      <c r="F524" s="35"/>
      <c r="G524" s="35"/>
      <c r="H524" s="35"/>
      <c r="I524" s="35"/>
      <c r="J524" s="186"/>
      <c r="K524" s="110"/>
      <c r="L524" s="35"/>
      <c r="M524" s="172"/>
      <c r="N524" s="172"/>
      <c r="O524" s="35"/>
      <c r="P524" s="164"/>
      <c r="Q524" s="164"/>
      <c r="R524" s="164"/>
      <c r="S524" s="164"/>
      <c r="T524" s="164"/>
      <c r="U524" s="164"/>
      <c r="V524" s="35"/>
      <c r="W524" s="35"/>
      <c r="X524" s="35"/>
      <c r="Y524" s="35"/>
      <c r="Z524" s="35"/>
      <c r="AA524" s="35"/>
      <c r="AB524" s="35"/>
      <c r="AC524" s="35"/>
      <c r="AD524" s="35"/>
      <c r="AE524" s="35"/>
      <c r="AF524" s="35"/>
      <c r="AG524" s="35"/>
      <c r="AH524" s="35"/>
    </row>
    <row r="525">
      <c r="A525" s="35"/>
      <c r="B525" s="35"/>
      <c r="C525" s="35"/>
      <c r="D525" s="172"/>
      <c r="E525" s="21"/>
      <c r="F525" s="35"/>
      <c r="G525" s="35"/>
      <c r="H525" s="35"/>
      <c r="I525" s="35"/>
      <c r="J525" s="186"/>
      <c r="K525" s="110"/>
      <c r="L525" s="35"/>
      <c r="M525" s="172"/>
      <c r="N525" s="172"/>
      <c r="O525" s="35"/>
      <c r="P525" s="164"/>
      <c r="Q525" s="164"/>
      <c r="R525" s="164"/>
      <c r="S525" s="164"/>
      <c r="T525" s="164"/>
      <c r="U525" s="164"/>
      <c r="V525" s="35"/>
      <c r="W525" s="35"/>
      <c r="X525" s="35"/>
      <c r="Y525" s="35"/>
      <c r="Z525" s="35"/>
      <c r="AA525" s="35"/>
      <c r="AB525" s="35"/>
      <c r="AC525" s="35"/>
      <c r="AD525" s="35"/>
      <c r="AE525" s="35"/>
      <c r="AF525" s="35"/>
      <c r="AG525" s="35"/>
      <c r="AH525" s="35"/>
    </row>
    <row r="526">
      <c r="A526" s="35"/>
      <c r="B526" s="35"/>
      <c r="C526" s="35"/>
      <c r="D526" s="172"/>
      <c r="E526" s="21"/>
      <c r="F526" s="35"/>
      <c r="G526" s="35"/>
      <c r="H526" s="35"/>
      <c r="I526" s="35"/>
      <c r="J526" s="186"/>
      <c r="K526" s="110"/>
      <c r="L526" s="35"/>
      <c r="M526" s="172"/>
      <c r="N526" s="172"/>
      <c r="O526" s="35"/>
      <c r="P526" s="164"/>
      <c r="Q526" s="164"/>
      <c r="R526" s="164"/>
      <c r="S526" s="164"/>
      <c r="T526" s="164"/>
      <c r="U526" s="164"/>
      <c r="V526" s="35"/>
      <c r="W526" s="35"/>
      <c r="X526" s="35"/>
      <c r="Y526" s="35"/>
      <c r="Z526" s="35"/>
      <c r="AA526" s="35"/>
      <c r="AB526" s="35"/>
      <c r="AC526" s="35"/>
      <c r="AD526" s="35"/>
      <c r="AE526" s="35"/>
      <c r="AF526" s="35"/>
      <c r="AG526" s="35"/>
      <c r="AH526" s="35"/>
    </row>
    <row r="527">
      <c r="A527" s="35"/>
      <c r="B527" s="35"/>
      <c r="C527" s="35"/>
      <c r="D527" s="172"/>
      <c r="E527" s="21"/>
      <c r="F527" s="35"/>
      <c r="G527" s="35"/>
      <c r="H527" s="35"/>
      <c r="I527" s="35"/>
      <c r="J527" s="186"/>
      <c r="K527" s="110"/>
      <c r="L527" s="35"/>
      <c r="M527" s="172"/>
      <c r="N527" s="172"/>
      <c r="O527" s="35"/>
      <c r="P527" s="164"/>
      <c r="Q527" s="164"/>
      <c r="R527" s="164"/>
      <c r="S527" s="164"/>
      <c r="T527" s="164"/>
      <c r="U527" s="164"/>
      <c r="V527" s="35"/>
      <c r="W527" s="35"/>
      <c r="X527" s="35"/>
      <c r="Y527" s="35"/>
      <c r="Z527" s="35"/>
      <c r="AA527" s="35"/>
      <c r="AB527" s="35"/>
      <c r="AC527" s="35"/>
      <c r="AD527" s="35"/>
      <c r="AE527" s="35"/>
      <c r="AF527" s="35"/>
      <c r="AG527" s="35"/>
      <c r="AH527" s="35"/>
    </row>
    <row r="528">
      <c r="A528" s="35"/>
      <c r="B528" s="35"/>
      <c r="C528" s="35"/>
      <c r="D528" s="172"/>
      <c r="E528" s="21"/>
      <c r="F528" s="35"/>
      <c r="G528" s="35"/>
      <c r="H528" s="35"/>
      <c r="I528" s="35"/>
      <c r="J528" s="186"/>
      <c r="K528" s="110"/>
      <c r="L528" s="35"/>
      <c r="M528" s="172"/>
      <c r="N528" s="172"/>
      <c r="O528" s="35"/>
      <c r="P528" s="164"/>
      <c r="Q528" s="164"/>
      <c r="R528" s="164"/>
      <c r="S528" s="164"/>
      <c r="T528" s="164"/>
      <c r="U528" s="164"/>
      <c r="V528" s="35"/>
      <c r="W528" s="35"/>
      <c r="X528" s="35"/>
      <c r="Y528" s="35"/>
      <c r="Z528" s="35"/>
      <c r="AA528" s="35"/>
      <c r="AB528" s="35"/>
      <c r="AC528" s="35"/>
      <c r="AD528" s="35"/>
      <c r="AE528" s="35"/>
      <c r="AF528" s="35"/>
      <c r="AG528" s="35"/>
      <c r="AH528" s="35"/>
    </row>
    <row r="529">
      <c r="A529" s="35"/>
      <c r="B529" s="35"/>
      <c r="C529" s="35"/>
      <c r="D529" s="172"/>
      <c r="E529" s="21"/>
      <c r="F529" s="35"/>
      <c r="G529" s="35"/>
      <c r="H529" s="35"/>
      <c r="I529" s="35"/>
      <c r="J529" s="186"/>
      <c r="K529" s="110"/>
      <c r="L529" s="35"/>
      <c r="M529" s="172"/>
      <c r="N529" s="172"/>
      <c r="O529" s="35"/>
      <c r="P529" s="164"/>
      <c r="Q529" s="164"/>
      <c r="R529" s="164"/>
      <c r="S529" s="164"/>
      <c r="T529" s="164"/>
      <c r="U529" s="164"/>
      <c r="V529" s="35"/>
      <c r="W529" s="35"/>
      <c r="X529" s="35"/>
      <c r="Y529" s="35"/>
      <c r="Z529" s="35"/>
      <c r="AA529" s="35"/>
      <c r="AB529" s="35"/>
      <c r="AC529" s="35"/>
      <c r="AD529" s="35"/>
      <c r="AE529" s="35"/>
      <c r="AF529" s="35"/>
      <c r="AG529" s="35"/>
      <c r="AH529" s="35"/>
    </row>
    <row r="530">
      <c r="A530" s="35"/>
      <c r="B530" s="35"/>
      <c r="C530" s="35"/>
      <c r="D530" s="172"/>
      <c r="E530" s="21"/>
      <c r="F530" s="35"/>
      <c r="G530" s="35"/>
      <c r="H530" s="35"/>
      <c r="I530" s="35"/>
      <c r="J530" s="186"/>
      <c r="K530" s="110"/>
      <c r="L530" s="35"/>
      <c r="M530" s="172"/>
      <c r="N530" s="172"/>
      <c r="O530" s="35"/>
      <c r="P530" s="164"/>
      <c r="Q530" s="164"/>
      <c r="R530" s="164"/>
      <c r="S530" s="164"/>
      <c r="T530" s="164"/>
      <c r="U530" s="164"/>
      <c r="V530" s="35"/>
      <c r="W530" s="35"/>
      <c r="X530" s="35"/>
      <c r="Y530" s="35"/>
      <c r="Z530" s="35"/>
      <c r="AA530" s="35"/>
      <c r="AB530" s="35"/>
      <c r="AC530" s="35"/>
      <c r="AD530" s="35"/>
      <c r="AE530" s="35"/>
      <c r="AF530" s="35"/>
      <c r="AG530" s="35"/>
      <c r="AH530" s="35"/>
    </row>
    <row r="531">
      <c r="A531" s="35"/>
      <c r="B531" s="35"/>
      <c r="C531" s="35"/>
      <c r="D531" s="172"/>
      <c r="E531" s="21"/>
      <c r="F531" s="35"/>
      <c r="G531" s="35"/>
      <c r="H531" s="35"/>
      <c r="I531" s="35"/>
      <c r="J531" s="186"/>
      <c r="K531" s="110"/>
      <c r="L531" s="35"/>
      <c r="M531" s="172"/>
      <c r="N531" s="172"/>
      <c r="O531" s="35"/>
      <c r="P531" s="164"/>
      <c r="Q531" s="164"/>
      <c r="R531" s="164"/>
      <c r="S531" s="164"/>
      <c r="T531" s="164"/>
      <c r="U531" s="164"/>
      <c r="V531" s="35"/>
      <c r="W531" s="35"/>
      <c r="X531" s="35"/>
      <c r="Y531" s="35"/>
      <c r="Z531" s="35"/>
      <c r="AA531" s="35"/>
      <c r="AB531" s="35"/>
      <c r="AC531" s="35"/>
      <c r="AD531" s="35"/>
      <c r="AE531" s="35"/>
      <c r="AF531" s="35"/>
      <c r="AG531" s="35"/>
      <c r="AH531" s="35"/>
    </row>
    <row r="532">
      <c r="A532" s="35"/>
      <c r="B532" s="35"/>
      <c r="C532" s="35"/>
      <c r="D532" s="172"/>
      <c r="E532" s="21"/>
      <c r="F532" s="35"/>
      <c r="G532" s="35"/>
      <c r="H532" s="35"/>
      <c r="I532" s="35"/>
      <c r="J532" s="186"/>
      <c r="K532" s="110"/>
      <c r="L532" s="35"/>
      <c r="M532" s="172"/>
      <c r="N532" s="172"/>
      <c r="O532" s="35"/>
      <c r="P532" s="164"/>
      <c r="Q532" s="164"/>
      <c r="R532" s="164"/>
      <c r="S532" s="164"/>
      <c r="T532" s="164"/>
      <c r="U532" s="164"/>
      <c r="V532" s="35"/>
      <c r="W532" s="35"/>
      <c r="X532" s="35"/>
      <c r="Y532" s="35"/>
      <c r="Z532" s="35"/>
      <c r="AA532" s="35"/>
      <c r="AB532" s="35"/>
      <c r="AC532" s="35"/>
      <c r="AD532" s="35"/>
      <c r="AE532" s="35"/>
      <c r="AF532" s="35"/>
      <c r="AG532" s="35"/>
      <c r="AH532" s="35"/>
    </row>
    <row r="533">
      <c r="A533" s="35"/>
      <c r="B533" s="35"/>
      <c r="C533" s="35"/>
      <c r="D533" s="172"/>
      <c r="E533" s="21"/>
      <c r="F533" s="35"/>
      <c r="G533" s="35"/>
      <c r="H533" s="35"/>
      <c r="I533" s="35"/>
      <c r="J533" s="186"/>
      <c r="K533" s="110"/>
      <c r="L533" s="35"/>
      <c r="M533" s="172"/>
      <c r="N533" s="172"/>
      <c r="O533" s="35"/>
      <c r="P533" s="164"/>
      <c r="Q533" s="164"/>
      <c r="R533" s="164"/>
      <c r="S533" s="164"/>
      <c r="T533" s="164"/>
      <c r="U533" s="164"/>
      <c r="V533" s="35"/>
      <c r="W533" s="35"/>
      <c r="X533" s="35"/>
      <c r="Y533" s="35"/>
      <c r="Z533" s="35"/>
      <c r="AA533" s="35"/>
      <c r="AB533" s="35"/>
      <c r="AC533" s="35"/>
      <c r="AD533" s="35"/>
      <c r="AE533" s="35"/>
      <c r="AF533" s="35"/>
      <c r="AG533" s="35"/>
      <c r="AH533" s="35"/>
    </row>
    <row r="534">
      <c r="A534" s="35"/>
      <c r="B534" s="35"/>
      <c r="C534" s="35"/>
      <c r="D534" s="172"/>
      <c r="E534" s="21"/>
      <c r="F534" s="35"/>
      <c r="G534" s="35"/>
      <c r="H534" s="35"/>
      <c r="I534" s="35"/>
      <c r="J534" s="186"/>
      <c r="K534" s="110"/>
      <c r="L534" s="35"/>
      <c r="M534" s="172"/>
      <c r="N534" s="172"/>
      <c r="O534" s="35"/>
      <c r="P534" s="164"/>
      <c r="Q534" s="164"/>
      <c r="R534" s="164"/>
      <c r="S534" s="164"/>
      <c r="T534" s="164"/>
      <c r="U534" s="164"/>
      <c r="V534" s="35"/>
      <c r="W534" s="35"/>
      <c r="X534" s="35"/>
      <c r="Y534" s="35"/>
      <c r="Z534" s="35"/>
      <c r="AA534" s="35"/>
      <c r="AB534" s="35"/>
      <c r="AC534" s="35"/>
      <c r="AD534" s="35"/>
      <c r="AE534" s="35"/>
      <c r="AF534" s="35"/>
      <c r="AG534" s="35"/>
      <c r="AH534" s="35"/>
    </row>
    <row r="535">
      <c r="A535" s="35"/>
      <c r="B535" s="35"/>
      <c r="C535" s="35"/>
      <c r="D535" s="172"/>
      <c r="E535" s="21"/>
      <c r="F535" s="35"/>
      <c r="G535" s="35"/>
      <c r="H535" s="35"/>
      <c r="I535" s="35"/>
      <c r="J535" s="186"/>
      <c r="K535" s="110"/>
      <c r="L535" s="35"/>
      <c r="M535" s="172"/>
      <c r="N535" s="172"/>
      <c r="O535" s="35"/>
      <c r="P535" s="164"/>
      <c r="Q535" s="164"/>
      <c r="R535" s="164"/>
      <c r="S535" s="164"/>
      <c r="T535" s="164"/>
      <c r="U535" s="164"/>
      <c r="V535" s="35"/>
      <c r="W535" s="35"/>
      <c r="X535" s="35"/>
      <c r="Y535" s="35"/>
      <c r="Z535" s="35"/>
      <c r="AA535" s="35"/>
      <c r="AB535" s="35"/>
      <c r="AC535" s="35"/>
      <c r="AD535" s="35"/>
      <c r="AE535" s="35"/>
      <c r="AF535" s="35"/>
      <c r="AG535" s="35"/>
      <c r="AH535" s="35"/>
    </row>
    <row r="536">
      <c r="A536" s="35"/>
      <c r="B536" s="35"/>
      <c r="C536" s="35"/>
      <c r="D536" s="172"/>
      <c r="E536" s="21"/>
      <c r="F536" s="35"/>
      <c r="G536" s="35"/>
      <c r="H536" s="35"/>
      <c r="I536" s="35"/>
      <c r="J536" s="186"/>
      <c r="K536" s="110"/>
      <c r="L536" s="35"/>
      <c r="M536" s="172"/>
      <c r="N536" s="172"/>
      <c r="O536" s="35"/>
      <c r="P536" s="164"/>
      <c r="Q536" s="164"/>
      <c r="R536" s="164"/>
      <c r="S536" s="164"/>
      <c r="T536" s="164"/>
      <c r="U536" s="164"/>
      <c r="V536" s="35"/>
      <c r="W536" s="35"/>
      <c r="X536" s="35"/>
      <c r="Y536" s="35"/>
      <c r="Z536" s="35"/>
      <c r="AA536" s="35"/>
      <c r="AB536" s="35"/>
      <c r="AC536" s="35"/>
      <c r="AD536" s="35"/>
      <c r="AE536" s="35"/>
      <c r="AF536" s="35"/>
      <c r="AG536" s="35"/>
      <c r="AH536" s="35"/>
    </row>
    <row r="537">
      <c r="A537" s="35"/>
      <c r="B537" s="35"/>
      <c r="C537" s="35"/>
      <c r="D537" s="172"/>
      <c r="E537" s="21"/>
      <c r="F537" s="35"/>
      <c r="G537" s="35"/>
      <c r="H537" s="35"/>
      <c r="I537" s="35"/>
      <c r="J537" s="186"/>
      <c r="K537" s="110"/>
      <c r="L537" s="35"/>
      <c r="M537" s="172"/>
      <c r="N537" s="172"/>
      <c r="O537" s="35"/>
      <c r="P537" s="164"/>
      <c r="Q537" s="164"/>
      <c r="R537" s="164"/>
      <c r="S537" s="164"/>
      <c r="T537" s="164"/>
      <c r="U537" s="164"/>
      <c r="V537" s="35"/>
      <c r="W537" s="35"/>
      <c r="X537" s="35"/>
      <c r="Y537" s="35"/>
      <c r="Z537" s="35"/>
      <c r="AA537" s="35"/>
      <c r="AB537" s="35"/>
      <c r="AC537" s="35"/>
      <c r="AD537" s="35"/>
      <c r="AE537" s="35"/>
      <c r="AF537" s="35"/>
      <c r="AG537" s="35"/>
      <c r="AH537" s="35"/>
    </row>
    <row r="538">
      <c r="A538" s="35"/>
      <c r="B538" s="35"/>
      <c r="C538" s="35"/>
      <c r="D538" s="172"/>
      <c r="E538" s="21"/>
      <c r="F538" s="35"/>
      <c r="G538" s="35"/>
      <c r="H538" s="35"/>
      <c r="I538" s="35"/>
      <c r="J538" s="186"/>
      <c r="K538" s="110"/>
      <c r="L538" s="35"/>
      <c r="M538" s="172"/>
      <c r="N538" s="172"/>
      <c r="O538" s="35"/>
      <c r="P538" s="164"/>
      <c r="Q538" s="164"/>
      <c r="R538" s="164"/>
      <c r="S538" s="164"/>
      <c r="T538" s="164"/>
      <c r="U538" s="164"/>
      <c r="V538" s="35"/>
      <c r="W538" s="35"/>
      <c r="X538" s="35"/>
      <c r="Y538" s="35"/>
      <c r="Z538" s="35"/>
      <c r="AA538" s="35"/>
      <c r="AB538" s="35"/>
      <c r="AC538" s="35"/>
      <c r="AD538" s="35"/>
      <c r="AE538" s="35"/>
      <c r="AF538" s="35"/>
      <c r="AG538" s="35"/>
      <c r="AH538" s="35"/>
    </row>
    <row r="539">
      <c r="A539" s="35"/>
      <c r="B539" s="35"/>
      <c r="C539" s="35"/>
      <c r="D539" s="172"/>
      <c r="E539" s="21"/>
      <c r="F539" s="35"/>
      <c r="G539" s="35"/>
      <c r="H539" s="35"/>
      <c r="I539" s="35"/>
      <c r="J539" s="186"/>
      <c r="K539" s="110"/>
      <c r="L539" s="35"/>
      <c r="M539" s="172"/>
      <c r="N539" s="172"/>
      <c r="O539" s="35"/>
      <c r="P539" s="164"/>
      <c r="Q539" s="164"/>
      <c r="R539" s="164"/>
      <c r="S539" s="164"/>
      <c r="T539" s="164"/>
      <c r="U539" s="164"/>
      <c r="V539" s="35"/>
      <c r="W539" s="35"/>
      <c r="X539" s="35"/>
      <c r="Y539" s="35"/>
      <c r="Z539" s="35"/>
      <c r="AA539" s="35"/>
      <c r="AB539" s="35"/>
      <c r="AC539" s="35"/>
      <c r="AD539" s="35"/>
      <c r="AE539" s="35"/>
      <c r="AF539" s="35"/>
      <c r="AG539" s="35"/>
      <c r="AH539" s="35"/>
    </row>
    <row r="540">
      <c r="A540" s="35"/>
      <c r="B540" s="35"/>
      <c r="C540" s="35"/>
      <c r="D540" s="172"/>
      <c r="E540" s="21"/>
      <c r="F540" s="35"/>
      <c r="G540" s="35"/>
      <c r="H540" s="35"/>
      <c r="I540" s="35"/>
      <c r="J540" s="186"/>
      <c r="K540" s="110"/>
      <c r="L540" s="35"/>
      <c r="M540" s="172"/>
      <c r="N540" s="172"/>
      <c r="O540" s="35"/>
      <c r="P540" s="164"/>
      <c r="Q540" s="164"/>
      <c r="R540" s="164"/>
      <c r="S540" s="164"/>
      <c r="T540" s="164"/>
      <c r="U540" s="164"/>
      <c r="V540" s="35"/>
      <c r="W540" s="35"/>
      <c r="X540" s="35"/>
      <c r="Y540" s="35"/>
      <c r="Z540" s="35"/>
      <c r="AA540" s="35"/>
      <c r="AB540" s="35"/>
      <c r="AC540" s="35"/>
      <c r="AD540" s="35"/>
      <c r="AE540" s="35"/>
      <c r="AF540" s="35"/>
      <c r="AG540" s="35"/>
      <c r="AH540" s="35"/>
    </row>
    <row r="541">
      <c r="A541" s="35"/>
      <c r="B541" s="35"/>
      <c r="C541" s="35"/>
      <c r="D541" s="172"/>
      <c r="E541" s="21"/>
      <c r="F541" s="35"/>
      <c r="G541" s="35"/>
      <c r="H541" s="35"/>
      <c r="I541" s="35"/>
      <c r="J541" s="186"/>
      <c r="K541" s="110"/>
      <c r="L541" s="35"/>
      <c r="M541" s="172"/>
      <c r="N541" s="172"/>
      <c r="O541" s="35"/>
      <c r="P541" s="164"/>
      <c r="Q541" s="164"/>
      <c r="R541" s="164"/>
      <c r="S541" s="164"/>
      <c r="T541" s="164"/>
      <c r="U541" s="164"/>
      <c r="V541" s="35"/>
      <c r="W541" s="35"/>
      <c r="X541" s="35"/>
      <c r="Y541" s="35"/>
      <c r="Z541" s="35"/>
      <c r="AA541" s="35"/>
      <c r="AB541" s="35"/>
      <c r="AC541" s="35"/>
      <c r="AD541" s="35"/>
      <c r="AE541" s="35"/>
      <c r="AF541" s="35"/>
      <c r="AG541" s="35"/>
      <c r="AH541" s="35"/>
    </row>
    <row r="542">
      <c r="A542" s="35"/>
      <c r="B542" s="35"/>
      <c r="C542" s="35"/>
      <c r="D542" s="172"/>
      <c r="E542" s="21"/>
      <c r="F542" s="35"/>
      <c r="G542" s="35"/>
      <c r="H542" s="35"/>
      <c r="I542" s="35"/>
      <c r="J542" s="186"/>
      <c r="K542" s="110"/>
      <c r="L542" s="35"/>
      <c r="M542" s="172"/>
      <c r="N542" s="172"/>
      <c r="O542" s="35"/>
      <c r="P542" s="164"/>
      <c r="Q542" s="164"/>
      <c r="R542" s="164"/>
      <c r="S542" s="164"/>
      <c r="T542" s="164"/>
      <c r="U542" s="164"/>
      <c r="V542" s="35"/>
      <c r="W542" s="35"/>
      <c r="X542" s="35"/>
      <c r="Y542" s="35"/>
      <c r="Z542" s="35"/>
      <c r="AA542" s="35"/>
      <c r="AB542" s="35"/>
      <c r="AC542" s="35"/>
      <c r="AD542" s="35"/>
      <c r="AE542" s="35"/>
      <c r="AF542" s="35"/>
      <c r="AG542" s="35"/>
      <c r="AH542" s="35"/>
    </row>
    <row r="543">
      <c r="A543" s="35"/>
      <c r="B543" s="35"/>
      <c r="C543" s="35"/>
      <c r="D543" s="172"/>
      <c r="E543" s="21"/>
      <c r="F543" s="35"/>
      <c r="G543" s="35"/>
      <c r="H543" s="35"/>
      <c r="I543" s="35"/>
      <c r="J543" s="186"/>
      <c r="K543" s="110"/>
      <c r="L543" s="35"/>
      <c r="M543" s="172"/>
      <c r="N543" s="172"/>
      <c r="O543" s="35"/>
      <c r="P543" s="164"/>
      <c r="Q543" s="164"/>
      <c r="R543" s="164"/>
      <c r="S543" s="164"/>
      <c r="T543" s="164"/>
      <c r="U543" s="164"/>
      <c r="V543" s="35"/>
      <c r="W543" s="35"/>
      <c r="X543" s="35"/>
      <c r="Y543" s="35"/>
      <c r="Z543" s="35"/>
      <c r="AA543" s="35"/>
      <c r="AB543" s="35"/>
      <c r="AC543" s="35"/>
      <c r="AD543" s="35"/>
      <c r="AE543" s="35"/>
      <c r="AF543" s="35"/>
      <c r="AG543" s="35"/>
      <c r="AH543" s="35"/>
    </row>
    <row r="544">
      <c r="A544" s="35"/>
      <c r="B544" s="35"/>
      <c r="C544" s="35"/>
      <c r="D544" s="172"/>
      <c r="E544" s="21"/>
      <c r="F544" s="35"/>
      <c r="G544" s="35"/>
      <c r="H544" s="35"/>
      <c r="I544" s="35"/>
      <c r="J544" s="186"/>
      <c r="K544" s="110"/>
      <c r="L544" s="35"/>
      <c r="M544" s="172"/>
      <c r="N544" s="172"/>
      <c r="O544" s="35"/>
      <c r="P544" s="164"/>
      <c r="Q544" s="164"/>
      <c r="R544" s="164"/>
      <c r="S544" s="164"/>
      <c r="T544" s="164"/>
      <c r="U544" s="164"/>
      <c r="V544" s="35"/>
      <c r="W544" s="35"/>
      <c r="X544" s="35"/>
      <c r="Y544" s="35"/>
      <c r="Z544" s="35"/>
      <c r="AA544" s="35"/>
      <c r="AB544" s="35"/>
      <c r="AC544" s="35"/>
      <c r="AD544" s="35"/>
      <c r="AE544" s="35"/>
      <c r="AF544" s="35"/>
      <c r="AG544" s="35"/>
      <c r="AH544" s="35"/>
    </row>
    <row r="545">
      <c r="A545" s="35"/>
      <c r="B545" s="35"/>
      <c r="C545" s="35"/>
      <c r="D545" s="172"/>
      <c r="E545" s="21"/>
      <c r="F545" s="35"/>
      <c r="G545" s="35"/>
      <c r="H545" s="35"/>
      <c r="I545" s="35"/>
      <c r="J545" s="186"/>
      <c r="K545" s="110"/>
      <c r="L545" s="35"/>
      <c r="M545" s="172"/>
      <c r="N545" s="172"/>
      <c r="O545" s="35"/>
      <c r="P545" s="164"/>
      <c r="Q545" s="164"/>
      <c r="R545" s="164"/>
      <c r="S545" s="164"/>
      <c r="T545" s="164"/>
      <c r="U545" s="164"/>
      <c r="V545" s="35"/>
      <c r="W545" s="35"/>
      <c r="X545" s="35"/>
      <c r="Y545" s="35"/>
      <c r="Z545" s="35"/>
      <c r="AA545" s="35"/>
      <c r="AB545" s="35"/>
      <c r="AC545" s="35"/>
      <c r="AD545" s="35"/>
      <c r="AE545" s="35"/>
      <c r="AF545" s="35"/>
      <c r="AG545" s="35"/>
      <c r="AH545" s="35"/>
    </row>
    <row r="546">
      <c r="A546" s="35"/>
      <c r="B546" s="35"/>
      <c r="C546" s="35"/>
      <c r="D546" s="172"/>
      <c r="E546" s="21"/>
      <c r="F546" s="35"/>
      <c r="G546" s="35"/>
      <c r="H546" s="35"/>
      <c r="I546" s="35"/>
      <c r="J546" s="186"/>
      <c r="K546" s="110"/>
      <c r="L546" s="35"/>
      <c r="M546" s="172"/>
      <c r="N546" s="172"/>
      <c r="O546" s="35"/>
      <c r="P546" s="164"/>
      <c r="Q546" s="164"/>
      <c r="R546" s="164"/>
      <c r="S546" s="164"/>
      <c r="T546" s="164"/>
      <c r="U546" s="164"/>
      <c r="V546" s="35"/>
      <c r="W546" s="35"/>
      <c r="X546" s="35"/>
      <c r="Y546" s="35"/>
      <c r="Z546" s="35"/>
      <c r="AA546" s="35"/>
      <c r="AB546" s="35"/>
      <c r="AC546" s="35"/>
      <c r="AD546" s="35"/>
      <c r="AE546" s="35"/>
      <c r="AF546" s="35"/>
      <c r="AG546" s="35"/>
      <c r="AH546" s="35"/>
    </row>
    <row r="547">
      <c r="A547" s="35"/>
      <c r="B547" s="35"/>
      <c r="C547" s="35"/>
      <c r="D547" s="172"/>
      <c r="E547" s="21"/>
      <c r="F547" s="35"/>
      <c r="G547" s="35"/>
      <c r="H547" s="35"/>
      <c r="I547" s="35"/>
      <c r="J547" s="186"/>
      <c r="K547" s="110"/>
      <c r="L547" s="35"/>
      <c r="M547" s="172"/>
      <c r="N547" s="172"/>
      <c r="O547" s="35"/>
      <c r="P547" s="164"/>
      <c r="Q547" s="164"/>
      <c r="R547" s="164"/>
      <c r="S547" s="164"/>
      <c r="T547" s="164"/>
      <c r="U547" s="164"/>
      <c r="V547" s="35"/>
      <c r="W547" s="35"/>
      <c r="X547" s="35"/>
      <c r="Y547" s="35"/>
      <c r="Z547" s="35"/>
      <c r="AA547" s="35"/>
      <c r="AB547" s="35"/>
      <c r="AC547" s="35"/>
      <c r="AD547" s="35"/>
      <c r="AE547" s="35"/>
      <c r="AF547" s="35"/>
      <c r="AG547" s="35"/>
      <c r="AH547" s="35"/>
    </row>
    <row r="548">
      <c r="A548" s="35"/>
      <c r="B548" s="35"/>
      <c r="C548" s="35"/>
      <c r="D548" s="172"/>
      <c r="E548" s="21"/>
      <c r="F548" s="35"/>
      <c r="G548" s="35"/>
      <c r="H548" s="35"/>
      <c r="I548" s="35"/>
      <c r="J548" s="186"/>
      <c r="K548" s="110"/>
      <c r="L548" s="35"/>
      <c r="M548" s="172"/>
      <c r="N548" s="172"/>
      <c r="O548" s="35"/>
      <c r="P548" s="164"/>
      <c r="Q548" s="164"/>
      <c r="R548" s="164"/>
      <c r="S548" s="164"/>
      <c r="T548" s="164"/>
      <c r="U548" s="164"/>
      <c r="V548" s="35"/>
      <c r="W548" s="35"/>
      <c r="X548" s="35"/>
      <c r="Y548" s="35"/>
      <c r="Z548" s="35"/>
      <c r="AA548" s="35"/>
      <c r="AB548" s="35"/>
      <c r="AC548" s="35"/>
      <c r="AD548" s="35"/>
      <c r="AE548" s="35"/>
      <c r="AF548" s="35"/>
      <c r="AG548" s="35"/>
      <c r="AH548" s="35"/>
    </row>
    <row r="549">
      <c r="A549" s="35"/>
      <c r="B549" s="35"/>
      <c r="C549" s="35"/>
      <c r="D549" s="172"/>
      <c r="E549" s="21"/>
      <c r="F549" s="35"/>
      <c r="G549" s="35"/>
      <c r="H549" s="35"/>
      <c r="I549" s="35"/>
      <c r="J549" s="186"/>
      <c r="K549" s="110"/>
      <c r="L549" s="35"/>
      <c r="M549" s="172"/>
      <c r="N549" s="172"/>
      <c r="O549" s="35"/>
      <c r="P549" s="164"/>
      <c r="Q549" s="164"/>
      <c r="R549" s="164"/>
      <c r="S549" s="164"/>
      <c r="T549" s="164"/>
      <c r="U549" s="164"/>
      <c r="V549" s="35"/>
      <c r="W549" s="35"/>
      <c r="X549" s="35"/>
      <c r="Y549" s="35"/>
      <c r="Z549" s="35"/>
      <c r="AA549" s="35"/>
      <c r="AB549" s="35"/>
      <c r="AC549" s="35"/>
      <c r="AD549" s="35"/>
      <c r="AE549" s="35"/>
      <c r="AF549" s="35"/>
      <c r="AG549" s="35"/>
      <c r="AH549" s="35"/>
    </row>
    <row r="550">
      <c r="A550" s="35"/>
      <c r="B550" s="35"/>
      <c r="C550" s="35"/>
      <c r="D550" s="172"/>
      <c r="E550" s="21"/>
      <c r="F550" s="35"/>
      <c r="G550" s="35"/>
      <c r="H550" s="35"/>
      <c r="I550" s="35"/>
      <c r="J550" s="186"/>
      <c r="K550" s="110"/>
      <c r="L550" s="35"/>
      <c r="M550" s="172"/>
      <c r="N550" s="172"/>
      <c r="O550" s="35"/>
      <c r="P550" s="164"/>
      <c r="Q550" s="164"/>
      <c r="R550" s="164"/>
      <c r="S550" s="164"/>
      <c r="T550" s="164"/>
      <c r="U550" s="164"/>
      <c r="V550" s="35"/>
      <c r="W550" s="35"/>
      <c r="X550" s="35"/>
      <c r="Y550" s="35"/>
      <c r="Z550" s="35"/>
      <c r="AA550" s="35"/>
      <c r="AB550" s="35"/>
      <c r="AC550" s="35"/>
      <c r="AD550" s="35"/>
      <c r="AE550" s="35"/>
      <c r="AF550" s="35"/>
      <c r="AG550" s="35"/>
      <c r="AH550" s="35"/>
    </row>
    <row r="551">
      <c r="A551" s="35"/>
      <c r="B551" s="35"/>
      <c r="C551" s="35"/>
      <c r="D551" s="172"/>
      <c r="E551" s="21"/>
      <c r="F551" s="35"/>
      <c r="G551" s="35"/>
      <c r="H551" s="35"/>
      <c r="I551" s="35"/>
      <c r="J551" s="186"/>
      <c r="K551" s="110"/>
      <c r="L551" s="35"/>
      <c r="M551" s="172"/>
      <c r="N551" s="172"/>
      <c r="O551" s="35"/>
      <c r="P551" s="164"/>
      <c r="Q551" s="164"/>
      <c r="R551" s="164"/>
      <c r="S551" s="164"/>
      <c r="T551" s="164"/>
      <c r="U551" s="164"/>
      <c r="V551" s="35"/>
      <c r="W551" s="35"/>
      <c r="X551" s="35"/>
      <c r="Y551" s="35"/>
      <c r="Z551" s="35"/>
      <c r="AA551" s="35"/>
      <c r="AB551" s="35"/>
      <c r="AC551" s="35"/>
      <c r="AD551" s="35"/>
      <c r="AE551" s="35"/>
      <c r="AF551" s="35"/>
      <c r="AG551" s="35"/>
      <c r="AH551" s="35"/>
    </row>
    <row r="552">
      <c r="A552" s="35"/>
      <c r="B552" s="35"/>
      <c r="C552" s="35"/>
      <c r="D552" s="172"/>
      <c r="E552" s="21"/>
      <c r="F552" s="35"/>
      <c r="G552" s="35"/>
      <c r="H552" s="35"/>
      <c r="I552" s="35"/>
      <c r="J552" s="186"/>
      <c r="K552" s="110"/>
      <c r="L552" s="35"/>
      <c r="M552" s="172"/>
      <c r="N552" s="172"/>
      <c r="O552" s="35"/>
      <c r="P552" s="164"/>
      <c r="Q552" s="164"/>
      <c r="R552" s="164"/>
      <c r="S552" s="164"/>
      <c r="T552" s="164"/>
      <c r="U552" s="164"/>
      <c r="V552" s="35"/>
      <c r="W552" s="35"/>
      <c r="X552" s="35"/>
      <c r="Y552" s="35"/>
      <c r="Z552" s="35"/>
      <c r="AA552" s="35"/>
      <c r="AB552" s="35"/>
      <c r="AC552" s="35"/>
      <c r="AD552" s="35"/>
      <c r="AE552" s="35"/>
      <c r="AF552" s="35"/>
      <c r="AG552" s="35"/>
      <c r="AH552" s="35"/>
    </row>
    <row r="553">
      <c r="A553" s="35"/>
      <c r="B553" s="35"/>
      <c r="C553" s="35"/>
      <c r="D553" s="172"/>
      <c r="E553" s="21"/>
      <c r="F553" s="35"/>
      <c r="G553" s="35"/>
      <c r="H553" s="35"/>
      <c r="I553" s="35"/>
      <c r="J553" s="186"/>
      <c r="K553" s="110"/>
      <c r="L553" s="35"/>
      <c r="M553" s="172"/>
      <c r="N553" s="172"/>
      <c r="O553" s="35"/>
      <c r="P553" s="164"/>
      <c r="Q553" s="164"/>
      <c r="R553" s="164"/>
      <c r="S553" s="164"/>
      <c r="T553" s="164"/>
      <c r="U553" s="164"/>
      <c r="V553" s="35"/>
      <c r="W553" s="35"/>
      <c r="X553" s="35"/>
      <c r="Y553" s="35"/>
      <c r="Z553" s="35"/>
      <c r="AA553" s="35"/>
      <c r="AB553" s="35"/>
      <c r="AC553" s="35"/>
      <c r="AD553" s="35"/>
      <c r="AE553" s="35"/>
      <c r="AF553" s="35"/>
      <c r="AG553" s="35"/>
      <c r="AH553" s="35"/>
    </row>
    <row r="554">
      <c r="A554" s="35"/>
      <c r="B554" s="35"/>
      <c r="C554" s="35"/>
      <c r="D554" s="172"/>
      <c r="E554" s="21"/>
      <c r="F554" s="35"/>
      <c r="G554" s="35"/>
      <c r="H554" s="35"/>
      <c r="I554" s="35"/>
      <c r="J554" s="186"/>
      <c r="K554" s="110"/>
      <c r="L554" s="35"/>
      <c r="M554" s="172"/>
      <c r="N554" s="172"/>
      <c r="O554" s="35"/>
      <c r="P554" s="164"/>
      <c r="Q554" s="164"/>
      <c r="R554" s="164"/>
      <c r="S554" s="164"/>
      <c r="T554" s="164"/>
      <c r="U554" s="164"/>
      <c r="V554" s="35"/>
      <c r="W554" s="35"/>
      <c r="X554" s="35"/>
      <c r="Y554" s="35"/>
      <c r="Z554" s="35"/>
      <c r="AA554" s="35"/>
      <c r="AB554" s="35"/>
      <c r="AC554" s="35"/>
      <c r="AD554" s="35"/>
      <c r="AE554" s="35"/>
      <c r="AF554" s="35"/>
      <c r="AG554" s="35"/>
      <c r="AH554" s="35"/>
    </row>
    <row r="555">
      <c r="A555" s="35"/>
      <c r="B555" s="35"/>
      <c r="C555" s="35"/>
      <c r="D555" s="172"/>
      <c r="E555" s="21"/>
      <c r="F555" s="35"/>
      <c r="G555" s="35"/>
      <c r="H555" s="35"/>
      <c r="I555" s="35"/>
      <c r="J555" s="186"/>
      <c r="K555" s="110"/>
      <c r="L555" s="35"/>
      <c r="M555" s="172"/>
      <c r="N555" s="172"/>
      <c r="O555" s="35"/>
      <c r="P555" s="164"/>
      <c r="Q555" s="164"/>
      <c r="R555" s="164"/>
      <c r="S555" s="164"/>
      <c r="T555" s="164"/>
      <c r="U555" s="164"/>
      <c r="V555" s="35"/>
      <c r="W555" s="35"/>
      <c r="X555" s="35"/>
      <c r="Y555" s="35"/>
      <c r="Z555" s="35"/>
      <c r="AA555" s="35"/>
      <c r="AB555" s="35"/>
      <c r="AC555" s="35"/>
      <c r="AD555" s="35"/>
      <c r="AE555" s="35"/>
      <c r="AF555" s="35"/>
      <c r="AG555" s="35"/>
      <c r="AH555" s="35"/>
    </row>
    <row r="556">
      <c r="A556" s="35"/>
      <c r="B556" s="35"/>
      <c r="C556" s="35"/>
      <c r="D556" s="172"/>
      <c r="E556" s="21"/>
      <c r="F556" s="35"/>
      <c r="G556" s="35"/>
      <c r="H556" s="35"/>
      <c r="I556" s="35"/>
      <c r="J556" s="186"/>
      <c r="K556" s="110"/>
      <c r="L556" s="35"/>
      <c r="M556" s="172"/>
      <c r="N556" s="172"/>
      <c r="O556" s="35"/>
      <c r="P556" s="164"/>
      <c r="Q556" s="164"/>
      <c r="R556" s="164"/>
      <c r="S556" s="164"/>
      <c r="T556" s="164"/>
      <c r="U556" s="164"/>
      <c r="V556" s="35"/>
      <c r="W556" s="35"/>
      <c r="X556" s="35"/>
      <c r="Y556" s="35"/>
      <c r="Z556" s="35"/>
      <c r="AA556" s="35"/>
      <c r="AB556" s="35"/>
      <c r="AC556" s="35"/>
      <c r="AD556" s="35"/>
      <c r="AE556" s="35"/>
      <c r="AF556" s="35"/>
      <c r="AG556" s="35"/>
      <c r="AH556" s="35"/>
    </row>
    <row r="557">
      <c r="A557" s="35"/>
      <c r="B557" s="35"/>
      <c r="C557" s="35"/>
      <c r="D557" s="172"/>
      <c r="E557" s="21"/>
      <c r="F557" s="35"/>
      <c r="G557" s="35"/>
      <c r="H557" s="35"/>
      <c r="I557" s="35"/>
      <c r="J557" s="186"/>
      <c r="K557" s="110"/>
      <c r="L557" s="35"/>
      <c r="M557" s="172"/>
      <c r="N557" s="172"/>
      <c r="O557" s="35"/>
      <c r="P557" s="164"/>
      <c r="Q557" s="164"/>
      <c r="R557" s="164"/>
      <c r="S557" s="164"/>
      <c r="T557" s="164"/>
      <c r="U557" s="164"/>
      <c r="V557" s="35"/>
      <c r="W557" s="35"/>
      <c r="X557" s="35"/>
      <c r="Y557" s="35"/>
      <c r="Z557" s="35"/>
      <c r="AA557" s="35"/>
      <c r="AB557" s="35"/>
      <c r="AC557" s="35"/>
      <c r="AD557" s="35"/>
      <c r="AE557" s="35"/>
      <c r="AF557" s="35"/>
      <c r="AG557" s="35"/>
      <c r="AH557" s="35"/>
    </row>
    <row r="558">
      <c r="A558" s="35"/>
      <c r="B558" s="35"/>
      <c r="C558" s="35"/>
      <c r="D558" s="172"/>
      <c r="E558" s="21"/>
      <c r="F558" s="35"/>
      <c r="G558" s="35"/>
      <c r="H558" s="35"/>
      <c r="I558" s="35"/>
      <c r="J558" s="186"/>
      <c r="K558" s="110"/>
      <c r="L558" s="35"/>
      <c r="M558" s="172"/>
      <c r="N558" s="172"/>
      <c r="O558" s="35"/>
      <c r="P558" s="164"/>
      <c r="Q558" s="164"/>
      <c r="R558" s="164"/>
      <c r="S558" s="164"/>
      <c r="T558" s="164"/>
      <c r="U558" s="164"/>
      <c r="V558" s="35"/>
      <c r="W558" s="35"/>
      <c r="X558" s="35"/>
      <c r="Y558" s="35"/>
      <c r="Z558" s="35"/>
      <c r="AA558" s="35"/>
      <c r="AB558" s="35"/>
      <c r="AC558" s="35"/>
      <c r="AD558" s="35"/>
      <c r="AE558" s="35"/>
      <c r="AF558" s="35"/>
      <c r="AG558" s="35"/>
      <c r="AH558" s="35"/>
    </row>
    <row r="559">
      <c r="A559" s="35"/>
      <c r="B559" s="35"/>
      <c r="C559" s="35"/>
      <c r="D559" s="172"/>
      <c r="E559" s="21"/>
      <c r="F559" s="35"/>
      <c r="G559" s="35"/>
      <c r="H559" s="35"/>
      <c r="I559" s="35"/>
      <c r="J559" s="186"/>
      <c r="K559" s="110"/>
      <c r="L559" s="35"/>
      <c r="M559" s="172"/>
      <c r="N559" s="172"/>
      <c r="O559" s="35"/>
      <c r="P559" s="164"/>
      <c r="Q559" s="164"/>
      <c r="R559" s="164"/>
      <c r="S559" s="164"/>
      <c r="T559" s="164"/>
      <c r="U559" s="164"/>
      <c r="V559" s="35"/>
      <c r="W559" s="35"/>
      <c r="X559" s="35"/>
      <c r="Y559" s="35"/>
      <c r="Z559" s="35"/>
      <c r="AA559" s="35"/>
      <c r="AB559" s="35"/>
      <c r="AC559" s="35"/>
      <c r="AD559" s="35"/>
      <c r="AE559" s="35"/>
      <c r="AF559" s="35"/>
      <c r="AG559" s="35"/>
      <c r="AH559" s="35"/>
    </row>
    <row r="560">
      <c r="A560" s="35"/>
      <c r="B560" s="35"/>
      <c r="C560" s="35"/>
      <c r="D560" s="172"/>
      <c r="E560" s="21"/>
      <c r="F560" s="35"/>
      <c r="G560" s="35"/>
      <c r="H560" s="35"/>
      <c r="I560" s="35"/>
      <c r="J560" s="186"/>
      <c r="K560" s="110"/>
      <c r="L560" s="35"/>
      <c r="M560" s="172"/>
      <c r="N560" s="172"/>
      <c r="O560" s="35"/>
      <c r="P560" s="164"/>
      <c r="Q560" s="164"/>
      <c r="R560" s="164"/>
      <c r="S560" s="164"/>
      <c r="T560" s="164"/>
      <c r="U560" s="164"/>
      <c r="V560" s="35"/>
      <c r="W560" s="35"/>
      <c r="X560" s="35"/>
      <c r="Y560" s="35"/>
      <c r="Z560" s="35"/>
      <c r="AA560" s="35"/>
      <c r="AB560" s="35"/>
      <c r="AC560" s="35"/>
      <c r="AD560" s="35"/>
      <c r="AE560" s="35"/>
      <c r="AF560" s="35"/>
      <c r="AG560" s="35"/>
      <c r="AH560" s="35"/>
    </row>
    <row r="561">
      <c r="A561" s="35"/>
      <c r="B561" s="35"/>
      <c r="C561" s="35"/>
      <c r="D561" s="172"/>
      <c r="E561" s="21"/>
      <c r="F561" s="35"/>
      <c r="G561" s="35"/>
      <c r="H561" s="35"/>
      <c r="I561" s="35"/>
      <c r="J561" s="186"/>
      <c r="K561" s="110"/>
      <c r="L561" s="35"/>
      <c r="M561" s="172"/>
      <c r="N561" s="172"/>
      <c r="O561" s="35"/>
      <c r="P561" s="164"/>
      <c r="Q561" s="164"/>
      <c r="R561" s="164"/>
      <c r="S561" s="164"/>
      <c r="T561" s="164"/>
      <c r="U561" s="164"/>
      <c r="V561" s="35"/>
      <c r="W561" s="35"/>
      <c r="X561" s="35"/>
      <c r="Y561" s="35"/>
      <c r="Z561" s="35"/>
      <c r="AA561" s="35"/>
      <c r="AB561" s="35"/>
      <c r="AC561" s="35"/>
      <c r="AD561" s="35"/>
      <c r="AE561" s="35"/>
      <c r="AF561" s="35"/>
      <c r="AG561" s="35"/>
      <c r="AH561" s="35"/>
    </row>
    <row r="562">
      <c r="A562" s="35"/>
      <c r="B562" s="35"/>
      <c r="C562" s="35"/>
      <c r="D562" s="172"/>
      <c r="E562" s="21"/>
      <c r="F562" s="35"/>
      <c r="G562" s="35"/>
      <c r="H562" s="35"/>
      <c r="I562" s="35"/>
      <c r="J562" s="186"/>
      <c r="K562" s="110"/>
      <c r="L562" s="35"/>
      <c r="M562" s="172"/>
      <c r="N562" s="172"/>
      <c r="O562" s="35"/>
      <c r="P562" s="164"/>
      <c r="Q562" s="164"/>
      <c r="R562" s="164"/>
      <c r="S562" s="164"/>
      <c r="T562" s="164"/>
      <c r="U562" s="164"/>
      <c r="V562" s="35"/>
      <c r="W562" s="35"/>
      <c r="X562" s="35"/>
      <c r="Y562" s="35"/>
      <c r="Z562" s="35"/>
      <c r="AA562" s="35"/>
      <c r="AB562" s="35"/>
      <c r="AC562" s="35"/>
      <c r="AD562" s="35"/>
      <c r="AE562" s="35"/>
      <c r="AF562" s="35"/>
      <c r="AG562" s="35"/>
      <c r="AH562" s="35"/>
    </row>
    <row r="563">
      <c r="A563" s="35"/>
      <c r="B563" s="35"/>
      <c r="C563" s="35"/>
      <c r="D563" s="172"/>
      <c r="E563" s="21"/>
      <c r="F563" s="35"/>
      <c r="G563" s="35"/>
      <c r="H563" s="35"/>
      <c r="I563" s="35"/>
      <c r="J563" s="186"/>
      <c r="K563" s="110"/>
      <c r="L563" s="35"/>
      <c r="M563" s="172"/>
      <c r="N563" s="172"/>
      <c r="O563" s="35"/>
      <c r="P563" s="164"/>
      <c r="Q563" s="164"/>
      <c r="R563" s="164"/>
      <c r="S563" s="164"/>
      <c r="T563" s="164"/>
      <c r="U563" s="164"/>
      <c r="V563" s="35"/>
      <c r="W563" s="35"/>
      <c r="X563" s="35"/>
      <c r="Y563" s="35"/>
      <c r="Z563" s="35"/>
      <c r="AA563" s="35"/>
      <c r="AB563" s="35"/>
      <c r="AC563" s="35"/>
      <c r="AD563" s="35"/>
      <c r="AE563" s="35"/>
      <c r="AF563" s="35"/>
      <c r="AG563" s="35"/>
      <c r="AH563" s="35"/>
    </row>
    <row r="564">
      <c r="A564" s="35"/>
      <c r="B564" s="35"/>
      <c r="C564" s="35"/>
      <c r="D564" s="172"/>
      <c r="E564" s="21"/>
      <c r="F564" s="35"/>
      <c r="G564" s="35"/>
      <c r="H564" s="35"/>
      <c r="I564" s="35"/>
      <c r="J564" s="186"/>
      <c r="K564" s="110"/>
      <c r="L564" s="35"/>
      <c r="M564" s="172"/>
      <c r="N564" s="172"/>
      <c r="O564" s="35"/>
      <c r="P564" s="164"/>
      <c r="Q564" s="164"/>
      <c r="R564" s="164"/>
      <c r="S564" s="164"/>
      <c r="T564" s="164"/>
      <c r="U564" s="164"/>
      <c r="V564" s="35"/>
      <c r="W564" s="35"/>
      <c r="X564" s="35"/>
      <c r="Y564" s="35"/>
      <c r="Z564" s="35"/>
      <c r="AA564" s="35"/>
      <c r="AB564" s="35"/>
      <c r="AC564" s="35"/>
      <c r="AD564" s="35"/>
      <c r="AE564" s="35"/>
      <c r="AF564" s="35"/>
      <c r="AG564" s="35"/>
      <c r="AH564" s="35"/>
    </row>
    <row r="565">
      <c r="A565" s="35"/>
      <c r="B565" s="35"/>
      <c r="C565" s="35"/>
      <c r="D565" s="172"/>
      <c r="E565" s="21"/>
      <c r="F565" s="35"/>
      <c r="G565" s="35"/>
      <c r="H565" s="35"/>
      <c r="I565" s="35"/>
      <c r="J565" s="186"/>
      <c r="K565" s="110"/>
      <c r="L565" s="35"/>
      <c r="M565" s="172"/>
      <c r="N565" s="172"/>
      <c r="O565" s="35"/>
      <c r="P565" s="164"/>
      <c r="Q565" s="164"/>
      <c r="R565" s="164"/>
      <c r="S565" s="164"/>
      <c r="T565" s="164"/>
      <c r="U565" s="164"/>
      <c r="V565" s="35"/>
      <c r="W565" s="35"/>
      <c r="X565" s="35"/>
      <c r="Y565" s="35"/>
      <c r="Z565" s="35"/>
      <c r="AA565" s="35"/>
      <c r="AB565" s="35"/>
      <c r="AC565" s="35"/>
      <c r="AD565" s="35"/>
      <c r="AE565" s="35"/>
      <c r="AF565" s="35"/>
      <c r="AG565" s="35"/>
      <c r="AH565" s="35"/>
    </row>
    <row r="566">
      <c r="A566" s="35"/>
      <c r="B566" s="35"/>
      <c r="C566" s="35"/>
      <c r="D566" s="172"/>
      <c r="E566" s="21"/>
      <c r="F566" s="35"/>
      <c r="G566" s="35"/>
      <c r="H566" s="35"/>
      <c r="I566" s="35"/>
      <c r="J566" s="186"/>
      <c r="K566" s="110"/>
      <c r="L566" s="35"/>
      <c r="M566" s="172"/>
      <c r="N566" s="172"/>
      <c r="O566" s="35"/>
      <c r="P566" s="164"/>
      <c r="Q566" s="164"/>
      <c r="R566" s="164"/>
      <c r="S566" s="164"/>
      <c r="T566" s="164"/>
      <c r="U566" s="164"/>
      <c r="V566" s="35"/>
      <c r="W566" s="35"/>
      <c r="X566" s="35"/>
      <c r="Y566" s="35"/>
      <c r="Z566" s="35"/>
      <c r="AA566" s="35"/>
      <c r="AB566" s="35"/>
      <c r="AC566" s="35"/>
      <c r="AD566" s="35"/>
      <c r="AE566" s="35"/>
      <c r="AF566" s="35"/>
      <c r="AG566" s="35"/>
      <c r="AH566" s="35"/>
    </row>
    <row r="567">
      <c r="A567" s="35"/>
      <c r="B567" s="35"/>
      <c r="C567" s="35"/>
      <c r="D567" s="172"/>
      <c r="E567" s="21"/>
      <c r="F567" s="35"/>
      <c r="G567" s="35"/>
      <c r="H567" s="35"/>
      <c r="I567" s="35"/>
      <c r="J567" s="186"/>
      <c r="K567" s="110"/>
      <c r="L567" s="35"/>
      <c r="M567" s="172"/>
      <c r="N567" s="172"/>
      <c r="O567" s="35"/>
      <c r="P567" s="164"/>
      <c r="Q567" s="164"/>
      <c r="R567" s="164"/>
      <c r="S567" s="164"/>
      <c r="T567" s="164"/>
      <c r="U567" s="164"/>
      <c r="V567" s="35"/>
      <c r="W567" s="35"/>
      <c r="X567" s="35"/>
      <c r="Y567" s="35"/>
      <c r="Z567" s="35"/>
      <c r="AA567" s="35"/>
      <c r="AB567" s="35"/>
      <c r="AC567" s="35"/>
      <c r="AD567" s="35"/>
      <c r="AE567" s="35"/>
      <c r="AF567" s="35"/>
      <c r="AG567" s="35"/>
      <c r="AH567" s="35"/>
    </row>
    <row r="568">
      <c r="A568" s="35"/>
      <c r="B568" s="35"/>
      <c r="C568" s="35"/>
      <c r="D568" s="172"/>
      <c r="E568" s="21"/>
      <c r="F568" s="35"/>
      <c r="G568" s="35"/>
      <c r="H568" s="35"/>
      <c r="I568" s="35"/>
      <c r="J568" s="186"/>
      <c r="K568" s="110"/>
      <c r="L568" s="35"/>
      <c r="M568" s="172"/>
      <c r="N568" s="172"/>
      <c r="O568" s="35"/>
      <c r="P568" s="164"/>
      <c r="Q568" s="164"/>
      <c r="R568" s="164"/>
      <c r="S568" s="164"/>
      <c r="T568" s="164"/>
      <c r="U568" s="164"/>
      <c r="V568" s="35"/>
      <c r="W568" s="35"/>
      <c r="X568" s="35"/>
      <c r="Y568" s="35"/>
      <c r="Z568" s="35"/>
      <c r="AA568" s="35"/>
      <c r="AB568" s="35"/>
      <c r="AC568" s="35"/>
      <c r="AD568" s="35"/>
      <c r="AE568" s="35"/>
      <c r="AF568" s="35"/>
      <c r="AG568" s="35"/>
      <c r="AH568" s="35"/>
    </row>
    <row r="569">
      <c r="A569" s="35"/>
      <c r="B569" s="35"/>
      <c r="C569" s="35"/>
      <c r="D569" s="172"/>
      <c r="E569" s="21"/>
      <c r="F569" s="35"/>
      <c r="G569" s="35"/>
      <c r="H569" s="35"/>
      <c r="I569" s="35"/>
      <c r="J569" s="186"/>
      <c r="K569" s="110"/>
      <c r="L569" s="35"/>
      <c r="M569" s="172"/>
      <c r="N569" s="172"/>
      <c r="O569" s="35"/>
      <c r="P569" s="164"/>
      <c r="Q569" s="164"/>
      <c r="R569" s="164"/>
      <c r="S569" s="164"/>
      <c r="T569" s="164"/>
      <c r="U569" s="164"/>
      <c r="V569" s="35"/>
      <c r="W569" s="35"/>
      <c r="X569" s="35"/>
      <c r="Y569" s="35"/>
      <c r="Z569" s="35"/>
      <c r="AA569" s="35"/>
      <c r="AB569" s="35"/>
      <c r="AC569" s="35"/>
      <c r="AD569" s="35"/>
      <c r="AE569" s="35"/>
      <c r="AF569" s="35"/>
      <c r="AG569" s="35"/>
      <c r="AH569" s="35"/>
    </row>
    <row r="570">
      <c r="A570" s="35"/>
      <c r="B570" s="35"/>
      <c r="C570" s="35"/>
      <c r="D570" s="172"/>
      <c r="E570" s="21"/>
      <c r="F570" s="35"/>
      <c r="G570" s="35"/>
      <c r="H570" s="35"/>
      <c r="I570" s="35"/>
      <c r="J570" s="186"/>
      <c r="K570" s="110"/>
      <c r="L570" s="35"/>
      <c r="M570" s="172"/>
      <c r="N570" s="172"/>
      <c r="O570" s="35"/>
      <c r="P570" s="164"/>
      <c r="Q570" s="164"/>
      <c r="R570" s="164"/>
      <c r="S570" s="164"/>
      <c r="T570" s="164"/>
      <c r="U570" s="164"/>
      <c r="V570" s="35"/>
      <c r="W570" s="35"/>
      <c r="X570" s="35"/>
      <c r="Y570" s="35"/>
      <c r="Z570" s="35"/>
      <c r="AA570" s="35"/>
      <c r="AB570" s="35"/>
      <c r="AC570" s="35"/>
      <c r="AD570" s="35"/>
      <c r="AE570" s="35"/>
      <c r="AF570" s="35"/>
      <c r="AG570" s="35"/>
      <c r="AH570" s="35"/>
    </row>
    <row r="571">
      <c r="A571" s="35"/>
      <c r="B571" s="35"/>
      <c r="C571" s="35"/>
      <c r="D571" s="172"/>
      <c r="E571" s="21"/>
      <c r="F571" s="35"/>
      <c r="G571" s="35"/>
      <c r="H571" s="35"/>
      <c r="I571" s="35"/>
      <c r="J571" s="186"/>
      <c r="K571" s="110"/>
      <c r="L571" s="35"/>
      <c r="M571" s="172"/>
      <c r="N571" s="172"/>
      <c r="O571" s="35"/>
      <c r="P571" s="164"/>
      <c r="Q571" s="164"/>
      <c r="R571" s="164"/>
      <c r="S571" s="164"/>
      <c r="T571" s="164"/>
      <c r="U571" s="164"/>
      <c r="V571" s="35"/>
      <c r="W571" s="35"/>
      <c r="X571" s="35"/>
      <c r="Y571" s="35"/>
      <c r="Z571" s="35"/>
      <c r="AA571" s="35"/>
      <c r="AB571" s="35"/>
      <c r="AC571" s="35"/>
      <c r="AD571" s="35"/>
      <c r="AE571" s="35"/>
      <c r="AF571" s="35"/>
      <c r="AG571" s="35"/>
      <c r="AH571" s="35"/>
    </row>
    <row r="572">
      <c r="A572" s="35"/>
      <c r="B572" s="35"/>
      <c r="C572" s="35"/>
      <c r="D572" s="172"/>
      <c r="E572" s="21"/>
      <c r="F572" s="35"/>
      <c r="G572" s="35"/>
      <c r="H572" s="35"/>
      <c r="I572" s="35"/>
      <c r="J572" s="186"/>
      <c r="K572" s="110"/>
      <c r="L572" s="35"/>
      <c r="M572" s="172"/>
      <c r="N572" s="172"/>
      <c r="O572" s="35"/>
      <c r="P572" s="164"/>
      <c r="Q572" s="164"/>
      <c r="R572" s="164"/>
      <c r="S572" s="164"/>
      <c r="T572" s="164"/>
      <c r="U572" s="164"/>
      <c r="V572" s="35"/>
      <c r="W572" s="35"/>
      <c r="X572" s="35"/>
      <c r="Y572" s="35"/>
      <c r="Z572" s="35"/>
      <c r="AA572" s="35"/>
      <c r="AB572" s="35"/>
      <c r="AC572" s="35"/>
      <c r="AD572" s="35"/>
      <c r="AE572" s="35"/>
      <c r="AF572" s="35"/>
      <c r="AG572" s="35"/>
      <c r="AH572" s="35"/>
    </row>
    <row r="573">
      <c r="A573" s="35"/>
      <c r="B573" s="35"/>
      <c r="C573" s="35"/>
      <c r="D573" s="172"/>
      <c r="E573" s="21"/>
      <c r="F573" s="35"/>
      <c r="G573" s="35"/>
      <c r="H573" s="35"/>
      <c r="I573" s="35"/>
      <c r="J573" s="186"/>
      <c r="K573" s="110"/>
      <c r="L573" s="35"/>
      <c r="M573" s="172"/>
      <c r="N573" s="172"/>
      <c r="O573" s="35"/>
      <c r="P573" s="164"/>
      <c r="Q573" s="164"/>
      <c r="R573" s="164"/>
      <c r="S573" s="164"/>
      <c r="T573" s="164"/>
      <c r="U573" s="164"/>
      <c r="V573" s="35"/>
      <c r="W573" s="35"/>
      <c r="X573" s="35"/>
      <c r="Y573" s="35"/>
      <c r="Z573" s="35"/>
      <c r="AA573" s="35"/>
      <c r="AB573" s="35"/>
      <c r="AC573" s="35"/>
      <c r="AD573" s="35"/>
      <c r="AE573" s="35"/>
      <c r="AF573" s="35"/>
      <c r="AG573" s="35"/>
      <c r="AH573" s="35"/>
    </row>
    <row r="574">
      <c r="A574" s="35"/>
      <c r="B574" s="35"/>
      <c r="C574" s="35"/>
      <c r="D574" s="172"/>
      <c r="E574" s="21"/>
      <c r="F574" s="35"/>
      <c r="G574" s="35"/>
      <c r="H574" s="35"/>
      <c r="I574" s="35"/>
      <c r="J574" s="186"/>
      <c r="K574" s="110"/>
      <c r="L574" s="35"/>
      <c r="M574" s="172"/>
      <c r="N574" s="172"/>
      <c r="O574" s="35"/>
      <c r="P574" s="164"/>
      <c r="Q574" s="164"/>
      <c r="R574" s="164"/>
      <c r="S574" s="164"/>
      <c r="T574" s="164"/>
      <c r="U574" s="164"/>
      <c r="V574" s="35"/>
      <c r="W574" s="35"/>
      <c r="X574" s="35"/>
      <c r="Y574" s="35"/>
      <c r="Z574" s="35"/>
      <c r="AA574" s="35"/>
      <c r="AB574" s="35"/>
      <c r="AC574" s="35"/>
      <c r="AD574" s="35"/>
      <c r="AE574" s="35"/>
      <c r="AF574" s="35"/>
      <c r="AG574" s="35"/>
      <c r="AH574" s="35"/>
    </row>
    <row r="575">
      <c r="A575" s="35"/>
      <c r="B575" s="35"/>
      <c r="C575" s="35"/>
      <c r="D575" s="172"/>
      <c r="E575" s="21"/>
      <c r="F575" s="35"/>
      <c r="G575" s="35"/>
      <c r="H575" s="35"/>
      <c r="I575" s="35"/>
      <c r="J575" s="186"/>
      <c r="K575" s="110"/>
      <c r="L575" s="35"/>
      <c r="M575" s="172"/>
      <c r="N575" s="172"/>
      <c r="O575" s="35"/>
      <c r="P575" s="164"/>
      <c r="Q575" s="164"/>
      <c r="R575" s="164"/>
      <c r="S575" s="164"/>
      <c r="T575" s="164"/>
      <c r="U575" s="164"/>
      <c r="V575" s="35"/>
      <c r="W575" s="35"/>
      <c r="X575" s="35"/>
      <c r="Y575" s="35"/>
      <c r="Z575" s="35"/>
      <c r="AA575" s="35"/>
      <c r="AB575" s="35"/>
      <c r="AC575" s="35"/>
      <c r="AD575" s="35"/>
      <c r="AE575" s="35"/>
      <c r="AF575" s="35"/>
      <c r="AG575" s="35"/>
      <c r="AH575" s="35"/>
    </row>
    <row r="576">
      <c r="A576" s="35"/>
      <c r="B576" s="35"/>
      <c r="C576" s="35"/>
      <c r="D576" s="172"/>
      <c r="E576" s="21"/>
      <c r="F576" s="35"/>
      <c r="G576" s="35"/>
      <c r="H576" s="35"/>
      <c r="I576" s="35"/>
      <c r="J576" s="186"/>
      <c r="K576" s="110"/>
      <c r="L576" s="35"/>
      <c r="M576" s="172"/>
      <c r="N576" s="172"/>
      <c r="O576" s="35"/>
      <c r="P576" s="164"/>
      <c r="Q576" s="164"/>
      <c r="R576" s="164"/>
      <c r="S576" s="164"/>
      <c r="T576" s="164"/>
      <c r="U576" s="164"/>
      <c r="V576" s="35"/>
      <c r="W576" s="35"/>
      <c r="X576" s="35"/>
      <c r="Y576" s="35"/>
      <c r="Z576" s="35"/>
      <c r="AA576" s="35"/>
      <c r="AB576" s="35"/>
      <c r="AC576" s="35"/>
      <c r="AD576" s="35"/>
      <c r="AE576" s="35"/>
      <c r="AF576" s="35"/>
      <c r="AG576" s="35"/>
      <c r="AH576" s="35"/>
    </row>
    <row r="577">
      <c r="A577" s="35"/>
      <c r="B577" s="35"/>
      <c r="C577" s="35"/>
      <c r="D577" s="172"/>
      <c r="E577" s="21"/>
      <c r="F577" s="35"/>
      <c r="G577" s="35"/>
      <c r="H577" s="35"/>
      <c r="I577" s="35"/>
      <c r="J577" s="186"/>
      <c r="K577" s="110"/>
      <c r="L577" s="35"/>
      <c r="M577" s="172"/>
      <c r="N577" s="172"/>
      <c r="O577" s="35"/>
      <c r="P577" s="164"/>
      <c r="Q577" s="164"/>
      <c r="R577" s="164"/>
      <c r="S577" s="164"/>
      <c r="T577" s="164"/>
      <c r="U577" s="164"/>
      <c r="V577" s="35"/>
      <c r="W577" s="35"/>
      <c r="X577" s="35"/>
      <c r="Y577" s="35"/>
      <c r="Z577" s="35"/>
      <c r="AA577" s="35"/>
      <c r="AB577" s="35"/>
      <c r="AC577" s="35"/>
      <c r="AD577" s="35"/>
      <c r="AE577" s="35"/>
      <c r="AF577" s="35"/>
      <c r="AG577" s="35"/>
      <c r="AH577" s="35"/>
    </row>
    <row r="578">
      <c r="A578" s="35"/>
      <c r="B578" s="35"/>
      <c r="C578" s="35"/>
      <c r="D578" s="172"/>
      <c r="E578" s="21"/>
      <c r="F578" s="35"/>
      <c r="G578" s="35"/>
      <c r="H578" s="35"/>
      <c r="I578" s="35"/>
      <c r="J578" s="186"/>
      <c r="K578" s="110"/>
      <c r="L578" s="35"/>
      <c r="M578" s="172"/>
      <c r="N578" s="172"/>
      <c r="O578" s="35"/>
      <c r="P578" s="164"/>
      <c r="Q578" s="164"/>
      <c r="R578" s="164"/>
      <c r="S578" s="164"/>
      <c r="T578" s="164"/>
      <c r="U578" s="164"/>
      <c r="V578" s="35"/>
      <c r="W578" s="35"/>
      <c r="X578" s="35"/>
      <c r="Y578" s="35"/>
      <c r="Z578" s="35"/>
      <c r="AA578" s="35"/>
      <c r="AB578" s="35"/>
      <c r="AC578" s="35"/>
      <c r="AD578" s="35"/>
      <c r="AE578" s="35"/>
      <c r="AF578" s="35"/>
      <c r="AG578" s="35"/>
      <c r="AH578" s="35"/>
    </row>
    <row r="579">
      <c r="A579" s="35"/>
      <c r="B579" s="35"/>
      <c r="C579" s="35"/>
      <c r="D579" s="172"/>
      <c r="E579" s="21"/>
      <c r="F579" s="35"/>
      <c r="G579" s="35"/>
      <c r="H579" s="35"/>
      <c r="I579" s="35"/>
      <c r="J579" s="186"/>
      <c r="K579" s="110"/>
      <c r="L579" s="35"/>
      <c r="M579" s="172"/>
      <c r="N579" s="172"/>
      <c r="O579" s="35"/>
      <c r="P579" s="164"/>
      <c r="Q579" s="164"/>
      <c r="R579" s="164"/>
      <c r="S579" s="164"/>
      <c r="T579" s="164"/>
      <c r="U579" s="164"/>
      <c r="V579" s="35"/>
      <c r="W579" s="35"/>
      <c r="X579" s="35"/>
      <c r="Y579" s="35"/>
      <c r="Z579" s="35"/>
      <c r="AA579" s="35"/>
      <c r="AB579" s="35"/>
      <c r="AC579" s="35"/>
      <c r="AD579" s="35"/>
      <c r="AE579" s="35"/>
      <c r="AF579" s="35"/>
      <c r="AG579" s="35"/>
      <c r="AH579" s="35"/>
    </row>
    <row r="580">
      <c r="A580" s="35"/>
      <c r="B580" s="35"/>
      <c r="C580" s="35"/>
      <c r="D580" s="172"/>
      <c r="E580" s="21"/>
      <c r="F580" s="35"/>
      <c r="G580" s="35"/>
      <c r="H580" s="35"/>
      <c r="I580" s="35"/>
      <c r="J580" s="186"/>
      <c r="K580" s="110"/>
      <c r="L580" s="35"/>
      <c r="M580" s="172"/>
      <c r="N580" s="172"/>
      <c r="O580" s="35"/>
      <c r="P580" s="164"/>
      <c r="Q580" s="164"/>
      <c r="R580" s="164"/>
      <c r="S580" s="164"/>
      <c r="T580" s="164"/>
      <c r="U580" s="164"/>
      <c r="V580" s="35"/>
      <c r="W580" s="35"/>
      <c r="X580" s="35"/>
      <c r="Y580" s="35"/>
      <c r="Z580" s="35"/>
      <c r="AA580" s="35"/>
      <c r="AB580" s="35"/>
      <c r="AC580" s="35"/>
      <c r="AD580" s="35"/>
      <c r="AE580" s="35"/>
      <c r="AF580" s="35"/>
      <c r="AG580" s="35"/>
      <c r="AH580" s="35"/>
    </row>
    <row r="581">
      <c r="A581" s="35"/>
      <c r="B581" s="35"/>
      <c r="C581" s="35"/>
      <c r="D581" s="172"/>
      <c r="E581" s="21"/>
      <c r="F581" s="35"/>
      <c r="G581" s="35"/>
      <c r="H581" s="35"/>
      <c r="I581" s="35"/>
      <c r="J581" s="186"/>
      <c r="K581" s="110"/>
      <c r="L581" s="35"/>
      <c r="M581" s="172"/>
      <c r="N581" s="172"/>
      <c r="O581" s="35"/>
      <c r="P581" s="164"/>
      <c r="Q581" s="164"/>
      <c r="R581" s="164"/>
      <c r="S581" s="164"/>
      <c r="T581" s="164"/>
      <c r="U581" s="164"/>
      <c r="V581" s="35"/>
      <c r="W581" s="35"/>
      <c r="X581" s="35"/>
      <c r="Y581" s="35"/>
      <c r="Z581" s="35"/>
      <c r="AA581" s="35"/>
      <c r="AB581" s="35"/>
      <c r="AC581" s="35"/>
      <c r="AD581" s="35"/>
      <c r="AE581" s="35"/>
      <c r="AF581" s="35"/>
      <c r="AG581" s="35"/>
      <c r="AH581" s="35"/>
    </row>
    <row r="582">
      <c r="A582" s="35"/>
      <c r="B582" s="35"/>
      <c r="C582" s="35"/>
      <c r="D582" s="172"/>
      <c r="E582" s="21"/>
      <c r="F582" s="35"/>
      <c r="G582" s="35"/>
      <c r="H582" s="35"/>
      <c r="I582" s="35"/>
      <c r="J582" s="186"/>
      <c r="K582" s="110"/>
      <c r="L582" s="35"/>
      <c r="M582" s="172"/>
      <c r="N582" s="172"/>
      <c r="O582" s="35"/>
      <c r="P582" s="164"/>
      <c r="Q582" s="164"/>
      <c r="R582" s="164"/>
      <c r="S582" s="164"/>
      <c r="T582" s="164"/>
      <c r="U582" s="164"/>
      <c r="V582" s="35"/>
      <c r="W582" s="35"/>
      <c r="X582" s="35"/>
      <c r="Y582" s="35"/>
      <c r="Z582" s="35"/>
      <c r="AA582" s="35"/>
      <c r="AB582" s="35"/>
      <c r="AC582" s="35"/>
      <c r="AD582" s="35"/>
      <c r="AE582" s="35"/>
      <c r="AF582" s="35"/>
      <c r="AG582" s="35"/>
      <c r="AH582" s="35"/>
    </row>
    <row r="583">
      <c r="A583" s="35"/>
      <c r="B583" s="35"/>
      <c r="C583" s="35"/>
      <c r="D583" s="172"/>
      <c r="E583" s="21"/>
      <c r="F583" s="35"/>
      <c r="G583" s="35"/>
      <c r="H583" s="35"/>
      <c r="I583" s="35"/>
      <c r="J583" s="186"/>
      <c r="K583" s="110"/>
      <c r="L583" s="35"/>
      <c r="M583" s="172"/>
      <c r="N583" s="172"/>
      <c r="O583" s="35"/>
      <c r="P583" s="164"/>
      <c r="Q583" s="164"/>
      <c r="R583" s="164"/>
      <c r="S583" s="164"/>
      <c r="T583" s="164"/>
      <c r="U583" s="164"/>
      <c r="V583" s="35"/>
      <c r="W583" s="35"/>
      <c r="X583" s="35"/>
      <c r="Y583" s="35"/>
      <c r="Z583" s="35"/>
      <c r="AA583" s="35"/>
      <c r="AB583" s="35"/>
      <c r="AC583" s="35"/>
      <c r="AD583" s="35"/>
      <c r="AE583" s="35"/>
      <c r="AF583" s="35"/>
      <c r="AG583" s="35"/>
      <c r="AH583" s="35"/>
    </row>
    <row r="584">
      <c r="A584" s="35"/>
      <c r="B584" s="35"/>
      <c r="C584" s="35"/>
      <c r="D584" s="172"/>
      <c r="E584" s="21"/>
      <c r="F584" s="35"/>
      <c r="G584" s="35"/>
      <c r="H584" s="35"/>
      <c r="I584" s="35"/>
      <c r="J584" s="186"/>
      <c r="K584" s="110"/>
      <c r="L584" s="35"/>
      <c r="M584" s="172"/>
      <c r="N584" s="172"/>
      <c r="O584" s="35"/>
      <c r="P584" s="164"/>
      <c r="Q584" s="164"/>
      <c r="R584" s="164"/>
      <c r="S584" s="164"/>
      <c r="T584" s="164"/>
      <c r="U584" s="164"/>
      <c r="V584" s="35"/>
      <c r="W584" s="35"/>
      <c r="X584" s="35"/>
      <c r="Y584" s="35"/>
      <c r="Z584" s="35"/>
      <c r="AA584" s="35"/>
      <c r="AB584" s="35"/>
      <c r="AC584" s="35"/>
      <c r="AD584" s="35"/>
      <c r="AE584" s="35"/>
      <c r="AF584" s="35"/>
      <c r="AG584" s="35"/>
      <c r="AH584" s="35"/>
    </row>
    <row r="585">
      <c r="A585" s="35"/>
      <c r="B585" s="35"/>
      <c r="C585" s="35"/>
      <c r="D585" s="172"/>
      <c r="E585" s="21"/>
      <c r="F585" s="35"/>
      <c r="G585" s="35"/>
      <c r="H585" s="35"/>
      <c r="I585" s="35"/>
      <c r="J585" s="186"/>
      <c r="K585" s="110"/>
      <c r="L585" s="35"/>
      <c r="M585" s="172"/>
      <c r="N585" s="172"/>
      <c r="O585" s="35"/>
      <c r="P585" s="164"/>
      <c r="Q585" s="164"/>
      <c r="R585" s="164"/>
      <c r="S585" s="164"/>
      <c r="T585" s="164"/>
      <c r="U585" s="164"/>
      <c r="V585" s="35"/>
      <c r="W585" s="35"/>
      <c r="X585" s="35"/>
      <c r="Y585" s="35"/>
      <c r="Z585" s="35"/>
      <c r="AA585" s="35"/>
      <c r="AB585" s="35"/>
      <c r="AC585" s="35"/>
      <c r="AD585" s="35"/>
      <c r="AE585" s="35"/>
      <c r="AF585" s="35"/>
      <c r="AG585" s="35"/>
      <c r="AH585" s="35"/>
    </row>
    <row r="586">
      <c r="A586" s="35"/>
      <c r="B586" s="35"/>
      <c r="C586" s="35"/>
      <c r="D586" s="172"/>
      <c r="E586" s="21"/>
      <c r="F586" s="35"/>
      <c r="G586" s="35"/>
      <c r="H586" s="35"/>
      <c r="I586" s="35"/>
      <c r="J586" s="186"/>
      <c r="K586" s="110"/>
      <c r="L586" s="35"/>
      <c r="M586" s="172"/>
      <c r="N586" s="172"/>
      <c r="O586" s="35"/>
      <c r="P586" s="164"/>
      <c r="Q586" s="164"/>
      <c r="R586" s="164"/>
      <c r="S586" s="164"/>
      <c r="T586" s="164"/>
      <c r="U586" s="164"/>
      <c r="V586" s="35"/>
      <c r="W586" s="35"/>
      <c r="X586" s="35"/>
      <c r="Y586" s="35"/>
      <c r="Z586" s="35"/>
      <c r="AA586" s="35"/>
      <c r="AB586" s="35"/>
      <c r="AC586" s="35"/>
      <c r="AD586" s="35"/>
      <c r="AE586" s="35"/>
      <c r="AF586" s="35"/>
      <c r="AG586" s="35"/>
      <c r="AH586" s="35"/>
    </row>
    <row r="587">
      <c r="A587" s="35"/>
      <c r="B587" s="35"/>
      <c r="C587" s="35"/>
      <c r="D587" s="172"/>
      <c r="E587" s="21"/>
      <c r="F587" s="35"/>
      <c r="G587" s="35"/>
      <c r="H587" s="35"/>
      <c r="I587" s="35"/>
      <c r="J587" s="186"/>
      <c r="K587" s="110"/>
      <c r="L587" s="35"/>
      <c r="M587" s="172"/>
      <c r="N587" s="172"/>
      <c r="O587" s="35"/>
      <c r="P587" s="164"/>
      <c r="Q587" s="164"/>
      <c r="R587" s="164"/>
      <c r="S587" s="164"/>
      <c r="T587" s="164"/>
      <c r="U587" s="164"/>
      <c r="V587" s="35"/>
      <c r="W587" s="35"/>
      <c r="X587" s="35"/>
      <c r="Y587" s="35"/>
      <c r="Z587" s="35"/>
      <c r="AA587" s="35"/>
      <c r="AB587" s="35"/>
      <c r="AC587" s="35"/>
      <c r="AD587" s="35"/>
      <c r="AE587" s="35"/>
      <c r="AF587" s="35"/>
      <c r="AG587" s="35"/>
      <c r="AH587" s="35"/>
    </row>
    <row r="588">
      <c r="A588" s="35"/>
      <c r="B588" s="35"/>
      <c r="C588" s="35"/>
      <c r="D588" s="172"/>
      <c r="E588" s="21"/>
      <c r="F588" s="35"/>
      <c r="G588" s="35"/>
      <c r="H588" s="35"/>
      <c r="I588" s="35"/>
      <c r="J588" s="186"/>
      <c r="K588" s="110"/>
      <c r="L588" s="35"/>
      <c r="M588" s="172"/>
      <c r="N588" s="172"/>
      <c r="O588" s="35"/>
      <c r="P588" s="164"/>
      <c r="Q588" s="164"/>
      <c r="R588" s="164"/>
      <c r="S588" s="164"/>
      <c r="T588" s="164"/>
      <c r="U588" s="164"/>
      <c r="V588" s="35"/>
      <c r="W588" s="35"/>
      <c r="X588" s="35"/>
      <c r="Y588" s="35"/>
      <c r="Z588" s="35"/>
      <c r="AA588" s="35"/>
      <c r="AB588" s="35"/>
      <c r="AC588" s="35"/>
      <c r="AD588" s="35"/>
      <c r="AE588" s="35"/>
      <c r="AF588" s="35"/>
      <c r="AG588" s="35"/>
      <c r="AH588" s="35"/>
    </row>
    <row r="589">
      <c r="A589" s="35"/>
      <c r="B589" s="35"/>
      <c r="C589" s="35"/>
      <c r="D589" s="172"/>
      <c r="E589" s="21"/>
      <c r="F589" s="35"/>
      <c r="G589" s="35"/>
      <c r="H589" s="35"/>
      <c r="I589" s="35"/>
      <c r="J589" s="186"/>
      <c r="K589" s="110"/>
      <c r="L589" s="35"/>
      <c r="M589" s="172"/>
      <c r="N589" s="172"/>
      <c r="O589" s="35"/>
      <c r="P589" s="164"/>
      <c r="Q589" s="164"/>
      <c r="R589" s="164"/>
      <c r="S589" s="164"/>
      <c r="T589" s="164"/>
      <c r="U589" s="164"/>
      <c r="V589" s="35"/>
      <c r="W589" s="35"/>
      <c r="X589" s="35"/>
      <c r="Y589" s="35"/>
      <c r="Z589" s="35"/>
      <c r="AA589" s="35"/>
      <c r="AB589" s="35"/>
      <c r="AC589" s="35"/>
      <c r="AD589" s="35"/>
      <c r="AE589" s="35"/>
      <c r="AF589" s="35"/>
      <c r="AG589" s="35"/>
      <c r="AH589" s="35"/>
    </row>
    <row r="590">
      <c r="A590" s="35"/>
      <c r="B590" s="35"/>
      <c r="C590" s="35"/>
      <c r="D590" s="172"/>
      <c r="E590" s="21"/>
      <c r="F590" s="35"/>
      <c r="G590" s="35"/>
      <c r="H590" s="35"/>
      <c r="I590" s="35"/>
      <c r="J590" s="186"/>
      <c r="K590" s="110"/>
      <c r="L590" s="35"/>
      <c r="M590" s="172"/>
      <c r="N590" s="172"/>
      <c r="O590" s="35"/>
      <c r="P590" s="164"/>
      <c r="Q590" s="164"/>
      <c r="R590" s="164"/>
      <c r="S590" s="164"/>
      <c r="T590" s="164"/>
      <c r="U590" s="164"/>
      <c r="V590" s="35"/>
      <c r="W590" s="35"/>
      <c r="X590" s="35"/>
      <c r="Y590" s="35"/>
      <c r="Z590" s="35"/>
      <c r="AA590" s="35"/>
      <c r="AB590" s="35"/>
      <c r="AC590" s="35"/>
      <c r="AD590" s="35"/>
      <c r="AE590" s="35"/>
      <c r="AF590" s="35"/>
      <c r="AG590" s="35"/>
      <c r="AH590" s="35"/>
    </row>
    <row r="591">
      <c r="A591" s="35"/>
      <c r="B591" s="35"/>
      <c r="C591" s="35"/>
      <c r="D591" s="172"/>
      <c r="E591" s="21"/>
      <c r="F591" s="35"/>
      <c r="G591" s="35"/>
      <c r="H591" s="35"/>
      <c r="I591" s="35"/>
      <c r="J591" s="186"/>
      <c r="K591" s="110"/>
      <c r="L591" s="35"/>
      <c r="M591" s="172"/>
      <c r="N591" s="172"/>
      <c r="O591" s="35"/>
      <c r="P591" s="164"/>
      <c r="Q591" s="164"/>
      <c r="R591" s="164"/>
      <c r="S591" s="164"/>
      <c r="T591" s="164"/>
      <c r="U591" s="164"/>
      <c r="V591" s="35"/>
      <c r="W591" s="35"/>
      <c r="X591" s="35"/>
      <c r="Y591" s="35"/>
      <c r="Z591" s="35"/>
      <c r="AA591" s="35"/>
      <c r="AB591" s="35"/>
      <c r="AC591" s="35"/>
      <c r="AD591" s="35"/>
      <c r="AE591" s="35"/>
      <c r="AF591" s="35"/>
      <c r="AG591" s="35"/>
      <c r="AH591" s="35"/>
    </row>
    <row r="592">
      <c r="A592" s="35"/>
      <c r="B592" s="35"/>
      <c r="C592" s="35"/>
      <c r="D592" s="172"/>
      <c r="E592" s="21"/>
      <c r="F592" s="35"/>
      <c r="G592" s="35"/>
      <c r="H592" s="35"/>
      <c r="I592" s="35"/>
      <c r="J592" s="186"/>
      <c r="K592" s="110"/>
      <c r="L592" s="35"/>
      <c r="M592" s="172"/>
      <c r="N592" s="172"/>
      <c r="O592" s="35"/>
      <c r="P592" s="164"/>
      <c r="Q592" s="164"/>
      <c r="R592" s="164"/>
      <c r="S592" s="164"/>
      <c r="T592" s="164"/>
      <c r="U592" s="164"/>
      <c r="V592" s="35"/>
      <c r="W592" s="35"/>
      <c r="X592" s="35"/>
      <c r="Y592" s="35"/>
      <c r="Z592" s="35"/>
      <c r="AA592" s="35"/>
      <c r="AB592" s="35"/>
      <c r="AC592" s="35"/>
      <c r="AD592" s="35"/>
      <c r="AE592" s="35"/>
      <c r="AF592" s="35"/>
      <c r="AG592" s="35"/>
      <c r="AH592" s="35"/>
    </row>
    <row r="593">
      <c r="A593" s="35"/>
      <c r="B593" s="35"/>
      <c r="C593" s="35"/>
      <c r="D593" s="172"/>
      <c r="E593" s="21"/>
      <c r="F593" s="35"/>
      <c r="G593" s="35"/>
      <c r="H593" s="35"/>
      <c r="I593" s="35"/>
      <c r="J593" s="186"/>
      <c r="K593" s="110"/>
      <c r="L593" s="35"/>
      <c r="M593" s="172"/>
      <c r="N593" s="172"/>
      <c r="O593" s="35"/>
      <c r="P593" s="164"/>
      <c r="Q593" s="164"/>
      <c r="R593" s="164"/>
      <c r="S593" s="164"/>
      <c r="T593" s="164"/>
      <c r="U593" s="164"/>
      <c r="V593" s="35"/>
      <c r="W593" s="35"/>
      <c r="X593" s="35"/>
      <c r="Y593" s="35"/>
      <c r="Z593" s="35"/>
      <c r="AA593" s="35"/>
      <c r="AB593" s="35"/>
      <c r="AC593" s="35"/>
      <c r="AD593" s="35"/>
      <c r="AE593" s="35"/>
      <c r="AF593" s="35"/>
      <c r="AG593" s="35"/>
      <c r="AH593" s="35"/>
    </row>
    <row r="594">
      <c r="A594" s="35"/>
      <c r="B594" s="35"/>
      <c r="C594" s="35"/>
      <c r="D594" s="172"/>
      <c r="E594" s="21"/>
      <c r="F594" s="35"/>
      <c r="G594" s="35"/>
      <c r="H594" s="35"/>
      <c r="I594" s="35"/>
      <c r="J594" s="186"/>
      <c r="K594" s="110"/>
      <c r="L594" s="35"/>
      <c r="M594" s="172"/>
      <c r="N594" s="172"/>
      <c r="O594" s="35"/>
      <c r="P594" s="164"/>
      <c r="Q594" s="164"/>
      <c r="R594" s="164"/>
      <c r="S594" s="164"/>
      <c r="T594" s="164"/>
      <c r="U594" s="164"/>
      <c r="V594" s="35"/>
      <c r="W594" s="35"/>
      <c r="X594" s="35"/>
      <c r="Y594" s="35"/>
      <c r="Z594" s="35"/>
      <c r="AA594" s="35"/>
      <c r="AB594" s="35"/>
      <c r="AC594" s="35"/>
      <c r="AD594" s="35"/>
      <c r="AE594" s="35"/>
      <c r="AF594" s="35"/>
      <c r="AG594" s="35"/>
      <c r="AH594" s="35"/>
    </row>
    <row r="595">
      <c r="A595" s="35"/>
      <c r="B595" s="35"/>
      <c r="C595" s="35"/>
      <c r="D595" s="172"/>
      <c r="E595" s="21"/>
      <c r="F595" s="35"/>
      <c r="G595" s="35"/>
      <c r="H595" s="35"/>
      <c r="I595" s="35"/>
      <c r="J595" s="186"/>
      <c r="K595" s="110"/>
      <c r="L595" s="35"/>
      <c r="M595" s="172"/>
      <c r="N595" s="172"/>
      <c r="O595" s="35"/>
      <c r="P595" s="164"/>
      <c r="Q595" s="164"/>
      <c r="R595" s="164"/>
      <c r="S595" s="164"/>
      <c r="T595" s="164"/>
      <c r="U595" s="164"/>
      <c r="V595" s="35"/>
      <c r="W595" s="35"/>
      <c r="X595" s="35"/>
      <c r="Y595" s="35"/>
      <c r="Z595" s="35"/>
      <c r="AA595" s="35"/>
      <c r="AB595" s="35"/>
      <c r="AC595" s="35"/>
      <c r="AD595" s="35"/>
      <c r="AE595" s="35"/>
      <c r="AF595" s="35"/>
      <c r="AG595" s="35"/>
      <c r="AH595" s="35"/>
    </row>
    <row r="596">
      <c r="A596" s="35"/>
      <c r="B596" s="35"/>
      <c r="C596" s="35"/>
      <c r="D596" s="172"/>
      <c r="E596" s="21"/>
      <c r="F596" s="35"/>
      <c r="G596" s="35"/>
      <c r="H596" s="35"/>
      <c r="I596" s="35"/>
      <c r="J596" s="186"/>
      <c r="K596" s="110"/>
      <c r="L596" s="35"/>
      <c r="M596" s="172"/>
      <c r="N596" s="172"/>
      <c r="O596" s="35"/>
      <c r="P596" s="164"/>
      <c r="Q596" s="164"/>
      <c r="R596" s="164"/>
      <c r="S596" s="164"/>
      <c r="T596" s="164"/>
      <c r="U596" s="164"/>
      <c r="V596" s="35"/>
      <c r="W596" s="35"/>
      <c r="X596" s="35"/>
      <c r="Y596" s="35"/>
      <c r="Z596" s="35"/>
      <c r="AA596" s="35"/>
      <c r="AB596" s="35"/>
      <c r="AC596" s="35"/>
      <c r="AD596" s="35"/>
      <c r="AE596" s="35"/>
      <c r="AF596" s="35"/>
      <c r="AG596" s="35"/>
      <c r="AH596" s="35"/>
    </row>
    <row r="597">
      <c r="A597" s="35"/>
      <c r="B597" s="35"/>
      <c r="C597" s="35"/>
      <c r="D597" s="172"/>
      <c r="E597" s="21"/>
      <c r="F597" s="35"/>
      <c r="G597" s="35"/>
      <c r="H597" s="35"/>
      <c r="I597" s="35"/>
      <c r="J597" s="186"/>
      <c r="K597" s="110"/>
      <c r="L597" s="35"/>
      <c r="M597" s="172"/>
      <c r="N597" s="172"/>
      <c r="O597" s="35"/>
      <c r="P597" s="164"/>
      <c r="Q597" s="164"/>
      <c r="R597" s="164"/>
      <c r="S597" s="164"/>
      <c r="T597" s="164"/>
      <c r="U597" s="164"/>
      <c r="V597" s="35"/>
      <c r="W597" s="35"/>
      <c r="X597" s="35"/>
      <c r="Y597" s="35"/>
      <c r="Z597" s="35"/>
      <c r="AA597" s="35"/>
      <c r="AB597" s="35"/>
      <c r="AC597" s="35"/>
      <c r="AD597" s="35"/>
      <c r="AE597" s="35"/>
      <c r="AF597" s="35"/>
      <c r="AG597" s="35"/>
      <c r="AH597" s="35"/>
    </row>
    <row r="598">
      <c r="A598" s="35"/>
      <c r="B598" s="35"/>
      <c r="C598" s="35"/>
      <c r="D598" s="172"/>
      <c r="E598" s="21"/>
      <c r="F598" s="35"/>
      <c r="G598" s="35"/>
      <c r="H598" s="35"/>
      <c r="I598" s="35"/>
      <c r="J598" s="186"/>
      <c r="K598" s="110"/>
      <c r="L598" s="35"/>
      <c r="M598" s="172"/>
      <c r="N598" s="172"/>
      <c r="O598" s="35"/>
      <c r="P598" s="164"/>
      <c r="Q598" s="164"/>
      <c r="R598" s="164"/>
      <c r="S598" s="164"/>
      <c r="T598" s="164"/>
      <c r="U598" s="164"/>
      <c r="V598" s="35"/>
      <c r="W598" s="35"/>
      <c r="X598" s="35"/>
      <c r="Y598" s="35"/>
      <c r="Z598" s="35"/>
      <c r="AA598" s="35"/>
      <c r="AB598" s="35"/>
      <c r="AC598" s="35"/>
      <c r="AD598" s="35"/>
      <c r="AE598" s="35"/>
      <c r="AF598" s="35"/>
      <c r="AG598" s="35"/>
      <c r="AH598" s="35"/>
    </row>
    <row r="599">
      <c r="A599" s="35"/>
      <c r="B599" s="35"/>
      <c r="C599" s="35"/>
      <c r="D599" s="172"/>
      <c r="E599" s="21"/>
      <c r="F599" s="35"/>
      <c r="G599" s="35"/>
      <c r="H599" s="35"/>
      <c r="I599" s="35"/>
      <c r="J599" s="186"/>
      <c r="K599" s="110"/>
      <c r="L599" s="35"/>
      <c r="M599" s="172"/>
      <c r="N599" s="172"/>
      <c r="O599" s="35"/>
      <c r="P599" s="164"/>
      <c r="Q599" s="164"/>
      <c r="R599" s="164"/>
      <c r="S599" s="164"/>
      <c r="T599" s="164"/>
      <c r="U599" s="164"/>
      <c r="V599" s="35"/>
      <c r="W599" s="35"/>
      <c r="X599" s="35"/>
      <c r="Y599" s="35"/>
      <c r="Z599" s="35"/>
      <c r="AA599" s="35"/>
      <c r="AB599" s="35"/>
      <c r="AC599" s="35"/>
      <c r="AD599" s="35"/>
      <c r="AE599" s="35"/>
      <c r="AF599" s="35"/>
      <c r="AG599" s="35"/>
      <c r="AH599" s="35"/>
    </row>
    <row r="600">
      <c r="A600" s="35"/>
      <c r="B600" s="35"/>
      <c r="C600" s="35"/>
      <c r="D600" s="172"/>
      <c r="E600" s="21"/>
      <c r="F600" s="35"/>
      <c r="G600" s="35"/>
      <c r="H600" s="35"/>
      <c r="I600" s="35"/>
      <c r="J600" s="186"/>
      <c r="K600" s="110"/>
      <c r="L600" s="35"/>
      <c r="M600" s="172"/>
      <c r="N600" s="172"/>
      <c r="O600" s="35"/>
      <c r="P600" s="164"/>
      <c r="Q600" s="164"/>
      <c r="R600" s="164"/>
      <c r="S600" s="164"/>
      <c r="T600" s="164"/>
      <c r="U600" s="164"/>
      <c r="V600" s="35"/>
      <c r="W600" s="35"/>
      <c r="X600" s="35"/>
      <c r="Y600" s="35"/>
      <c r="Z600" s="35"/>
      <c r="AA600" s="35"/>
      <c r="AB600" s="35"/>
      <c r="AC600" s="35"/>
      <c r="AD600" s="35"/>
      <c r="AE600" s="35"/>
      <c r="AF600" s="35"/>
      <c r="AG600" s="35"/>
      <c r="AH600" s="35"/>
    </row>
    <row r="601">
      <c r="A601" s="35"/>
      <c r="B601" s="35"/>
      <c r="C601" s="35"/>
      <c r="D601" s="172"/>
      <c r="E601" s="21"/>
      <c r="F601" s="35"/>
      <c r="G601" s="35"/>
      <c r="H601" s="35"/>
      <c r="I601" s="35"/>
      <c r="J601" s="186"/>
      <c r="K601" s="110"/>
      <c r="L601" s="35"/>
      <c r="M601" s="172"/>
      <c r="N601" s="172"/>
      <c r="O601" s="35"/>
      <c r="P601" s="164"/>
      <c r="Q601" s="164"/>
      <c r="R601" s="164"/>
      <c r="S601" s="164"/>
      <c r="T601" s="164"/>
      <c r="U601" s="164"/>
      <c r="V601" s="35"/>
      <c r="W601" s="35"/>
      <c r="X601" s="35"/>
      <c r="Y601" s="35"/>
      <c r="Z601" s="35"/>
      <c r="AA601" s="35"/>
      <c r="AB601" s="35"/>
      <c r="AC601" s="35"/>
      <c r="AD601" s="35"/>
      <c r="AE601" s="35"/>
      <c r="AF601" s="35"/>
      <c r="AG601" s="35"/>
      <c r="AH601" s="35"/>
    </row>
    <row r="602">
      <c r="A602" s="35"/>
      <c r="B602" s="35"/>
      <c r="C602" s="35"/>
      <c r="D602" s="172"/>
      <c r="E602" s="21"/>
      <c r="F602" s="35"/>
      <c r="G602" s="35"/>
      <c r="H602" s="35"/>
      <c r="I602" s="35"/>
      <c r="J602" s="186"/>
      <c r="K602" s="110"/>
      <c r="L602" s="35"/>
      <c r="M602" s="172"/>
      <c r="N602" s="172"/>
      <c r="O602" s="35"/>
      <c r="P602" s="164"/>
      <c r="Q602" s="164"/>
      <c r="R602" s="164"/>
      <c r="S602" s="164"/>
      <c r="T602" s="164"/>
      <c r="U602" s="164"/>
      <c r="V602" s="35"/>
      <c r="W602" s="35"/>
      <c r="X602" s="35"/>
      <c r="Y602" s="35"/>
      <c r="Z602" s="35"/>
      <c r="AA602" s="35"/>
      <c r="AB602" s="35"/>
      <c r="AC602" s="35"/>
      <c r="AD602" s="35"/>
      <c r="AE602" s="35"/>
      <c r="AF602" s="35"/>
      <c r="AG602" s="35"/>
      <c r="AH602" s="35"/>
    </row>
    <row r="603">
      <c r="A603" s="35"/>
      <c r="B603" s="35"/>
      <c r="C603" s="35"/>
      <c r="D603" s="172"/>
      <c r="E603" s="21"/>
      <c r="F603" s="35"/>
      <c r="G603" s="35"/>
      <c r="H603" s="35"/>
      <c r="I603" s="35"/>
      <c r="J603" s="186"/>
      <c r="K603" s="110"/>
      <c r="L603" s="35"/>
      <c r="M603" s="172"/>
      <c r="N603" s="172"/>
      <c r="O603" s="35"/>
      <c r="P603" s="164"/>
      <c r="Q603" s="164"/>
      <c r="R603" s="164"/>
      <c r="S603" s="164"/>
      <c r="T603" s="164"/>
      <c r="U603" s="164"/>
      <c r="V603" s="35"/>
      <c r="W603" s="35"/>
      <c r="X603" s="35"/>
      <c r="Y603" s="35"/>
      <c r="Z603" s="35"/>
      <c r="AA603" s="35"/>
      <c r="AB603" s="35"/>
      <c r="AC603" s="35"/>
      <c r="AD603" s="35"/>
      <c r="AE603" s="35"/>
      <c r="AF603" s="35"/>
      <c r="AG603" s="35"/>
      <c r="AH603" s="35"/>
    </row>
    <row r="604">
      <c r="A604" s="35"/>
      <c r="B604" s="35"/>
      <c r="C604" s="35"/>
      <c r="D604" s="172"/>
      <c r="E604" s="21"/>
      <c r="F604" s="35"/>
      <c r="G604" s="35"/>
      <c r="H604" s="35"/>
      <c r="I604" s="35"/>
      <c r="J604" s="186"/>
      <c r="K604" s="110"/>
      <c r="L604" s="35"/>
      <c r="M604" s="172"/>
      <c r="N604" s="172"/>
      <c r="O604" s="35"/>
      <c r="P604" s="164"/>
      <c r="Q604" s="164"/>
      <c r="R604" s="164"/>
      <c r="S604" s="164"/>
      <c r="T604" s="164"/>
      <c r="U604" s="164"/>
      <c r="V604" s="35"/>
      <c r="W604" s="35"/>
      <c r="X604" s="35"/>
      <c r="Y604" s="35"/>
      <c r="Z604" s="35"/>
      <c r="AA604" s="35"/>
      <c r="AB604" s="35"/>
      <c r="AC604" s="35"/>
      <c r="AD604" s="35"/>
      <c r="AE604" s="35"/>
      <c r="AF604" s="35"/>
      <c r="AG604" s="35"/>
      <c r="AH604" s="35"/>
    </row>
    <row r="605">
      <c r="A605" s="35"/>
      <c r="B605" s="35"/>
      <c r="C605" s="35"/>
      <c r="D605" s="172"/>
      <c r="E605" s="21"/>
      <c r="F605" s="35"/>
      <c r="G605" s="35"/>
      <c r="H605" s="35"/>
      <c r="I605" s="35"/>
      <c r="J605" s="186"/>
      <c r="K605" s="110"/>
      <c r="L605" s="35"/>
      <c r="M605" s="172"/>
      <c r="N605" s="172"/>
      <c r="O605" s="35"/>
      <c r="P605" s="164"/>
      <c r="Q605" s="164"/>
      <c r="R605" s="164"/>
      <c r="S605" s="164"/>
      <c r="T605" s="164"/>
      <c r="U605" s="164"/>
      <c r="V605" s="35"/>
      <c r="W605" s="35"/>
      <c r="X605" s="35"/>
      <c r="Y605" s="35"/>
      <c r="Z605" s="35"/>
      <c r="AA605" s="35"/>
      <c r="AB605" s="35"/>
      <c r="AC605" s="35"/>
      <c r="AD605" s="35"/>
      <c r="AE605" s="35"/>
      <c r="AF605" s="35"/>
      <c r="AG605" s="35"/>
      <c r="AH605" s="35"/>
    </row>
    <row r="606">
      <c r="A606" s="35"/>
      <c r="B606" s="35"/>
      <c r="C606" s="35"/>
      <c r="D606" s="172"/>
      <c r="E606" s="21"/>
      <c r="F606" s="35"/>
      <c r="G606" s="35"/>
      <c r="H606" s="35"/>
      <c r="I606" s="35"/>
      <c r="J606" s="186"/>
      <c r="K606" s="110"/>
      <c r="L606" s="35"/>
      <c r="M606" s="172"/>
      <c r="N606" s="172"/>
      <c r="O606" s="35"/>
      <c r="P606" s="164"/>
      <c r="Q606" s="164"/>
      <c r="R606" s="164"/>
      <c r="S606" s="164"/>
      <c r="T606" s="164"/>
      <c r="U606" s="164"/>
      <c r="V606" s="35"/>
      <c r="W606" s="35"/>
      <c r="X606" s="35"/>
      <c r="Y606" s="35"/>
      <c r="Z606" s="35"/>
      <c r="AA606" s="35"/>
      <c r="AB606" s="35"/>
      <c r="AC606" s="35"/>
      <c r="AD606" s="35"/>
      <c r="AE606" s="35"/>
      <c r="AF606" s="35"/>
      <c r="AG606" s="35"/>
      <c r="AH606" s="35"/>
    </row>
    <row r="607">
      <c r="A607" s="35"/>
      <c r="B607" s="35"/>
      <c r="C607" s="35"/>
      <c r="D607" s="172"/>
      <c r="E607" s="21"/>
      <c r="F607" s="35"/>
      <c r="G607" s="35"/>
      <c r="H607" s="35"/>
      <c r="I607" s="35"/>
      <c r="J607" s="186"/>
      <c r="K607" s="110"/>
      <c r="L607" s="35"/>
      <c r="M607" s="172"/>
      <c r="N607" s="172"/>
      <c r="O607" s="35"/>
      <c r="P607" s="164"/>
      <c r="Q607" s="164"/>
      <c r="R607" s="164"/>
      <c r="S607" s="164"/>
      <c r="T607" s="164"/>
      <c r="U607" s="164"/>
      <c r="V607" s="35"/>
      <c r="W607" s="35"/>
      <c r="X607" s="35"/>
      <c r="Y607" s="35"/>
      <c r="Z607" s="35"/>
      <c r="AA607" s="35"/>
      <c r="AB607" s="35"/>
      <c r="AC607" s="35"/>
      <c r="AD607" s="35"/>
      <c r="AE607" s="35"/>
      <c r="AF607" s="35"/>
      <c r="AG607" s="35"/>
      <c r="AH607" s="35"/>
    </row>
    <row r="608">
      <c r="A608" s="35"/>
      <c r="B608" s="35"/>
      <c r="C608" s="35"/>
      <c r="D608" s="172"/>
      <c r="E608" s="21"/>
      <c r="F608" s="35"/>
      <c r="G608" s="35"/>
      <c r="H608" s="35"/>
      <c r="I608" s="35"/>
      <c r="J608" s="186"/>
      <c r="K608" s="110"/>
      <c r="L608" s="35"/>
      <c r="M608" s="172"/>
      <c r="N608" s="172"/>
      <c r="O608" s="35"/>
      <c r="P608" s="164"/>
      <c r="Q608" s="164"/>
      <c r="R608" s="164"/>
      <c r="S608" s="164"/>
      <c r="T608" s="164"/>
      <c r="U608" s="164"/>
      <c r="V608" s="35"/>
      <c r="W608" s="35"/>
      <c r="X608" s="35"/>
      <c r="Y608" s="35"/>
      <c r="Z608" s="35"/>
      <c r="AA608" s="35"/>
      <c r="AB608" s="35"/>
      <c r="AC608" s="35"/>
      <c r="AD608" s="35"/>
      <c r="AE608" s="35"/>
      <c r="AF608" s="35"/>
      <c r="AG608" s="35"/>
      <c r="AH608" s="35"/>
    </row>
    <row r="609">
      <c r="A609" s="35"/>
      <c r="B609" s="35"/>
      <c r="C609" s="35"/>
      <c r="D609" s="172"/>
      <c r="E609" s="21"/>
      <c r="F609" s="35"/>
      <c r="G609" s="35"/>
      <c r="H609" s="35"/>
      <c r="I609" s="35"/>
      <c r="J609" s="186"/>
      <c r="K609" s="110"/>
      <c r="L609" s="35"/>
      <c r="M609" s="172"/>
      <c r="N609" s="172"/>
      <c r="O609" s="35"/>
      <c r="P609" s="164"/>
      <c r="Q609" s="164"/>
      <c r="R609" s="164"/>
      <c r="S609" s="164"/>
      <c r="T609" s="164"/>
      <c r="U609" s="164"/>
      <c r="V609" s="35"/>
      <c r="W609" s="35"/>
      <c r="X609" s="35"/>
      <c r="Y609" s="35"/>
      <c r="Z609" s="35"/>
      <c r="AA609" s="35"/>
      <c r="AB609" s="35"/>
      <c r="AC609" s="35"/>
      <c r="AD609" s="35"/>
      <c r="AE609" s="35"/>
      <c r="AF609" s="35"/>
      <c r="AG609" s="35"/>
      <c r="AH609" s="35"/>
    </row>
    <row r="610">
      <c r="A610" s="35"/>
      <c r="B610" s="35"/>
      <c r="C610" s="35"/>
      <c r="D610" s="172"/>
      <c r="E610" s="21"/>
      <c r="F610" s="35"/>
      <c r="G610" s="35"/>
      <c r="H610" s="35"/>
      <c r="I610" s="35"/>
      <c r="J610" s="186"/>
      <c r="K610" s="110"/>
      <c r="L610" s="35"/>
      <c r="M610" s="172"/>
      <c r="N610" s="172"/>
      <c r="O610" s="35"/>
      <c r="P610" s="164"/>
      <c r="Q610" s="164"/>
      <c r="R610" s="164"/>
      <c r="S610" s="164"/>
      <c r="T610" s="164"/>
      <c r="U610" s="164"/>
      <c r="V610" s="35"/>
      <c r="W610" s="35"/>
      <c r="X610" s="35"/>
      <c r="Y610" s="35"/>
      <c r="Z610" s="35"/>
      <c r="AA610" s="35"/>
      <c r="AB610" s="35"/>
      <c r="AC610" s="35"/>
      <c r="AD610" s="35"/>
      <c r="AE610" s="35"/>
      <c r="AF610" s="35"/>
      <c r="AG610" s="35"/>
      <c r="AH610" s="35"/>
    </row>
    <row r="611">
      <c r="A611" s="35"/>
      <c r="B611" s="35"/>
      <c r="C611" s="35"/>
      <c r="D611" s="172"/>
      <c r="E611" s="21"/>
      <c r="F611" s="35"/>
      <c r="G611" s="35"/>
      <c r="H611" s="35"/>
      <c r="I611" s="35"/>
      <c r="J611" s="186"/>
      <c r="K611" s="110"/>
      <c r="L611" s="35"/>
      <c r="M611" s="172"/>
      <c r="N611" s="172"/>
      <c r="O611" s="35"/>
      <c r="P611" s="164"/>
      <c r="Q611" s="164"/>
      <c r="R611" s="164"/>
      <c r="S611" s="164"/>
      <c r="T611" s="164"/>
      <c r="U611" s="164"/>
      <c r="V611" s="35"/>
      <c r="W611" s="35"/>
      <c r="X611" s="35"/>
      <c r="Y611" s="35"/>
      <c r="Z611" s="35"/>
      <c r="AA611" s="35"/>
      <c r="AB611" s="35"/>
      <c r="AC611" s="35"/>
      <c r="AD611" s="35"/>
      <c r="AE611" s="35"/>
      <c r="AF611" s="35"/>
      <c r="AG611" s="35"/>
      <c r="AH611" s="35"/>
    </row>
    <row r="612">
      <c r="A612" s="35"/>
      <c r="B612" s="35"/>
      <c r="C612" s="35"/>
      <c r="D612" s="172"/>
      <c r="E612" s="21"/>
      <c r="F612" s="35"/>
      <c r="G612" s="35"/>
      <c r="H612" s="35"/>
      <c r="I612" s="35"/>
      <c r="J612" s="186"/>
      <c r="K612" s="110"/>
      <c r="L612" s="35"/>
      <c r="M612" s="172"/>
      <c r="N612" s="172"/>
      <c r="O612" s="35"/>
      <c r="P612" s="164"/>
      <c r="Q612" s="164"/>
      <c r="R612" s="164"/>
      <c r="S612" s="164"/>
      <c r="T612" s="164"/>
      <c r="U612" s="164"/>
      <c r="V612" s="35"/>
      <c r="W612" s="35"/>
      <c r="X612" s="35"/>
      <c r="Y612" s="35"/>
      <c r="Z612" s="35"/>
      <c r="AA612" s="35"/>
      <c r="AB612" s="35"/>
      <c r="AC612" s="35"/>
      <c r="AD612" s="35"/>
      <c r="AE612" s="35"/>
      <c r="AF612" s="35"/>
      <c r="AG612" s="35"/>
      <c r="AH612" s="35"/>
    </row>
    <row r="613">
      <c r="A613" s="35"/>
      <c r="B613" s="35"/>
      <c r="C613" s="35"/>
      <c r="D613" s="172"/>
      <c r="E613" s="21"/>
      <c r="F613" s="35"/>
      <c r="G613" s="35"/>
      <c r="H613" s="35"/>
      <c r="I613" s="35"/>
      <c r="J613" s="186"/>
      <c r="K613" s="110"/>
      <c r="L613" s="35"/>
      <c r="M613" s="172"/>
      <c r="N613" s="172"/>
      <c r="O613" s="35"/>
      <c r="P613" s="164"/>
      <c r="Q613" s="164"/>
      <c r="R613" s="164"/>
      <c r="S613" s="164"/>
      <c r="T613" s="164"/>
      <c r="U613" s="164"/>
      <c r="V613" s="35"/>
      <c r="W613" s="35"/>
      <c r="X613" s="35"/>
      <c r="Y613" s="35"/>
      <c r="Z613" s="35"/>
      <c r="AA613" s="35"/>
      <c r="AB613" s="35"/>
      <c r="AC613" s="35"/>
      <c r="AD613" s="35"/>
      <c r="AE613" s="35"/>
      <c r="AF613" s="35"/>
      <c r="AG613" s="35"/>
      <c r="AH613" s="35"/>
    </row>
    <row r="614">
      <c r="A614" s="35"/>
      <c r="B614" s="35"/>
      <c r="C614" s="35"/>
      <c r="D614" s="172"/>
      <c r="E614" s="21"/>
      <c r="F614" s="35"/>
      <c r="G614" s="35"/>
      <c r="H614" s="35"/>
      <c r="I614" s="35"/>
      <c r="J614" s="186"/>
      <c r="K614" s="110"/>
      <c r="L614" s="35"/>
      <c r="M614" s="172"/>
      <c r="N614" s="172"/>
      <c r="O614" s="35"/>
      <c r="P614" s="164"/>
      <c r="Q614" s="164"/>
      <c r="R614" s="164"/>
      <c r="S614" s="164"/>
      <c r="T614" s="164"/>
      <c r="U614" s="164"/>
      <c r="V614" s="35"/>
      <c r="W614" s="35"/>
      <c r="X614" s="35"/>
      <c r="Y614" s="35"/>
      <c r="Z614" s="35"/>
      <c r="AA614" s="35"/>
      <c r="AB614" s="35"/>
      <c r="AC614" s="35"/>
      <c r="AD614" s="35"/>
      <c r="AE614" s="35"/>
      <c r="AF614" s="35"/>
      <c r="AG614" s="35"/>
      <c r="AH614" s="35"/>
    </row>
    <row r="615">
      <c r="A615" s="35"/>
      <c r="B615" s="35"/>
      <c r="C615" s="35"/>
      <c r="D615" s="172"/>
      <c r="E615" s="21"/>
      <c r="F615" s="35"/>
      <c r="G615" s="35"/>
      <c r="H615" s="35"/>
      <c r="I615" s="35"/>
      <c r="J615" s="186"/>
      <c r="K615" s="110"/>
      <c r="L615" s="35"/>
      <c r="M615" s="172"/>
      <c r="N615" s="172"/>
      <c r="O615" s="35"/>
      <c r="P615" s="164"/>
      <c r="Q615" s="164"/>
      <c r="R615" s="164"/>
      <c r="S615" s="164"/>
      <c r="T615" s="164"/>
      <c r="U615" s="164"/>
      <c r="V615" s="35"/>
      <c r="W615" s="35"/>
      <c r="X615" s="35"/>
      <c r="Y615" s="35"/>
      <c r="Z615" s="35"/>
      <c r="AA615" s="35"/>
      <c r="AB615" s="35"/>
      <c r="AC615" s="35"/>
      <c r="AD615" s="35"/>
      <c r="AE615" s="35"/>
      <c r="AF615" s="35"/>
      <c r="AG615" s="35"/>
      <c r="AH615" s="35"/>
    </row>
    <row r="616">
      <c r="A616" s="35"/>
      <c r="B616" s="35"/>
      <c r="C616" s="35"/>
      <c r="D616" s="172"/>
      <c r="E616" s="21"/>
      <c r="F616" s="35"/>
      <c r="G616" s="35"/>
      <c r="H616" s="35"/>
      <c r="I616" s="35"/>
      <c r="J616" s="186"/>
      <c r="K616" s="110"/>
      <c r="L616" s="35"/>
      <c r="M616" s="172"/>
      <c r="N616" s="172"/>
      <c r="O616" s="35"/>
      <c r="P616" s="164"/>
      <c r="Q616" s="164"/>
      <c r="R616" s="164"/>
      <c r="S616" s="164"/>
      <c r="T616" s="164"/>
      <c r="U616" s="164"/>
      <c r="V616" s="35"/>
      <c r="W616" s="35"/>
      <c r="X616" s="35"/>
      <c r="Y616" s="35"/>
      <c r="Z616" s="35"/>
      <c r="AA616" s="35"/>
      <c r="AB616" s="35"/>
      <c r="AC616" s="35"/>
      <c r="AD616" s="35"/>
      <c r="AE616" s="35"/>
      <c r="AF616" s="35"/>
      <c r="AG616" s="35"/>
      <c r="AH616" s="35"/>
    </row>
    <row r="617">
      <c r="A617" s="35"/>
      <c r="B617" s="35"/>
      <c r="C617" s="35"/>
      <c r="D617" s="172"/>
      <c r="E617" s="21"/>
      <c r="F617" s="35"/>
      <c r="G617" s="35"/>
      <c r="H617" s="35"/>
      <c r="I617" s="35"/>
      <c r="J617" s="186"/>
      <c r="K617" s="110"/>
      <c r="L617" s="35"/>
      <c r="M617" s="172"/>
      <c r="N617" s="172"/>
      <c r="O617" s="35"/>
      <c r="P617" s="164"/>
      <c r="Q617" s="164"/>
      <c r="R617" s="164"/>
      <c r="S617" s="164"/>
      <c r="T617" s="164"/>
      <c r="U617" s="164"/>
      <c r="V617" s="35"/>
      <c r="W617" s="35"/>
      <c r="X617" s="35"/>
      <c r="Y617" s="35"/>
      <c r="Z617" s="35"/>
      <c r="AA617" s="35"/>
      <c r="AB617" s="35"/>
      <c r="AC617" s="35"/>
      <c r="AD617" s="35"/>
      <c r="AE617" s="35"/>
      <c r="AF617" s="35"/>
      <c r="AG617" s="35"/>
      <c r="AH617" s="35"/>
    </row>
    <row r="618">
      <c r="A618" s="35"/>
      <c r="B618" s="35"/>
      <c r="C618" s="35"/>
      <c r="D618" s="172"/>
      <c r="E618" s="21"/>
      <c r="F618" s="35"/>
      <c r="G618" s="35"/>
      <c r="H618" s="35"/>
      <c r="I618" s="35"/>
      <c r="J618" s="186"/>
      <c r="K618" s="110"/>
      <c r="L618" s="35"/>
      <c r="M618" s="172"/>
      <c r="N618" s="172"/>
      <c r="O618" s="35"/>
      <c r="P618" s="164"/>
      <c r="Q618" s="164"/>
      <c r="R618" s="164"/>
      <c r="S618" s="164"/>
      <c r="T618" s="164"/>
      <c r="U618" s="164"/>
      <c r="V618" s="35"/>
      <c r="W618" s="35"/>
      <c r="X618" s="35"/>
      <c r="Y618" s="35"/>
      <c r="Z618" s="35"/>
      <c r="AA618" s="35"/>
      <c r="AB618" s="35"/>
      <c r="AC618" s="35"/>
      <c r="AD618" s="35"/>
      <c r="AE618" s="35"/>
      <c r="AF618" s="35"/>
      <c r="AG618" s="35"/>
      <c r="AH618" s="35"/>
    </row>
    <row r="619">
      <c r="A619" s="35"/>
      <c r="B619" s="35"/>
      <c r="C619" s="35"/>
      <c r="D619" s="172"/>
      <c r="E619" s="21"/>
      <c r="F619" s="35"/>
      <c r="G619" s="35"/>
      <c r="H619" s="35"/>
      <c r="I619" s="35"/>
      <c r="J619" s="186"/>
      <c r="K619" s="110"/>
      <c r="L619" s="35"/>
      <c r="M619" s="172"/>
      <c r="N619" s="172"/>
      <c r="O619" s="35"/>
      <c r="P619" s="164"/>
      <c r="Q619" s="164"/>
      <c r="R619" s="164"/>
      <c r="S619" s="164"/>
      <c r="T619" s="164"/>
      <c r="U619" s="164"/>
      <c r="V619" s="35"/>
      <c r="W619" s="35"/>
      <c r="X619" s="35"/>
      <c r="Y619" s="35"/>
      <c r="Z619" s="35"/>
      <c r="AA619" s="35"/>
      <c r="AB619" s="35"/>
      <c r="AC619" s="35"/>
      <c r="AD619" s="35"/>
      <c r="AE619" s="35"/>
      <c r="AF619" s="35"/>
      <c r="AG619" s="35"/>
      <c r="AH619" s="35"/>
    </row>
    <row r="620">
      <c r="A620" s="35"/>
      <c r="B620" s="35"/>
      <c r="C620" s="35"/>
      <c r="D620" s="172"/>
      <c r="E620" s="21"/>
      <c r="F620" s="35"/>
      <c r="G620" s="35"/>
      <c r="H620" s="35"/>
      <c r="I620" s="35"/>
      <c r="J620" s="186"/>
      <c r="K620" s="110"/>
      <c r="L620" s="35"/>
      <c r="M620" s="172"/>
      <c r="N620" s="172"/>
      <c r="O620" s="35"/>
      <c r="P620" s="164"/>
      <c r="Q620" s="164"/>
      <c r="R620" s="164"/>
      <c r="S620" s="164"/>
      <c r="T620" s="164"/>
      <c r="U620" s="164"/>
      <c r="V620" s="35"/>
      <c r="W620" s="35"/>
      <c r="X620" s="35"/>
      <c r="Y620" s="35"/>
      <c r="Z620" s="35"/>
      <c r="AA620" s="35"/>
      <c r="AB620" s="35"/>
      <c r="AC620" s="35"/>
      <c r="AD620" s="35"/>
      <c r="AE620" s="35"/>
      <c r="AF620" s="35"/>
      <c r="AG620" s="35"/>
      <c r="AH620" s="35"/>
    </row>
    <row r="621">
      <c r="A621" s="35"/>
      <c r="B621" s="35"/>
      <c r="C621" s="35"/>
      <c r="D621" s="172"/>
      <c r="E621" s="21"/>
      <c r="F621" s="35"/>
      <c r="G621" s="35"/>
      <c r="H621" s="35"/>
      <c r="I621" s="35"/>
      <c r="J621" s="186"/>
      <c r="K621" s="110"/>
      <c r="L621" s="35"/>
      <c r="M621" s="172"/>
      <c r="N621" s="172"/>
      <c r="O621" s="35"/>
      <c r="P621" s="164"/>
      <c r="Q621" s="164"/>
      <c r="R621" s="164"/>
      <c r="S621" s="164"/>
      <c r="T621" s="164"/>
      <c r="U621" s="164"/>
      <c r="V621" s="35"/>
      <c r="W621" s="35"/>
      <c r="X621" s="35"/>
      <c r="Y621" s="35"/>
      <c r="Z621" s="35"/>
      <c r="AA621" s="35"/>
      <c r="AB621" s="35"/>
      <c r="AC621" s="35"/>
      <c r="AD621" s="35"/>
      <c r="AE621" s="35"/>
      <c r="AF621" s="35"/>
      <c r="AG621" s="35"/>
      <c r="AH621" s="35"/>
    </row>
    <row r="622">
      <c r="A622" s="35"/>
      <c r="B622" s="35"/>
      <c r="C622" s="35"/>
      <c r="D622" s="172"/>
      <c r="E622" s="21"/>
      <c r="F622" s="35"/>
      <c r="G622" s="35"/>
      <c r="H622" s="35"/>
      <c r="I622" s="35"/>
      <c r="J622" s="186"/>
      <c r="K622" s="110"/>
      <c r="L622" s="35"/>
      <c r="M622" s="172"/>
      <c r="N622" s="172"/>
      <c r="O622" s="35"/>
      <c r="P622" s="164"/>
      <c r="Q622" s="164"/>
      <c r="R622" s="164"/>
      <c r="S622" s="164"/>
      <c r="T622" s="164"/>
      <c r="U622" s="164"/>
      <c r="V622" s="35"/>
      <c r="W622" s="35"/>
      <c r="X622" s="35"/>
      <c r="Y622" s="35"/>
      <c r="Z622" s="35"/>
      <c r="AA622" s="35"/>
      <c r="AB622" s="35"/>
      <c r="AC622" s="35"/>
      <c r="AD622" s="35"/>
      <c r="AE622" s="35"/>
      <c r="AF622" s="35"/>
      <c r="AG622" s="35"/>
      <c r="AH622" s="35"/>
    </row>
    <row r="623">
      <c r="A623" s="35"/>
      <c r="B623" s="35"/>
      <c r="C623" s="35"/>
      <c r="D623" s="172"/>
      <c r="E623" s="21"/>
      <c r="F623" s="35"/>
      <c r="G623" s="35"/>
      <c r="H623" s="35"/>
      <c r="I623" s="35"/>
      <c r="J623" s="186"/>
      <c r="K623" s="110"/>
      <c r="L623" s="35"/>
      <c r="M623" s="172"/>
      <c r="N623" s="172"/>
      <c r="O623" s="35"/>
      <c r="P623" s="164"/>
      <c r="Q623" s="164"/>
      <c r="R623" s="164"/>
      <c r="S623" s="164"/>
      <c r="T623" s="164"/>
      <c r="U623" s="164"/>
      <c r="V623" s="35"/>
      <c r="W623" s="35"/>
      <c r="X623" s="35"/>
      <c r="Y623" s="35"/>
      <c r="Z623" s="35"/>
      <c r="AA623" s="35"/>
      <c r="AB623" s="35"/>
      <c r="AC623" s="35"/>
      <c r="AD623" s="35"/>
      <c r="AE623" s="35"/>
      <c r="AF623" s="35"/>
      <c r="AG623" s="35"/>
      <c r="AH623" s="35"/>
    </row>
    <row r="624">
      <c r="A624" s="35"/>
      <c r="B624" s="35"/>
      <c r="C624" s="35"/>
      <c r="D624" s="172"/>
      <c r="E624" s="21"/>
      <c r="F624" s="35"/>
      <c r="G624" s="35"/>
      <c r="H624" s="35"/>
      <c r="I624" s="35"/>
      <c r="J624" s="186"/>
      <c r="K624" s="110"/>
      <c r="L624" s="35"/>
      <c r="M624" s="172"/>
      <c r="N624" s="172"/>
      <c r="O624" s="35"/>
      <c r="P624" s="164"/>
      <c r="Q624" s="164"/>
      <c r="R624" s="164"/>
      <c r="S624" s="164"/>
      <c r="T624" s="164"/>
      <c r="U624" s="164"/>
      <c r="V624" s="35"/>
      <c r="W624" s="35"/>
      <c r="X624" s="35"/>
      <c r="Y624" s="35"/>
      <c r="Z624" s="35"/>
      <c r="AA624" s="35"/>
      <c r="AB624" s="35"/>
      <c r="AC624" s="35"/>
      <c r="AD624" s="35"/>
      <c r="AE624" s="35"/>
      <c r="AF624" s="35"/>
      <c r="AG624" s="35"/>
      <c r="AH624" s="35"/>
    </row>
    <row r="625">
      <c r="A625" s="35"/>
      <c r="B625" s="35"/>
      <c r="C625" s="35"/>
      <c r="D625" s="172"/>
      <c r="E625" s="21"/>
      <c r="F625" s="35"/>
      <c r="G625" s="35"/>
      <c r="H625" s="35"/>
      <c r="I625" s="35"/>
      <c r="J625" s="186"/>
      <c r="K625" s="110"/>
      <c r="L625" s="35"/>
      <c r="M625" s="172"/>
      <c r="N625" s="172"/>
      <c r="O625" s="35"/>
      <c r="P625" s="164"/>
      <c r="Q625" s="164"/>
      <c r="R625" s="164"/>
      <c r="S625" s="164"/>
      <c r="T625" s="164"/>
      <c r="U625" s="164"/>
      <c r="V625" s="35"/>
      <c r="W625" s="35"/>
      <c r="X625" s="35"/>
      <c r="Y625" s="35"/>
      <c r="Z625" s="35"/>
      <c r="AA625" s="35"/>
      <c r="AB625" s="35"/>
      <c r="AC625" s="35"/>
      <c r="AD625" s="35"/>
      <c r="AE625" s="35"/>
      <c r="AF625" s="35"/>
      <c r="AG625" s="35"/>
      <c r="AH625" s="35"/>
    </row>
    <row r="626">
      <c r="A626" s="35"/>
      <c r="B626" s="35"/>
      <c r="C626" s="35"/>
      <c r="D626" s="172"/>
      <c r="E626" s="21"/>
      <c r="F626" s="35"/>
      <c r="G626" s="35"/>
      <c r="H626" s="35"/>
      <c r="I626" s="35"/>
      <c r="J626" s="186"/>
      <c r="K626" s="110"/>
      <c r="L626" s="35"/>
      <c r="M626" s="172"/>
      <c r="N626" s="172"/>
      <c r="O626" s="35"/>
      <c r="P626" s="164"/>
      <c r="Q626" s="164"/>
      <c r="R626" s="164"/>
      <c r="S626" s="164"/>
      <c r="T626" s="164"/>
      <c r="U626" s="164"/>
      <c r="V626" s="35"/>
      <c r="W626" s="35"/>
      <c r="X626" s="35"/>
      <c r="Y626" s="35"/>
      <c r="Z626" s="35"/>
      <c r="AA626" s="35"/>
      <c r="AB626" s="35"/>
      <c r="AC626" s="35"/>
      <c r="AD626" s="35"/>
      <c r="AE626" s="35"/>
      <c r="AF626" s="35"/>
      <c r="AG626" s="35"/>
      <c r="AH626" s="35"/>
    </row>
    <row r="627">
      <c r="A627" s="35"/>
      <c r="B627" s="35"/>
      <c r="C627" s="35"/>
      <c r="D627" s="172"/>
      <c r="E627" s="21"/>
      <c r="F627" s="35"/>
      <c r="G627" s="35"/>
      <c r="H627" s="35"/>
      <c r="I627" s="35"/>
      <c r="J627" s="186"/>
      <c r="K627" s="110"/>
      <c r="L627" s="35"/>
      <c r="M627" s="172"/>
      <c r="N627" s="172"/>
      <c r="O627" s="35"/>
      <c r="P627" s="164"/>
      <c r="Q627" s="164"/>
      <c r="R627" s="164"/>
      <c r="S627" s="164"/>
      <c r="T627" s="164"/>
      <c r="U627" s="164"/>
      <c r="V627" s="35"/>
      <c r="W627" s="35"/>
      <c r="X627" s="35"/>
      <c r="Y627" s="35"/>
      <c r="Z627" s="35"/>
      <c r="AA627" s="35"/>
      <c r="AB627" s="35"/>
      <c r="AC627" s="35"/>
      <c r="AD627" s="35"/>
      <c r="AE627" s="35"/>
      <c r="AF627" s="35"/>
      <c r="AG627" s="35"/>
      <c r="AH627" s="35"/>
    </row>
    <row r="628">
      <c r="A628" s="35"/>
      <c r="B628" s="35"/>
      <c r="C628" s="35"/>
      <c r="D628" s="172"/>
      <c r="E628" s="21"/>
      <c r="F628" s="35"/>
      <c r="G628" s="35"/>
      <c r="H628" s="35"/>
      <c r="I628" s="35"/>
      <c r="J628" s="186"/>
      <c r="K628" s="110"/>
      <c r="L628" s="35"/>
      <c r="M628" s="172"/>
      <c r="N628" s="172"/>
      <c r="O628" s="35"/>
      <c r="P628" s="164"/>
      <c r="Q628" s="164"/>
      <c r="R628" s="164"/>
      <c r="S628" s="164"/>
      <c r="T628" s="164"/>
      <c r="U628" s="164"/>
      <c r="V628" s="35"/>
      <c r="W628" s="35"/>
      <c r="X628" s="35"/>
      <c r="Y628" s="35"/>
      <c r="Z628" s="35"/>
      <c r="AA628" s="35"/>
      <c r="AB628" s="35"/>
      <c r="AC628" s="35"/>
      <c r="AD628" s="35"/>
      <c r="AE628" s="35"/>
      <c r="AF628" s="35"/>
      <c r="AG628" s="35"/>
      <c r="AH628" s="35"/>
    </row>
    <row r="629">
      <c r="A629" s="35"/>
      <c r="B629" s="35"/>
      <c r="C629" s="35"/>
      <c r="D629" s="172"/>
      <c r="E629" s="21"/>
      <c r="F629" s="35"/>
      <c r="G629" s="35"/>
      <c r="H629" s="35"/>
      <c r="I629" s="35"/>
      <c r="J629" s="186"/>
      <c r="K629" s="110"/>
      <c r="L629" s="35"/>
      <c r="M629" s="172"/>
      <c r="N629" s="172"/>
      <c r="O629" s="35"/>
      <c r="P629" s="164"/>
      <c r="Q629" s="164"/>
      <c r="R629" s="164"/>
      <c r="S629" s="164"/>
      <c r="T629" s="164"/>
      <c r="U629" s="164"/>
      <c r="V629" s="35"/>
      <c r="W629" s="35"/>
      <c r="X629" s="35"/>
      <c r="Y629" s="35"/>
      <c r="Z629" s="35"/>
      <c r="AA629" s="35"/>
      <c r="AB629" s="35"/>
      <c r="AC629" s="35"/>
      <c r="AD629" s="35"/>
      <c r="AE629" s="35"/>
      <c r="AF629" s="35"/>
      <c r="AG629" s="35"/>
      <c r="AH629" s="35"/>
    </row>
    <row r="630">
      <c r="A630" s="35"/>
      <c r="B630" s="35"/>
      <c r="C630" s="35"/>
      <c r="D630" s="172"/>
      <c r="E630" s="21"/>
      <c r="F630" s="35"/>
      <c r="G630" s="35"/>
      <c r="H630" s="35"/>
      <c r="I630" s="35"/>
      <c r="J630" s="186"/>
      <c r="K630" s="110"/>
      <c r="L630" s="35"/>
      <c r="M630" s="172"/>
      <c r="N630" s="172"/>
      <c r="O630" s="35"/>
      <c r="P630" s="164"/>
      <c r="Q630" s="164"/>
      <c r="R630" s="164"/>
      <c r="S630" s="164"/>
      <c r="T630" s="164"/>
      <c r="U630" s="164"/>
      <c r="V630" s="35"/>
      <c r="W630" s="35"/>
      <c r="X630" s="35"/>
      <c r="Y630" s="35"/>
      <c r="Z630" s="35"/>
      <c r="AA630" s="35"/>
      <c r="AB630" s="35"/>
      <c r="AC630" s="35"/>
      <c r="AD630" s="35"/>
      <c r="AE630" s="35"/>
      <c r="AF630" s="35"/>
      <c r="AG630" s="35"/>
      <c r="AH630" s="35"/>
    </row>
    <row r="631">
      <c r="A631" s="35"/>
      <c r="B631" s="35"/>
      <c r="C631" s="35"/>
      <c r="D631" s="172"/>
      <c r="E631" s="21"/>
      <c r="F631" s="35"/>
      <c r="G631" s="35"/>
      <c r="H631" s="35"/>
      <c r="I631" s="35"/>
      <c r="J631" s="186"/>
      <c r="K631" s="110"/>
      <c r="L631" s="35"/>
      <c r="M631" s="172"/>
      <c r="N631" s="172"/>
      <c r="O631" s="35"/>
      <c r="P631" s="164"/>
      <c r="Q631" s="164"/>
      <c r="R631" s="164"/>
      <c r="S631" s="164"/>
      <c r="T631" s="164"/>
      <c r="U631" s="164"/>
      <c r="V631" s="35"/>
      <c r="W631" s="35"/>
      <c r="X631" s="35"/>
      <c r="Y631" s="35"/>
      <c r="Z631" s="35"/>
      <c r="AA631" s="35"/>
      <c r="AB631" s="35"/>
      <c r="AC631" s="35"/>
      <c r="AD631" s="35"/>
      <c r="AE631" s="35"/>
      <c r="AF631" s="35"/>
      <c r="AG631" s="35"/>
      <c r="AH631" s="35"/>
    </row>
    <row r="632">
      <c r="A632" s="35"/>
      <c r="B632" s="35"/>
      <c r="C632" s="35"/>
      <c r="D632" s="172"/>
      <c r="E632" s="21"/>
      <c r="F632" s="35"/>
      <c r="G632" s="35"/>
      <c r="H632" s="35"/>
      <c r="I632" s="35"/>
      <c r="J632" s="186"/>
      <c r="K632" s="110"/>
      <c r="L632" s="35"/>
      <c r="M632" s="172"/>
      <c r="N632" s="172"/>
      <c r="O632" s="35"/>
      <c r="P632" s="164"/>
      <c r="Q632" s="164"/>
      <c r="R632" s="164"/>
      <c r="S632" s="164"/>
      <c r="T632" s="164"/>
      <c r="U632" s="164"/>
      <c r="V632" s="35"/>
      <c r="W632" s="35"/>
      <c r="X632" s="35"/>
      <c r="Y632" s="35"/>
      <c r="Z632" s="35"/>
      <c r="AA632" s="35"/>
      <c r="AB632" s="35"/>
      <c r="AC632" s="35"/>
      <c r="AD632" s="35"/>
      <c r="AE632" s="35"/>
      <c r="AF632" s="35"/>
      <c r="AG632" s="35"/>
      <c r="AH632" s="35"/>
    </row>
    <row r="633">
      <c r="A633" s="35"/>
      <c r="B633" s="35"/>
      <c r="C633" s="35"/>
      <c r="D633" s="172"/>
      <c r="E633" s="21"/>
      <c r="F633" s="35"/>
      <c r="G633" s="35"/>
      <c r="H633" s="35"/>
      <c r="I633" s="35"/>
      <c r="J633" s="186"/>
      <c r="K633" s="110"/>
      <c r="L633" s="35"/>
      <c r="M633" s="172"/>
      <c r="N633" s="172"/>
      <c r="O633" s="35"/>
      <c r="P633" s="164"/>
      <c r="Q633" s="164"/>
      <c r="R633" s="164"/>
      <c r="S633" s="164"/>
      <c r="T633" s="164"/>
      <c r="U633" s="164"/>
      <c r="V633" s="35"/>
      <c r="W633" s="35"/>
      <c r="X633" s="35"/>
      <c r="Y633" s="35"/>
      <c r="Z633" s="35"/>
      <c r="AA633" s="35"/>
      <c r="AB633" s="35"/>
      <c r="AC633" s="35"/>
      <c r="AD633" s="35"/>
      <c r="AE633" s="35"/>
      <c r="AF633" s="35"/>
      <c r="AG633" s="35"/>
      <c r="AH633" s="35"/>
    </row>
    <row r="634">
      <c r="A634" s="35"/>
      <c r="B634" s="35"/>
      <c r="C634" s="35"/>
      <c r="D634" s="172"/>
      <c r="E634" s="21"/>
      <c r="F634" s="35"/>
      <c r="G634" s="35"/>
      <c r="H634" s="35"/>
      <c r="I634" s="35"/>
      <c r="J634" s="186"/>
      <c r="K634" s="110"/>
      <c r="L634" s="35"/>
      <c r="M634" s="172"/>
      <c r="N634" s="172"/>
      <c r="O634" s="35"/>
      <c r="P634" s="164"/>
      <c r="Q634" s="164"/>
      <c r="R634" s="164"/>
      <c r="S634" s="164"/>
      <c r="T634" s="164"/>
      <c r="U634" s="164"/>
      <c r="V634" s="35"/>
      <c r="W634" s="35"/>
      <c r="X634" s="35"/>
      <c r="Y634" s="35"/>
      <c r="Z634" s="35"/>
      <c r="AA634" s="35"/>
      <c r="AB634" s="35"/>
      <c r="AC634" s="35"/>
      <c r="AD634" s="35"/>
      <c r="AE634" s="35"/>
      <c r="AF634" s="35"/>
      <c r="AG634" s="35"/>
      <c r="AH634" s="35"/>
    </row>
    <row r="635">
      <c r="A635" s="35"/>
      <c r="B635" s="35"/>
      <c r="C635" s="35"/>
      <c r="D635" s="172"/>
      <c r="E635" s="21"/>
      <c r="F635" s="35"/>
      <c r="G635" s="35"/>
      <c r="H635" s="35"/>
      <c r="I635" s="35"/>
      <c r="J635" s="186"/>
      <c r="K635" s="110"/>
      <c r="L635" s="35"/>
      <c r="M635" s="172"/>
      <c r="N635" s="172"/>
      <c r="O635" s="35"/>
      <c r="P635" s="164"/>
      <c r="Q635" s="164"/>
      <c r="R635" s="164"/>
      <c r="S635" s="164"/>
      <c r="T635" s="164"/>
      <c r="U635" s="164"/>
      <c r="V635" s="35"/>
      <c r="W635" s="35"/>
      <c r="X635" s="35"/>
      <c r="Y635" s="35"/>
      <c r="Z635" s="35"/>
      <c r="AA635" s="35"/>
      <c r="AB635" s="35"/>
      <c r="AC635" s="35"/>
      <c r="AD635" s="35"/>
      <c r="AE635" s="35"/>
      <c r="AF635" s="35"/>
      <c r="AG635" s="35"/>
      <c r="AH635" s="35"/>
    </row>
    <row r="636">
      <c r="A636" s="35"/>
      <c r="B636" s="35"/>
      <c r="C636" s="35"/>
      <c r="D636" s="172"/>
      <c r="E636" s="21"/>
      <c r="F636" s="35"/>
      <c r="G636" s="35"/>
      <c r="H636" s="35"/>
      <c r="I636" s="35"/>
      <c r="J636" s="186"/>
      <c r="K636" s="110"/>
      <c r="L636" s="35"/>
      <c r="M636" s="172"/>
      <c r="N636" s="172"/>
      <c r="O636" s="35"/>
      <c r="P636" s="164"/>
      <c r="Q636" s="164"/>
      <c r="R636" s="164"/>
      <c r="S636" s="164"/>
      <c r="T636" s="164"/>
      <c r="U636" s="164"/>
      <c r="V636" s="35"/>
      <c r="W636" s="35"/>
      <c r="X636" s="35"/>
      <c r="Y636" s="35"/>
      <c r="Z636" s="35"/>
      <c r="AA636" s="35"/>
      <c r="AB636" s="35"/>
      <c r="AC636" s="35"/>
      <c r="AD636" s="35"/>
      <c r="AE636" s="35"/>
      <c r="AF636" s="35"/>
      <c r="AG636" s="35"/>
      <c r="AH636" s="35"/>
    </row>
    <row r="637">
      <c r="A637" s="35"/>
      <c r="B637" s="35"/>
      <c r="C637" s="35"/>
      <c r="D637" s="172"/>
      <c r="E637" s="21"/>
      <c r="F637" s="35"/>
      <c r="G637" s="35"/>
      <c r="H637" s="35"/>
      <c r="I637" s="35"/>
      <c r="J637" s="186"/>
      <c r="K637" s="110"/>
      <c r="L637" s="35"/>
      <c r="M637" s="172"/>
      <c r="N637" s="172"/>
      <c r="O637" s="35"/>
      <c r="P637" s="164"/>
      <c r="Q637" s="164"/>
      <c r="R637" s="164"/>
      <c r="S637" s="164"/>
      <c r="T637" s="164"/>
      <c r="U637" s="164"/>
      <c r="V637" s="35"/>
      <c r="W637" s="35"/>
      <c r="X637" s="35"/>
      <c r="Y637" s="35"/>
      <c r="Z637" s="35"/>
      <c r="AA637" s="35"/>
      <c r="AB637" s="35"/>
      <c r="AC637" s="35"/>
      <c r="AD637" s="35"/>
      <c r="AE637" s="35"/>
      <c r="AF637" s="35"/>
      <c r="AG637" s="35"/>
      <c r="AH637" s="35"/>
    </row>
    <row r="638">
      <c r="A638" s="35"/>
      <c r="B638" s="35"/>
      <c r="C638" s="35"/>
      <c r="D638" s="172"/>
      <c r="E638" s="21"/>
      <c r="F638" s="35"/>
      <c r="G638" s="35"/>
      <c r="H638" s="35"/>
      <c r="I638" s="35"/>
      <c r="J638" s="186"/>
      <c r="K638" s="110"/>
      <c r="L638" s="35"/>
      <c r="M638" s="172"/>
      <c r="N638" s="172"/>
      <c r="O638" s="35"/>
      <c r="P638" s="164"/>
      <c r="Q638" s="164"/>
      <c r="R638" s="164"/>
      <c r="S638" s="164"/>
      <c r="T638" s="164"/>
      <c r="U638" s="164"/>
      <c r="V638" s="35"/>
      <c r="W638" s="35"/>
      <c r="X638" s="35"/>
      <c r="Y638" s="35"/>
      <c r="Z638" s="35"/>
      <c r="AA638" s="35"/>
      <c r="AB638" s="35"/>
      <c r="AC638" s="35"/>
      <c r="AD638" s="35"/>
      <c r="AE638" s="35"/>
      <c r="AF638" s="35"/>
      <c r="AG638" s="35"/>
      <c r="AH638" s="35"/>
    </row>
    <row r="639">
      <c r="A639" s="35"/>
      <c r="B639" s="35"/>
      <c r="C639" s="35"/>
      <c r="D639" s="172"/>
      <c r="E639" s="21"/>
      <c r="F639" s="35"/>
      <c r="G639" s="35"/>
      <c r="H639" s="35"/>
      <c r="I639" s="35"/>
      <c r="J639" s="186"/>
      <c r="K639" s="110"/>
      <c r="L639" s="35"/>
      <c r="M639" s="172"/>
      <c r="N639" s="172"/>
      <c r="O639" s="35"/>
      <c r="P639" s="164"/>
      <c r="Q639" s="164"/>
      <c r="R639" s="164"/>
      <c r="S639" s="164"/>
      <c r="T639" s="164"/>
      <c r="U639" s="164"/>
      <c r="V639" s="35"/>
      <c r="W639" s="35"/>
      <c r="X639" s="35"/>
      <c r="Y639" s="35"/>
      <c r="Z639" s="35"/>
      <c r="AA639" s="35"/>
      <c r="AB639" s="35"/>
      <c r="AC639" s="35"/>
      <c r="AD639" s="35"/>
      <c r="AE639" s="35"/>
      <c r="AF639" s="35"/>
      <c r="AG639" s="35"/>
      <c r="AH639" s="35"/>
    </row>
    <row r="640">
      <c r="A640" s="35"/>
      <c r="B640" s="35"/>
      <c r="C640" s="35"/>
      <c r="D640" s="172"/>
      <c r="E640" s="21"/>
      <c r="F640" s="35"/>
      <c r="G640" s="35"/>
      <c r="H640" s="35"/>
      <c r="I640" s="35"/>
      <c r="J640" s="186"/>
      <c r="K640" s="110"/>
      <c r="L640" s="35"/>
      <c r="M640" s="172"/>
      <c r="N640" s="172"/>
      <c r="O640" s="35"/>
      <c r="P640" s="164"/>
      <c r="Q640" s="164"/>
      <c r="R640" s="164"/>
      <c r="S640" s="164"/>
      <c r="T640" s="164"/>
      <c r="U640" s="164"/>
      <c r="V640" s="35"/>
      <c r="W640" s="35"/>
      <c r="X640" s="35"/>
      <c r="Y640" s="35"/>
      <c r="Z640" s="35"/>
      <c r="AA640" s="35"/>
      <c r="AB640" s="35"/>
      <c r="AC640" s="35"/>
      <c r="AD640" s="35"/>
      <c r="AE640" s="35"/>
      <c r="AF640" s="35"/>
      <c r="AG640" s="35"/>
      <c r="AH640" s="35"/>
    </row>
    <row r="641">
      <c r="A641" s="35"/>
      <c r="B641" s="35"/>
      <c r="C641" s="35"/>
      <c r="D641" s="172"/>
      <c r="E641" s="21"/>
      <c r="F641" s="35"/>
      <c r="G641" s="35"/>
      <c r="H641" s="35"/>
      <c r="I641" s="35"/>
      <c r="J641" s="186"/>
      <c r="K641" s="110"/>
      <c r="L641" s="35"/>
      <c r="M641" s="172"/>
      <c r="N641" s="172"/>
      <c r="O641" s="35"/>
      <c r="P641" s="164"/>
      <c r="Q641" s="164"/>
      <c r="R641" s="164"/>
      <c r="S641" s="164"/>
      <c r="T641" s="164"/>
      <c r="U641" s="164"/>
      <c r="V641" s="35"/>
      <c r="W641" s="35"/>
      <c r="X641" s="35"/>
      <c r="Y641" s="35"/>
      <c r="Z641" s="35"/>
      <c r="AA641" s="35"/>
      <c r="AB641" s="35"/>
      <c r="AC641" s="35"/>
      <c r="AD641" s="35"/>
      <c r="AE641" s="35"/>
      <c r="AF641" s="35"/>
      <c r="AG641" s="35"/>
      <c r="AH641" s="35"/>
    </row>
    <row r="642">
      <c r="A642" s="35"/>
      <c r="B642" s="35"/>
      <c r="C642" s="35"/>
      <c r="D642" s="172"/>
      <c r="E642" s="21"/>
      <c r="F642" s="35"/>
      <c r="G642" s="35"/>
      <c r="H642" s="35"/>
      <c r="I642" s="35"/>
      <c r="J642" s="186"/>
      <c r="K642" s="110"/>
      <c r="L642" s="35"/>
      <c r="M642" s="172"/>
      <c r="N642" s="172"/>
      <c r="O642" s="35"/>
      <c r="P642" s="164"/>
      <c r="Q642" s="164"/>
      <c r="R642" s="164"/>
      <c r="S642" s="164"/>
      <c r="T642" s="164"/>
      <c r="U642" s="164"/>
      <c r="V642" s="35"/>
      <c r="W642" s="35"/>
      <c r="X642" s="35"/>
      <c r="Y642" s="35"/>
      <c r="Z642" s="35"/>
      <c r="AA642" s="35"/>
      <c r="AB642" s="35"/>
      <c r="AC642" s="35"/>
      <c r="AD642" s="35"/>
      <c r="AE642" s="35"/>
      <c r="AF642" s="35"/>
      <c r="AG642" s="35"/>
      <c r="AH642" s="35"/>
    </row>
    <row r="643">
      <c r="A643" s="35"/>
      <c r="B643" s="35"/>
      <c r="C643" s="35"/>
      <c r="D643" s="172"/>
      <c r="E643" s="21"/>
      <c r="F643" s="35"/>
      <c r="G643" s="35"/>
      <c r="H643" s="35"/>
      <c r="I643" s="35"/>
      <c r="J643" s="186"/>
      <c r="K643" s="110"/>
      <c r="L643" s="35"/>
      <c r="M643" s="172"/>
      <c r="N643" s="172"/>
      <c r="O643" s="35"/>
      <c r="P643" s="164"/>
      <c r="Q643" s="164"/>
      <c r="R643" s="164"/>
      <c r="S643" s="164"/>
      <c r="T643" s="164"/>
      <c r="U643" s="164"/>
      <c r="V643" s="35"/>
      <c r="W643" s="35"/>
      <c r="X643" s="35"/>
      <c r="Y643" s="35"/>
      <c r="Z643" s="35"/>
      <c r="AA643" s="35"/>
      <c r="AB643" s="35"/>
      <c r="AC643" s="35"/>
      <c r="AD643" s="35"/>
      <c r="AE643" s="35"/>
      <c r="AF643" s="35"/>
      <c r="AG643" s="35"/>
      <c r="AH643" s="35"/>
    </row>
    <row r="644">
      <c r="A644" s="35"/>
      <c r="B644" s="35"/>
      <c r="C644" s="35"/>
      <c r="D644" s="172"/>
      <c r="E644" s="21"/>
      <c r="F644" s="35"/>
      <c r="G644" s="35"/>
      <c r="H644" s="35"/>
      <c r="I644" s="35"/>
      <c r="J644" s="186"/>
      <c r="K644" s="110"/>
      <c r="L644" s="35"/>
      <c r="M644" s="172"/>
      <c r="N644" s="172"/>
      <c r="O644" s="35"/>
      <c r="P644" s="164"/>
      <c r="Q644" s="164"/>
      <c r="R644" s="164"/>
      <c r="S644" s="164"/>
      <c r="T644" s="164"/>
      <c r="U644" s="164"/>
      <c r="V644" s="35"/>
      <c r="W644" s="35"/>
      <c r="X644" s="35"/>
      <c r="Y644" s="35"/>
      <c r="Z644" s="35"/>
      <c r="AA644" s="35"/>
      <c r="AB644" s="35"/>
      <c r="AC644" s="35"/>
      <c r="AD644" s="35"/>
      <c r="AE644" s="35"/>
      <c r="AF644" s="35"/>
      <c r="AG644" s="35"/>
      <c r="AH644" s="35"/>
    </row>
    <row r="645">
      <c r="A645" s="35"/>
      <c r="B645" s="35"/>
      <c r="C645" s="35"/>
      <c r="D645" s="172"/>
      <c r="E645" s="21"/>
      <c r="F645" s="35"/>
      <c r="G645" s="35"/>
      <c r="H645" s="35"/>
      <c r="I645" s="35"/>
      <c r="J645" s="186"/>
      <c r="K645" s="110"/>
      <c r="L645" s="35"/>
      <c r="M645" s="172"/>
      <c r="N645" s="172"/>
      <c r="O645" s="35"/>
      <c r="P645" s="164"/>
      <c r="Q645" s="164"/>
      <c r="R645" s="164"/>
      <c r="S645" s="164"/>
      <c r="T645" s="164"/>
      <c r="U645" s="164"/>
      <c r="V645" s="35"/>
      <c r="W645" s="35"/>
      <c r="X645" s="35"/>
      <c r="Y645" s="35"/>
      <c r="Z645" s="35"/>
      <c r="AA645" s="35"/>
      <c r="AB645" s="35"/>
      <c r="AC645" s="35"/>
      <c r="AD645" s="35"/>
      <c r="AE645" s="35"/>
      <c r="AF645" s="35"/>
      <c r="AG645" s="35"/>
      <c r="AH645" s="35"/>
    </row>
    <row r="646">
      <c r="A646" s="35"/>
      <c r="B646" s="35"/>
      <c r="C646" s="35"/>
      <c r="D646" s="172"/>
      <c r="E646" s="21"/>
      <c r="F646" s="35"/>
      <c r="G646" s="35"/>
      <c r="H646" s="35"/>
      <c r="I646" s="35"/>
      <c r="J646" s="186"/>
      <c r="K646" s="110"/>
      <c r="L646" s="35"/>
      <c r="M646" s="172"/>
      <c r="N646" s="172"/>
      <c r="O646" s="35"/>
      <c r="P646" s="164"/>
      <c r="Q646" s="164"/>
      <c r="R646" s="164"/>
      <c r="S646" s="164"/>
      <c r="T646" s="164"/>
      <c r="U646" s="164"/>
      <c r="V646" s="35"/>
      <c r="W646" s="35"/>
      <c r="X646" s="35"/>
      <c r="Y646" s="35"/>
      <c r="Z646" s="35"/>
      <c r="AA646" s="35"/>
      <c r="AB646" s="35"/>
      <c r="AC646" s="35"/>
      <c r="AD646" s="35"/>
      <c r="AE646" s="35"/>
      <c r="AF646" s="35"/>
      <c r="AG646" s="35"/>
      <c r="AH646" s="35"/>
    </row>
    <row r="647">
      <c r="A647" s="35"/>
      <c r="B647" s="35"/>
      <c r="C647" s="35"/>
      <c r="D647" s="172"/>
      <c r="E647" s="21"/>
      <c r="F647" s="35"/>
      <c r="G647" s="35"/>
      <c r="H647" s="35"/>
      <c r="I647" s="35"/>
      <c r="J647" s="186"/>
      <c r="K647" s="110"/>
      <c r="L647" s="35"/>
      <c r="M647" s="172"/>
      <c r="N647" s="172"/>
      <c r="O647" s="35"/>
      <c r="P647" s="164"/>
      <c r="Q647" s="164"/>
      <c r="R647" s="164"/>
      <c r="S647" s="164"/>
      <c r="T647" s="164"/>
      <c r="U647" s="164"/>
      <c r="V647" s="35"/>
      <c r="W647" s="35"/>
      <c r="X647" s="35"/>
      <c r="Y647" s="35"/>
      <c r="Z647" s="35"/>
      <c r="AA647" s="35"/>
      <c r="AB647" s="35"/>
      <c r="AC647" s="35"/>
      <c r="AD647" s="35"/>
      <c r="AE647" s="35"/>
      <c r="AF647" s="35"/>
      <c r="AG647" s="35"/>
      <c r="AH647" s="35"/>
    </row>
    <row r="648">
      <c r="A648" s="35"/>
      <c r="B648" s="35"/>
      <c r="C648" s="35"/>
      <c r="D648" s="172"/>
      <c r="E648" s="21"/>
      <c r="F648" s="35"/>
      <c r="G648" s="35"/>
      <c r="H648" s="35"/>
      <c r="I648" s="35"/>
      <c r="J648" s="186"/>
      <c r="K648" s="110"/>
      <c r="L648" s="35"/>
      <c r="M648" s="172"/>
      <c r="N648" s="172"/>
      <c r="O648" s="35"/>
      <c r="P648" s="164"/>
      <c r="Q648" s="164"/>
      <c r="R648" s="164"/>
      <c r="S648" s="164"/>
      <c r="T648" s="164"/>
      <c r="U648" s="164"/>
      <c r="V648" s="35"/>
      <c r="W648" s="35"/>
      <c r="X648" s="35"/>
      <c r="Y648" s="35"/>
      <c r="Z648" s="35"/>
      <c r="AA648" s="35"/>
      <c r="AB648" s="35"/>
      <c r="AC648" s="35"/>
      <c r="AD648" s="35"/>
      <c r="AE648" s="35"/>
      <c r="AF648" s="35"/>
      <c r="AG648" s="35"/>
      <c r="AH648" s="35"/>
    </row>
    <row r="649">
      <c r="A649" s="35"/>
      <c r="B649" s="35"/>
      <c r="C649" s="35"/>
      <c r="D649" s="172"/>
      <c r="E649" s="21"/>
      <c r="F649" s="35"/>
      <c r="G649" s="35"/>
      <c r="H649" s="35"/>
      <c r="I649" s="35"/>
      <c r="J649" s="186"/>
      <c r="K649" s="110"/>
      <c r="L649" s="35"/>
      <c r="M649" s="172"/>
      <c r="N649" s="172"/>
      <c r="O649" s="35"/>
      <c r="P649" s="164"/>
      <c r="Q649" s="164"/>
      <c r="R649" s="164"/>
      <c r="S649" s="164"/>
      <c r="T649" s="164"/>
      <c r="U649" s="164"/>
      <c r="V649" s="35"/>
      <c r="W649" s="35"/>
      <c r="X649" s="35"/>
      <c r="Y649" s="35"/>
      <c r="Z649" s="35"/>
      <c r="AA649" s="35"/>
      <c r="AB649" s="35"/>
      <c r="AC649" s="35"/>
      <c r="AD649" s="35"/>
      <c r="AE649" s="35"/>
      <c r="AF649" s="35"/>
      <c r="AG649" s="35"/>
      <c r="AH649" s="35"/>
    </row>
    <row r="650">
      <c r="A650" s="35"/>
      <c r="B650" s="35"/>
      <c r="C650" s="35"/>
      <c r="D650" s="172"/>
      <c r="E650" s="21"/>
      <c r="F650" s="35"/>
      <c r="G650" s="35"/>
      <c r="H650" s="35"/>
      <c r="I650" s="35"/>
      <c r="J650" s="186"/>
      <c r="K650" s="110"/>
      <c r="L650" s="35"/>
      <c r="M650" s="172"/>
      <c r="N650" s="172"/>
      <c r="O650" s="35"/>
      <c r="P650" s="164"/>
      <c r="Q650" s="164"/>
      <c r="R650" s="164"/>
      <c r="S650" s="164"/>
      <c r="T650" s="164"/>
      <c r="U650" s="164"/>
      <c r="V650" s="35"/>
      <c r="W650" s="35"/>
      <c r="X650" s="35"/>
      <c r="Y650" s="35"/>
      <c r="Z650" s="35"/>
      <c r="AA650" s="35"/>
      <c r="AB650" s="35"/>
      <c r="AC650" s="35"/>
      <c r="AD650" s="35"/>
      <c r="AE650" s="35"/>
      <c r="AF650" s="35"/>
      <c r="AG650" s="35"/>
      <c r="AH650" s="35"/>
    </row>
    <row r="651">
      <c r="A651" s="35"/>
      <c r="B651" s="35"/>
      <c r="C651" s="35"/>
      <c r="D651" s="172"/>
      <c r="E651" s="21"/>
      <c r="F651" s="35"/>
      <c r="G651" s="35"/>
      <c r="H651" s="35"/>
      <c r="I651" s="35"/>
      <c r="J651" s="186"/>
      <c r="K651" s="110"/>
      <c r="L651" s="35"/>
      <c r="M651" s="172"/>
      <c r="N651" s="172"/>
      <c r="O651" s="35"/>
      <c r="P651" s="164"/>
      <c r="Q651" s="164"/>
      <c r="R651" s="164"/>
      <c r="S651" s="164"/>
      <c r="T651" s="164"/>
      <c r="U651" s="164"/>
      <c r="V651" s="35"/>
      <c r="W651" s="35"/>
      <c r="X651" s="35"/>
      <c r="Y651" s="35"/>
      <c r="Z651" s="35"/>
      <c r="AA651" s="35"/>
      <c r="AB651" s="35"/>
      <c r="AC651" s="35"/>
      <c r="AD651" s="35"/>
      <c r="AE651" s="35"/>
      <c r="AF651" s="35"/>
      <c r="AG651" s="35"/>
      <c r="AH651" s="35"/>
    </row>
    <row r="652">
      <c r="A652" s="35"/>
      <c r="B652" s="35"/>
      <c r="C652" s="35"/>
      <c r="D652" s="172"/>
      <c r="E652" s="21"/>
      <c r="F652" s="35"/>
      <c r="G652" s="35"/>
      <c r="H652" s="35"/>
      <c r="I652" s="35"/>
      <c r="J652" s="186"/>
      <c r="K652" s="110"/>
      <c r="L652" s="35"/>
      <c r="M652" s="172"/>
      <c r="N652" s="172"/>
      <c r="O652" s="35"/>
      <c r="P652" s="164"/>
      <c r="Q652" s="164"/>
      <c r="R652" s="164"/>
      <c r="S652" s="164"/>
      <c r="T652" s="164"/>
      <c r="U652" s="164"/>
      <c r="V652" s="35"/>
      <c r="W652" s="35"/>
      <c r="X652" s="35"/>
      <c r="Y652" s="35"/>
      <c r="Z652" s="35"/>
      <c r="AA652" s="35"/>
      <c r="AB652" s="35"/>
      <c r="AC652" s="35"/>
      <c r="AD652" s="35"/>
      <c r="AE652" s="35"/>
      <c r="AF652" s="35"/>
      <c r="AG652" s="35"/>
      <c r="AH652" s="35"/>
    </row>
    <row r="653">
      <c r="A653" s="35"/>
      <c r="B653" s="35"/>
      <c r="C653" s="35"/>
      <c r="D653" s="172"/>
      <c r="E653" s="21"/>
      <c r="F653" s="35"/>
      <c r="G653" s="35"/>
      <c r="H653" s="35"/>
      <c r="I653" s="35"/>
      <c r="J653" s="186"/>
      <c r="K653" s="110"/>
      <c r="L653" s="35"/>
      <c r="M653" s="172"/>
      <c r="N653" s="172"/>
      <c r="O653" s="35"/>
      <c r="P653" s="164"/>
      <c r="Q653" s="164"/>
      <c r="R653" s="164"/>
      <c r="S653" s="164"/>
      <c r="T653" s="164"/>
      <c r="U653" s="164"/>
      <c r="V653" s="35"/>
      <c r="W653" s="35"/>
      <c r="X653" s="35"/>
      <c r="Y653" s="35"/>
      <c r="Z653" s="35"/>
      <c r="AA653" s="35"/>
      <c r="AB653" s="35"/>
      <c r="AC653" s="35"/>
      <c r="AD653" s="35"/>
      <c r="AE653" s="35"/>
      <c r="AF653" s="35"/>
      <c r="AG653" s="35"/>
      <c r="AH653" s="35"/>
    </row>
    <row r="654">
      <c r="A654" s="35"/>
      <c r="B654" s="35"/>
      <c r="C654" s="35"/>
      <c r="D654" s="172"/>
      <c r="E654" s="21"/>
      <c r="F654" s="35"/>
      <c r="G654" s="35"/>
      <c r="H654" s="35"/>
      <c r="I654" s="35"/>
      <c r="J654" s="186"/>
      <c r="K654" s="110"/>
      <c r="L654" s="35"/>
      <c r="M654" s="172"/>
      <c r="N654" s="172"/>
      <c r="O654" s="35"/>
      <c r="P654" s="164"/>
      <c r="Q654" s="164"/>
      <c r="R654" s="164"/>
      <c r="S654" s="164"/>
      <c r="T654" s="164"/>
      <c r="U654" s="164"/>
      <c r="V654" s="35"/>
      <c r="W654" s="35"/>
      <c r="X654" s="35"/>
      <c r="Y654" s="35"/>
      <c r="Z654" s="35"/>
      <c r="AA654" s="35"/>
      <c r="AB654" s="35"/>
      <c r="AC654" s="35"/>
      <c r="AD654" s="35"/>
      <c r="AE654" s="35"/>
      <c r="AF654" s="35"/>
      <c r="AG654" s="35"/>
      <c r="AH654" s="35"/>
    </row>
    <row r="655">
      <c r="A655" s="35"/>
      <c r="B655" s="35"/>
      <c r="C655" s="35"/>
      <c r="D655" s="172"/>
      <c r="E655" s="21"/>
      <c r="F655" s="35"/>
      <c r="G655" s="35"/>
      <c r="H655" s="35"/>
      <c r="I655" s="35"/>
      <c r="J655" s="186"/>
      <c r="K655" s="110"/>
      <c r="L655" s="35"/>
      <c r="M655" s="172"/>
      <c r="N655" s="172"/>
      <c r="O655" s="35"/>
      <c r="P655" s="164"/>
      <c r="Q655" s="164"/>
      <c r="R655" s="164"/>
      <c r="S655" s="164"/>
      <c r="T655" s="164"/>
      <c r="U655" s="164"/>
      <c r="V655" s="35"/>
      <c r="W655" s="35"/>
      <c r="X655" s="35"/>
      <c r="Y655" s="35"/>
      <c r="Z655" s="35"/>
      <c r="AA655" s="35"/>
      <c r="AB655" s="35"/>
      <c r="AC655" s="35"/>
      <c r="AD655" s="35"/>
      <c r="AE655" s="35"/>
      <c r="AF655" s="35"/>
      <c r="AG655" s="35"/>
      <c r="AH655" s="35"/>
    </row>
    <row r="656">
      <c r="A656" s="35"/>
      <c r="B656" s="35"/>
      <c r="C656" s="35"/>
      <c r="D656" s="172"/>
      <c r="E656" s="21"/>
      <c r="F656" s="35"/>
      <c r="G656" s="35"/>
      <c r="H656" s="35"/>
      <c r="I656" s="35"/>
      <c r="J656" s="186"/>
      <c r="K656" s="110"/>
      <c r="L656" s="35"/>
      <c r="M656" s="172"/>
      <c r="N656" s="172"/>
      <c r="O656" s="35"/>
      <c r="P656" s="164"/>
      <c r="Q656" s="164"/>
      <c r="R656" s="164"/>
      <c r="S656" s="164"/>
      <c r="T656" s="164"/>
      <c r="U656" s="164"/>
      <c r="V656" s="35"/>
      <c r="W656" s="35"/>
      <c r="X656" s="35"/>
      <c r="Y656" s="35"/>
      <c r="Z656" s="35"/>
      <c r="AA656" s="35"/>
      <c r="AB656" s="35"/>
      <c r="AC656" s="35"/>
      <c r="AD656" s="35"/>
      <c r="AE656" s="35"/>
      <c r="AF656" s="35"/>
      <c r="AG656" s="35"/>
      <c r="AH656" s="35"/>
    </row>
    <row r="657">
      <c r="A657" s="35"/>
      <c r="B657" s="35"/>
      <c r="C657" s="35"/>
      <c r="D657" s="172"/>
      <c r="E657" s="21"/>
      <c r="F657" s="35"/>
      <c r="G657" s="35"/>
      <c r="H657" s="35"/>
      <c r="I657" s="35"/>
      <c r="J657" s="186"/>
      <c r="K657" s="110"/>
      <c r="L657" s="35"/>
      <c r="M657" s="172"/>
      <c r="N657" s="172"/>
      <c r="O657" s="35"/>
      <c r="P657" s="164"/>
      <c r="Q657" s="164"/>
      <c r="R657" s="164"/>
      <c r="S657" s="164"/>
      <c r="T657" s="164"/>
      <c r="U657" s="164"/>
      <c r="V657" s="35"/>
      <c r="W657" s="35"/>
      <c r="X657" s="35"/>
      <c r="Y657" s="35"/>
      <c r="Z657" s="35"/>
      <c r="AA657" s="35"/>
      <c r="AB657" s="35"/>
      <c r="AC657" s="35"/>
      <c r="AD657" s="35"/>
      <c r="AE657" s="35"/>
      <c r="AF657" s="35"/>
      <c r="AG657" s="35"/>
      <c r="AH657" s="35"/>
    </row>
    <row r="658">
      <c r="A658" s="35"/>
      <c r="B658" s="35"/>
      <c r="C658" s="35"/>
      <c r="D658" s="172"/>
      <c r="E658" s="21"/>
      <c r="F658" s="35"/>
      <c r="G658" s="35"/>
      <c r="H658" s="35"/>
      <c r="I658" s="35"/>
      <c r="J658" s="186"/>
      <c r="K658" s="110"/>
      <c r="L658" s="35"/>
      <c r="M658" s="172"/>
      <c r="N658" s="172"/>
      <c r="O658" s="35"/>
      <c r="P658" s="164"/>
      <c r="Q658" s="164"/>
      <c r="R658" s="164"/>
      <c r="S658" s="164"/>
      <c r="T658" s="164"/>
      <c r="U658" s="164"/>
      <c r="V658" s="35"/>
      <c r="W658" s="35"/>
      <c r="X658" s="35"/>
      <c r="Y658" s="35"/>
      <c r="Z658" s="35"/>
      <c r="AA658" s="35"/>
      <c r="AB658" s="35"/>
      <c r="AC658" s="35"/>
      <c r="AD658" s="35"/>
      <c r="AE658" s="35"/>
      <c r="AF658" s="35"/>
      <c r="AG658" s="35"/>
      <c r="AH658" s="35"/>
    </row>
    <row r="659">
      <c r="A659" s="35"/>
      <c r="B659" s="35"/>
      <c r="C659" s="35"/>
      <c r="D659" s="172"/>
      <c r="E659" s="21"/>
      <c r="F659" s="35"/>
      <c r="G659" s="35"/>
      <c r="H659" s="35"/>
      <c r="I659" s="35"/>
      <c r="J659" s="186"/>
      <c r="K659" s="110"/>
      <c r="L659" s="35"/>
      <c r="M659" s="172"/>
      <c r="N659" s="172"/>
      <c r="O659" s="35"/>
      <c r="P659" s="164"/>
      <c r="Q659" s="164"/>
      <c r="R659" s="164"/>
      <c r="S659" s="164"/>
      <c r="T659" s="164"/>
      <c r="U659" s="164"/>
      <c r="V659" s="35"/>
      <c r="W659" s="35"/>
      <c r="X659" s="35"/>
      <c r="Y659" s="35"/>
      <c r="Z659" s="35"/>
      <c r="AA659" s="35"/>
      <c r="AB659" s="35"/>
      <c r="AC659" s="35"/>
      <c r="AD659" s="35"/>
      <c r="AE659" s="35"/>
      <c r="AF659" s="35"/>
      <c r="AG659" s="35"/>
      <c r="AH659" s="35"/>
    </row>
    <row r="660">
      <c r="A660" s="35"/>
      <c r="B660" s="35"/>
      <c r="C660" s="35"/>
      <c r="D660" s="172"/>
      <c r="E660" s="21"/>
      <c r="F660" s="35"/>
      <c r="G660" s="35"/>
      <c r="H660" s="35"/>
      <c r="I660" s="35"/>
      <c r="J660" s="186"/>
      <c r="K660" s="110"/>
      <c r="L660" s="35"/>
      <c r="M660" s="172"/>
      <c r="N660" s="172"/>
      <c r="O660" s="35"/>
      <c r="P660" s="164"/>
      <c r="Q660" s="164"/>
      <c r="R660" s="164"/>
      <c r="S660" s="164"/>
      <c r="T660" s="164"/>
      <c r="U660" s="164"/>
      <c r="V660" s="35"/>
      <c r="W660" s="35"/>
      <c r="X660" s="35"/>
      <c r="Y660" s="35"/>
      <c r="Z660" s="35"/>
      <c r="AA660" s="35"/>
      <c r="AB660" s="35"/>
      <c r="AC660" s="35"/>
      <c r="AD660" s="35"/>
      <c r="AE660" s="35"/>
      <c r="AF660" s="35"/>
      <c r="AG660" s="35"/>
      <c r="AH660" s="35"/>
    </row>
    <row r="661">
      <c r="A661" s="35"/>
      <c r="B661" s="35"/>
      <c r="C661" s="35"/>
      <c r="D661" s="172"/>
      <c r="E661" s="21"/>
      <c r="F661" s="35"/>
      <c r="G661" s="35"/>
      <c r="H661" s="35"/>
      <c r="I661" s="35"/>
      <c r="J661" s="186"/>
      <c r="K661" s="110"/>
      <c r="L661" s="35"/>
      <c r="M661" s="172"/>
      <c r="N661" s="172"/>
      <c r="O661" s="35"/>
      <c r="P661" s="164"/>
      <c r="Q661" s="164"/>
      <c r="R661" s="164"/>
      <c r="S661" s="164"/>
      <c r="T661" s="164"/>
      <c r="U661" s="164"/>
      <c r="V661" s="35"/>
      <c r="W661" s="35"/>
      <c r="X661" s="35"/>
      <c r="Y661" s="35"/>
      <c r="Z661" s="35"/>
      <c r="AA661" s="35"/>
      <c r="AB661" s="35"/>
      <c r="AC661" s="35"/>
      <c r="AD661" s="35"/>
      <c r="AE661" s="35"/>
      <c r="AF661" s="35"/>
      <c r="AG661" s="35"/>
      <c r="AH661" s="35"/>
    </row>
    <row r="662">
      <c r="A662" s="35"/>
      <c r="B662" s="35"/>
      <c r="C662" s="35"/>
      <c r="D662" s="172"/>
      <c r="E662" s="21"/>
      <c r="F662" s="35"/>
      <c r="G662" s="35"/>
      <c r="H662" s="35"/>
      <c r="I662" s="35"/>
      <c r="J662" s="186"/>
      <c r="K662" s="110"/>
      <c r="L662" s="35"/>
      <c r="M662" s="172"/>
      <c r="N662" s="172"/>
      <c r="O662" s="35"/>
      <c r="P662" s="164"/>
      <c r="Q662" s="164"/>
      <c r="R662" s="164"/>
      <c r="S662" s="164"/>
      <c r="T662" s="164"/>
      <c r="U662" s="164"/>
      <c r="V662" s="35"/>
      <c r="W662" s="35"/>
      <c r="X662" s="35"/>
      <c r="Y662" s="35"/>
      <c r="Z662" s="35"/>
      <c r="AA662" s="35"/>
      <c r="AB662" s="35"/>
      <c r="AC662" s="35"/>
      <c r="AD662" s="35"/>
      <c r="AE662" s="35"/>
      <c r="AF662" s="35"/>
      <c r="AG662" s="35"/>
      <c r="AH662" s="35"/>
    </row>
    <row r="663">
      <c r="A663" s="35"/>
      <c r="B663" s="35"/>
      <c r="C663" s="35"/>
      <c r="D663" s="172"/>
      <c r="E663" s="21"/>
      <c r="F663" s="35"/>
      <c r="G663" s="35"/>
      <c r="H663" s="35"/>
      <c r="I663" s="35"/>
      <c r="J663" s="186"/>
      <c r="K663" s="110"/>
      <c r="L663" s="35"/>
      <c r="M663" s="172"/>
      <c r="N663" s="172"/>
      <c r="O663" s="35"/>
      <c r="P663" s="164"/>
      <c r="Q663" s="164"/>
      <c r="R663" s="164"/>
      <c r="S663" s="164"/>
      <c r="T663" s="164"/>
      <c r="U663" s="164"/>
      <c r="V663" s="35"/>
      <c r="W663" s="35"/>
      <c r="X663" s="35"/>
      <c r="Y663" s="35"/>
      <c r="Z663" s="35"/>
      <c r="AA663" s="35"/>
      <c r="AB663" s="35"/>
      <c r="AC663" s="35"/>
      <c r="AD663" s="35"/>
      <c r="AE663" s="35"/>
      <c r="AF663" s="35"/>
      <c r="AG663" s="35"/>
      <c r="AH663" s="35"/>
    </row>
    <row r="664">
      <c r="A664" s="35"/>
      <c r="B664" s="35"/>
      <c r="C664" s="35"/>
      <c r="D664" s="172"/>
      <c r="E664" s="21"/>
      <c r="F664" s="35"/>
      <c r="G664" s="35"/>
      <c r="H664" s="35"/>
      <c r="I664" s="35"/>
      <c r="J664" s="186"/>
      <c r="K664" s="110"/>
      <c r="L664" s="35"/>
      <c r="M664" s="172"/>
      <c r="N664" s="172"/>
      <c r="O664" s="35"/>
      <c r="P664" s="164"/>
      <c r="Q664" s="164"/>
      <c r="R664" s="164"/>
      <c r="S664" s="164"/>
      <c r="T664" s="164"/>
      <c r="U664" s="164"/>
      <c r="V664" s="35"/>
      <c r="W664" s="35"/>
      <c r="X664" s="35"/>
      <c r="Y664" s="35"/>
      <c r="Z664" s="35"/>
      <c r="AA664" s="35"/>
      <c r="AB664" s="35"/>
      <c r="AC664" s="35"/>
      <c r="AD664" s="35"/>
      <c r="AE664" s="35"/>
      <c r="AF664" s="35"/>
      <c r="AG664" s="35"/>
      <c r="AH664" s="35"/>
    </row>
    <row r="665">
      <c r="A665" s="35"/>
      <c r="B665" s="35"/>
      <c r="C665" s="35"/>
      <c r="D665" s="172"/>
      <c r="E665" s="21"/>
      <c r="F665" s="35"/>
      <c r="G665" s="35"/>
      <c r="H665" s="35"/>
      <c r="I665" s="35"/>
      <c r="J665" s="186"/>
      <c r="K665" s="110"/>
      <c r="L665" s="35"/>
      <c r="M665" s="172"/>
      <c r="N665" s="172"/>
      <c r="O665" s="35"/>
      <c r="P665" s="164"/>
      <c r="Q665" s="164"/>
      <c r="R665" s="164"/>
      <c r="S665" s="164"/>
      <c r="T665" s="164"/>
      <c r="U665" s="164"/>
      <c r="V665" s="35"/>
      <c r="W665" s="35"/>
      <c r="X665" s="35"/>
      <c r="Y665" s="35"/>
      <c r="Z665" s="35"/>
      <c r="AA665" s="35"/>
      <c r="AB665" s="35"/>
      <c r="AC665" s="35"/>
      <c r="AD665" s="35"/>
      <c r="AE665" s="35"/>
      <c r="AF665" s="35"/>
      <c r="AG665" s="35"/>
      <c r="AH665" s="35"/>
    </row>
    <row r="666">
      <c r="A666" s="35"/>
      <c r="B666" s="35"/>
      <c r="C666" s="35"/>
      <c r="D666" s="172"/>
      <c r="E666" s="21"/>
      <c r="F666" s="35"/>
      <c r="G666" s="35"/>
      <c r="H666" s="35"/>
      <c r="I666" s="35"/>
      <c r="J666" s="186"/>
      <c r="K666" s="110"/>
      <c r="L666" s="35"/>
      <c r="M666" s="172"/>
      <c r="N666" s="172"/>
      <c r="O666" s="35"/>
      <c r="P666" s="164"/>
      <c r="Q666" s="164"/>
      <c r="R666" s="164"/>
      <c r="S666" s="164"/>
      <c r="T666" s="164"/>
      <c r="U666" s="164"/>
      <c r="V666" s="35"/>
      <c r="W666" s="35"/>
      <c r="X666" s="35"/>
      <c r="Y666" s="35"/>
      <c r="Z666" s="35"/>
      <c r="AA666" s="35"/>
      <c r="AB666" s="35"/>
      <c r="AC666" s="35"/>
      <c r="AD666" s="35"/>
      <c r="AE666" s="35"/>
      <c r="AF666" s="35"/>
      <c r="AG666" s="35"/>
      <c r="AH666" s="35"/>
    </row>
    <row r="667">
      <c r="A667" s="35"/>
      <c r="B667" s="35"/>
      <c r="C667" s="35"/>
      <c r="D667" s="172"/>
      <c r="E667" s="21"/>
      <c r="F667" s="35"/>
      <c r="G667" s="35"/>
      <c r="H667" s="35"/>
      <c r="I667" s="35"/>
      <c r="J667" s="186"/>
      <c r="K667" s="110"/>
      <c r="L667" s="35"/>
      <c r="M667" s="172"/>
      <c r="N667" s="172"/>
      <c r="O667" s="35"/>
      <c r="P667" s="164"/>
      <c r="Q667" s="164"/>
      <c r="R667" s="164"/>
      <c r="S667" s="164"/>
      <c r="T667" s="164"/>
      <c r="U667" s="164"/>
      <c r="V667" s="35"/>
      <c r="W667" s="35"/>
      <c r="X667" s="35"/>
      <c r="Y667" s="35"/>
      <c r="Z667" s="35"/>
      <c r="AA667" s="35"/>
      <c r="AB667" s="35"/>
      <c r="AC667" s="35"/>
      <c r="AD667" s="35"/>
      <c r="AE667" s="35"/>
      <c r="AF667" s="35"/>
      <c r="AG667" s="35"/>
      <c r="AH667" s="35"/>
    </row>
    <row r="668">
      <c r="A668" s="35"/>
      <c r="B668" s="35"/>
      <c r="C668" s="35"/>
      <c r="D668" s="172"/>
      <c r="E668" s="21"/>
      <c r="F668" s="35"/>
      <c r="G668" s="35"/>
      <c r="H668" s="35"/>
      <c r="I668" s="35"/>
      <c r="J668" s="186"/>
      <c r="K668" s="110"/>
      <c r="L668" s="35"/>
      <c r="M668" s="172"/>
      <c r="N668" s="172"/>
      <c r="O668" s="35"/>
      <c r="P668" s="164"/>
      <c r="Q668" s="164"/>
      <c r="R668" s="164"/>
      <c r="S668" s="164"/>
      <c r="T668" s="164"/>
      <c r="U668" s="164"/>
      <c r="V668" s="35"/>
      <c r="W668" s="35"/>
      <c r="X668" s="35"/>
      <c r="Y668" s="35"/>
      <c r="Z668" s="35"/>
      <c r="AA668" s="35"/>
      <c r="AB668" s="35"/>
      <c r="AC668" s="35"/>
      <c r="AD668" s="35"/>
      <c r="AE668" s="35"/>
      <c r="AF668" s="35"/>
      <c r="AG668" s="35"/>
      <c r="AH668" s="35"/>
    </row>
    <row r="669">
      <c r="A669" s="35"/>
      <c r="B669" s="35"/>
      <c r="C669" s="35"/>
      <c r="D669" s="172"/>
      <c r="E669" s="21"/>
      <c r="F669" s="35"/>
      <c r="G669" s="35"/>
      <c r="H669" s="35"/>
      <c r="I669" s="35"/>
      <c r="J669" s="186"/>
      <c r="K669" s="110"/>
      <c r="L669" s="35"/>
      <c r="M669" s="172"/>
      <c r="N669" s="172"/>
      <c r="O669" s="35"/>
      <c r="P669" s="164"/>
      <c r="Q669" s="164"/>
      <c r="R669" s="164"/>
      <c r="S669" s="164"/>
      <c r="T669" s="164"/>
      <c r="U669" s="164"/>
      <c r="V669" s="35"/>
      <c r="W669" s="35"/>
      <c r="X669" s="35"/>
      <c r="Y669" s="35"/>
      <c r="Z669" s="35"/>
      <c r="AA669" s="35"/>
      <c r="AB669" s="35"/>
      <c r="AC669" s="35"/>
      <c r="AD669" s="35"/>
      <c r="AE669" s="35"/>
      <c r="AF669" s="35"/>
      <c r="AG669" s="35"/>
      <c r="AH669" s="35"/>
    </row>
    <row r="670">
      <c r="A670" s="35"/>
      <c r="B670" s="35"/>
      <c r="C670" s="35"/>
      <c r="D670" s="172"/>
      <c r="E670" s="21"/>
      <c r="F670" s="35"/>
      <c r="G670" s="35"/>
      <c r="H670" s="35"/>
      <c r="I670" s="35"/>
      <c r="J670" s="186"/>
      <c r="K670" s="110"/>
      <c r="L670" s="35"/>
      <c r="M670" s="172"/>
      <c r="N670" s="172"/>
      <c r="O670" s="35"/>
      <c r="P670" s="164"/>
      <c r="Q670" s="164"/>
      <c r="R670" s="164"/>
      <c r="S670" s="164"/>
      <c r="T670" s="164"/>
      <c r="U670" s="164"/>
      <c r="V670" s="35"/>
      <c r="W670" s="35"/>
      <c r="X670" s="35"/>
      <c r="Y670" s="35"/>
      <c r="Z670" s="35"/>
      <c r="AA670" s="35"/>
      <c r="AB670" s="35"/>
      <c r="AC670" s="35"/>
      <c r="AD670" s="35"/>
      <c r="AE670" s="35"/>
      <c r="AF670" s="35"/>
      <c r="AG670" s="35"/>
      <c r="AH670" s="35"/>
    </row>
    <row r="671">
      <c r="A671" s="35"/>
      <c r="B671" s="35"/>
      <c r="C671" s="35"/>
      <c r="D671" s="172"/>
      <c r="E671" s="21"/>
      <c r="F671" s="35"/>
      <c r="G671" s="35"/>
      <c r="H671" s="35"/>
      <c r="I671" s="35"/>
      <c r="J671" s="186"/>
      <c r="K671" s="110"/>
      <c r="L671" s="35"/>
      <c r="M671" s="172"/>
      <c r="N671" s="172"/>
      <c r="O671" s="35"/>
      <c r="P671" s="164"/>
      <c r="Q671" s="164"/>
      <c r="R671" s="164"/>
      <c r="S671" s="164"/>
      <c r="T671" s="164"/>
      <c r="U671" s="164"/>
      <c r="V671" s="35"/>
      <c r="W671" s="35"/>
      <c r="X671" s="35"/>
      <c r="Y671" s="35"/>
      <c r="Z671" s="35"/>
      <c r="AA671" s="35"/>
      <c r="AB671" s="35"/>
      <c r="AC671" s="35"/>
      <c r="AD671" s="35"/>
      <c r="AE671" s="35"/>
      <c r="AF671" s="35"/>
      <c r="AG671" s="35"/>
      <c r="AH671" s="35"/>
    </row>
    <row r="672">
      <c r="A672" s="35"/>
      <c r="B672" s="35"/>
      <c r="C672" s="35"/>
      <c r="D672" s="172"/>
      <c r="E672" s="21"/>
      <c r="F672" s="35"/>
      <c r="G672" s="35"/>
      <c r="H672" s="35"/>
      <c r="I672" s="35"/>
      <c r="J672" s="186"/>
      <c r="K672" s="110"/>
      <c r="L672" s="35"/>
      <c r="M672" s="172"/>
      <c r="N672" s="172"/>
      <c r="O672" s="35"/>
      <c r="P672" s="164"/>
      <c r="Q672" s="164"/>
      <c r="R672" s="164"/>
      <c r="S672" s="164"/>
      <c r="T672" s="164"/>
      <c r="U672" s="164"/>
      <c r="V672" s="35"/>
      <c r="W672" s="35"/>
      <c r="X672" s="35"/>
      <c r="Y672" s="35"/>
      <c r="Z672" s="35"/>
      <c r="AA672" s="35"/>
      <c r="AB672" s="35"/>
      <c r="AC672" s="35"/>
      <c r="AD672" s="35"/>
      <c r="AE672" s="35"/>
      <c r="AF672" s="35"/>
      <c r="AG672" s="35"/>
      <c r="AH672" s="35"/>
    </row>
    <row r="673">
      <c r="A673" s="35"/>
      <c r="B673" s="35"/>
      <c r="C673" s="35"/>
      <c r="D673" s="172"/>
      <c r="E673" s="21"/>
      <c r="F673" s="35"/>
      <c r="G673" s="35"/>
      <c r="H673" s="35"/>
      <c r="I673" s="35"/>
      <c r="J673" s="186"/>
      <c r="K673" s="110"/>
      <c r="L673" s="35"/>
      <c r="M673" s="172"/>
      <c r="N673" s="172"/>
      <c r="O673" s="35"/>
      <c r="P673" s="164"/>
      <c r="Q673" s="164"/>
      <c r="R673" s="164"/>
      <c r="S673" s="164"/>
      <c r="T673" s="164"/>
      <c r="U673" s="164"/>
      <c r="V673" s="35"/>
      <c r="W673" s="35"/>
      <c r="X673" s="35"/>
      <c r="Y673" s="35"/>
      <c r="Z673" s="35"/>
      <c r="AA673" s="35"/>
      <c r="AB673" s="35"/>
      <c r="AC673" s="35"/>
      <c r="AD673" s="35"/>
      <c r="AE673" s="35"/>
      <c r="AF673" s="35"/>
      <c r="AG673" s="35"/>
      <c r="AH673" s="35"/>
    </row>
    <row r="674">
      <c r="A674" s="35"/>
      <c r="B674" s="35"/>
      <c r="C674" s="35"/>
      <c r="D674" s="172"/>
      <c r="E674" s="21"/>
      <c r="F674" s="35"/>
      <c r="G674" s="35"/>
      <c r="H674" s="35"/>
      <c r="I674" s="35"/>
      <c r="J674" s="186"/>
      <c r="K674" s="110"/>
      <c r="L674" s="35"/>
      <c r="M674" s="172"/>
      <c r="N674" s="172"/>
      <c r="O674" s="35"/>
      <c r="P674" s="164"/>
      <c r="Q674" s="164"/>
      <c r="R674" s="164"/>
      <c r="S674" s="164"/>
      <c r="T674" s="164"/>
      <c r="U674" s="164"/>
      <c r="V674" s="35"/>
      <c r="W674" s="35"/>
      <c r="X674" s="35"/>
      <c r="Y674" s="35"/>
      <c r="Z674" s="35"/>
      <c r="AA674" s="35"/>
      <c r="AB674" s="35"/>
      <c r="AC674" s="35"/>
      <c r="AD674" s="35"/>
      <c r="AE674" s="35"/>
      <c r="AF674" s="35"/>
      <c r="AG674" s="35"/>
      <c r="AH674" s="35"/>
    </row>
    <row r="675">
      <c r="A675" s="35"/>
      <c r="B675" s="35"/>
      <c r="C675" s="35"/>
      <c r="D675" s="172"/>
      <c r="E675" s="21"/>
      <c r="F675" s="35"/>
      <c r="G675" s="35"/>
      <c r="H675" s="35"/>
      <c r="I675" s="35"/>
      <c r="J675" s="186"/>
      <c r="K675" s="110"/>
      <c r="L675" s="35"/>
      <c r="M675" s="172"/>
      <c r="N675" s="172"/>
      <c r="O675" s="35"/>
      <c r="P675" s="164"/>
      <c r="Q675" s="164"/>
      <c r="R675" s="164"/>
      <c r="S675" s="164"/>
      <c r="T675" s="164"/>
      <c r="U675" s="164"/>
      <c r="V675" s="35"/>
      <c r="W675" s="35"/>
      <c r="X675" s="35"/>
      <c r="Y675" s="35"/>
      <c r="Z675" s="35"/>
      <c r="AA675" s="35"/>
      <c r="AB675" s="35"/>
      <c r="AC675" s="35"/>
      <c r="AD675" s="35"/>
      <c r="AE675" s="35"/>
      <c r="AF675" s="35"/>
      <c r="AG675" s="35"/>
      <c r="AH675" s="35"/>
    </row>
    <row r="676">
      <c r="A676" s="35"/>
      <c r="B676" s="35"/>
      <c r="C676" s="35"/>
      <c r="D676" s="172"/>
      <c r="E676" s="21"/>
      <c r="F676" s="35"/>
      <c r="G676" s="35"/>
      <c r="H676" s="35"/>
      <c r="I676" s="35"/>
      <c r="J676" s="186"/>
      <c r="K676" s="110"/>
      <c r="L676" s="35"/>
      <c r="M676" s="172"/>
      <c r="N676" s="172"/>
      <c r="O676" s="35"/>
      <c r="P676" s="164"/>
      <c r="Q676" s="164"/>
      <c r="R676" s="164"/>
      <c r="S676" s="164"/>
      <c r="T676" s="164"/>
      <c r="U676" s="164"/>
      <c r="V676" s="35"/>
      <c r="W676" s="35"/>
      <c r="X676" s="35"/>
      <c r="Y676" s="35"/>
      <c r="Z676" s="35"/>
      <c r="AA676" s="35"/>
      <c r="AB676" s="35"/>
      <c r="AC676" s="35"/>
      <c r="AD676" s="35"/>
      <c r="AE676" s="35"/>
      <c r="AF676" s="35"/>
      <c r="AG676" s="35"/>
      <c r="AH676" s="35"/>
    </row>
    <row r="677">
      <c r="A677" s="35"/>
      <c r="B677" s="35"/>
      <c r="C677" s="35"/>
      <c r="D677" s="172"/>
      <c r="E677" s="21"/>
      <c r="F677" s="35"/>
      <c r="G677" s="35"/>
      <c r="H677" s="35"/>
      <c r="I677" s="35"/>
      <c r="J677" s="186"/>
      <c r="K677" s="110"/>
      <c r="L677" s="35"/>
      <c r="M677" s="172"/>
      <c r="N677" s="172"/>
      <c r="O677" s="35"/>
      <c r="P677" s="164"/>
      <c r="Q677" s="164"/>
      <c r="R677" s="164"/>
      <c r="S677" s="164"/>
      <c r="T677" s="164"/>
      <c r="U677" s="164"/>
      <c r="V677" s="35"/>
      <c r="W677" s="35"/>
      <c r="X677" s="35"/>
      <c r="Y677" s="35"/>
      <c r="Z677" s="35"/>
      <c r="AA677" s="35"/>
      <c r="AB677" s="35"/>
      <c r="AC677" s="35"/>
      <c r="AD677" s="35"/>
      <c r="AE677" s="35"/>
      <c r="AF677" s="35"/>
      <c r="AG677" s="35"/>
      <c r="AH677" s="35"/>
    </row>
    <row r="678">
      <c r="A678" s="35"/>
      <c r="B678" s="35"/>
      <c r="C678" s="35"/>
      <c r="D678" s="172"/>
      <c r="E678" s="21"/>
      <c r="F678" s="35"/>
      <c r="G678" s="35"/>
      <c r="H678" s="35"/>
      <c r="I678" s="35"/>
      <c r="J678" s="186"/>
      <c r="K678" s="110"/>
      <c r="L678" s="35"/>
      <c r="M678" s="172"/>
      <c r="N678" s="172"/>
      <c r="O678" s="35"/>
      <c r="P678" s="164"/>
      <c r="Q678" s="164"/>
      <c r="R678" s="164"/>
      <c r="S678" s="164"/>
      <c r="T678" s="164"/>
      <c r="U678" s="164"/>
      <c r="V678" s="35"/>
      <c r="W678" s="35"/>
      <c r="X678" s="35"/>
      <c r="Y678" s="35"/>
      <c r="Z678" s="35"/>
      <c r="AA678" s="35"/>
      <c r="AB678" s="35"/>
      <c r="AC678" s="35"/>
      <c r="AD678" s="35"/>
      <c r="AE678" s="35"/>
      <c r="AF678" s="35"/>
      <c r="AG678" s="35"/>
      <c r="AH678" s="35"/>
    </row>
    <row r="679">
      <c r="A679" s="35"/>
      <c r="B679" s="35"/>
      <c r="C679" s="35"/>
      <c r="D679" s="172"/>
      <c r="E679" s="21"/>
      <c r="F679" s="35"/>
      <c r="G679" s="35"/>
      <c r="H679" s="35"/>
      <c r="I679" s="35"/>
      <c r="J679" s="186"/>
      <c r="K679" s="110"/>
      <c r="L679" s="35"/>
      <c r="M679" s="172"/>
      <c r="N679" s="172"/>
      <c r="O679" s="35"/>
      <c r="P679" s="164"/>
      <c r="Q679" s="164"/>
      <c r="R679" s="164"/>
      <c r="S679" s="164"/>
      <c r="T679" s="164"/>
      <c r="U679" s="164"/>
      <c r="V679" s="35"/>
      <c r="W679" s="35"/>
      <c r="X679" s="35"/>
      <c r="Y679" s="35"/>
      <c r="Z679" s="35"/>
      <c r="AA679" s="35"/>
      <c r="AB679" s="35"/>
      <c r="AC679" s="35"/>
      <c r="AD679" s="35"/>
      <c r="AE679" s="35"/>
      <c r="AF679" s="35"/>
      <c r="AG679" s="35"/>
      <c r="AH679" s="35"/>
    </row>
    <row r="680">
      <c r="A680" s="35"/>
      <c r="B680" s="35"/>
      <c r="C680" s="35"/>
      <c r="D680" s="172"/>
      <c r="E680" s="21"/>
      <c r="F680" s="35"/>
      <c r="G680" s="35"/>
      <c r="H680" s="35"/>
      <c r="I680" s="35"/>
      <c r="J680" s="186"/>
      <c r="K680" s="110"/>
      <c r="L680" s="35"/>
      <c r="M680" s="172"/>
      <c r="N680" s="172"/>
      <c r="O680" s="35"/>
      <c r="P680" s="164"/>
      <c r="Q680" s="164"/>
      <c r="R680" s="164"/>
      <c r="S680" s="164"/>
      <c r="T680" s="164"/>
      <c r="U680" s="164"/>
      <c r="V680" s="35"/>
      <c r="W680" s="35"/>
      <c r="X680" s="35"/>
      <c r="Y680" s="35"/>
      <c r="Z680" s="35"/>
      <c r="AA680" s="35"/>
      <c r="AB680" s="35"/>
      <c r="AC680" s="35"/>
      <c r="AD680" s="35"/>
      <c r="AE680" s="35"/>
      <c r="AF680" s="35"/>
      <c r="AG680" s="35"/>
      <c r="AH680" s="35"/>
    </row>
    <row r="681">
      <c r="A681" s="35"/>
      <c r="B681" s="35"/>
      <c r="C681" s="35"/>
      <c r="D681" s="172"/>
      <c r="E681" s="21"/>
      <c r="F681" s="35"/>
      <c r="G681" s="35"/>
      <c r="H681" s="35"/>
      <c r="I681" s="35"/>
      <c r="J681" s="186"/>
      <c r="K681" s="110"/>
      <c r="L681" s="35"/>
      <c r="M681" s="172"/>
      <c r="N681" s="172"/>
      <c r="O681" s="35"/>
      <c r="P681" s="164"/>
      <c r="Q681" s="164"/>
      <c r="R681" s="164"/>
      <c r="S681" s="164"/>
      <c r="T681" s="164"/>
      <c r="U681" s="164"/>
      <c r="V681" s="35"/>
      <c r="W681" s="35"/>
      <c r="X681" s="35"/>
      <c r="Y681" s="35"/>
      <c r="Z681" s="35"/>
      <c r="AA681" s="35"/>
      <c r="AB681" s="35"/>
      <c r="AC681" s="35"/>
      <c r="AD681" s="35"/>
      <c r="AE681" s="35"/>
      <c r="AF681" s="35"/>
      <c r="AG681" s="35"/>
      <c r="AH681" s="35"/>
    </row>
    <row r="682">
      <c r="A682" s="35"/>
      <c r="B682" s="35"/>
      <c r="C682" s="35"/>
      <c r="D682" s="172"/>
      <c r="E682" s="21"/>
      <c r="F682" s="35"/>
      <c r="G682" s="35"/>
      <c r="H682" s="35"/>
      <c r="I682" s="35"/>
      <c r="J682" s="186"/>
      <c r="K682" s="110"/>
      <c r="L682" s="35"/>
      <c r="M682" s="172"/>
      <c r="N682" s="172"/>
      <c r="O682" s="35"/>
      <c r="P682" s="164"/>
      <c r="Q682" s="164"/>
      <c r="R682" s="164"/>
      <c r="S682" s="164"/>
      <c r="T682" s="164"/>
      <c r="U682" s="164"/>
      <c r="V682" s="35"/>
      <c r="W682" s="35"/>
      <c r="X682" s="35"/>
      <c r="Y682" s="35"/>
      <c r="Z682" s="35"/>
      <c r="AA682" s="35"/>
      <c r="AB682" s="35"/>
      <c r="AC682" s="35"/>
      <c r="AD682" s="35"/>
      <c r="AE682" s="35"/>
      <c r="AF682" s="35"/>
      <c r="AG682" s="35"/>
      <c r="AH682" s="35"/>
    </row>
    <row r="683">
      <c r="A683" s="35"/>
      <c r="B683" s="35"/>
      <c r="C683" s="35"/>
      <c r="D683" s="172"/>
      <c r="E683" s="21"/>
      <c r="F683" s="35"/>
      <c r="G683" s="35"/>
      <c r="H683" s="35"/>
      <c r="I683" s="35"/>
      <c r="J683" s="186"/>
      <c r="K683" s="110"/>
      <c r="L683" s="35"/>
      <c r="M683" s="172"/>
      <c r="N683" s="172"/>
      <c r="O683" s="35"/>
      <c r="P683" s="164"/>
      <c r="Q683" s="164"/>
      <c r="R683" s="164"/>
      <c r="S683" s="164"/>
      <c r="T683" s="164"/>
      <c r="U683" s="164"/>
      <c r="V683" s="35"/>
      <c r="W683" s="35"/>
      <c r="X683" s="35"/>
      <c r="Y683" s="35"/>
      <c r="Z683" s="35"/>
      <c r="AA683" s="35"/>
      <c r="AB683" s="35"/>
      <c r="AC683" s="35"/>
      <c r="AD683" s="35"/>
      <c r="AE683" s="35"/>
      <c r="AF683" s="35"/>
      <c r="AG683" s="35"/>
      <c r="AH683" s="35"/>
    </row>
    <row r="684">
      <c r="A684" s="35"/>
      <c r="B684" s="35"/>
      <c r="C684" s="35"/>
      <c r="D684" s="172"/>
      <c r="E684" s="21"/>
      <c r="F684" s="35"/>
      <c r="G684" s="35"/>
      <c r="H684" s="35"/>
      <c r="I684" s="35"/>
      <c r="J684" s="186"/>
      <c r="K684" s="110"/>
      <c r="L684" s="35"/>
      <c r="M684" s="172"/>
      <c r="N684" s="172"/>
      <c r="O684" s="35"/>
      <c r="P684" s="164"/>
      <c r="Q684" s="164"/>
      <c r="R684" s="164"/>
      <c r="S684" s="164"/>
      <c r="T684" s="164"/>
      <c r="U684" s="164"/>
      <c r="V684" s="35"/>
      <c r="W684" s="35"/>
      <c r="X684" s="35"/>
      <c r="Y684" s="35"/>
      <c r="Z684" s="35"/>
      <c r="AA684" s="35"/>
      <c r="AB684" s="35"/>
      <c r="AC684" s="35"/>
      <c r="AD684" s="35"/>
      <c r="AE684" s="35"/>
      <c r="AF684" s="35"/>
      <c r="AG684" s="35"/>
      <c r="AH684" s="35"/>
    </row>
    <row r="685">
      <c r="A685" s="35"/>
      <c r="B685" s="35"/>
      <c r="C685" s="35"/>
      <c r="D685" s="172"/>
      <c r="E685" s="21"/>
      <c r="F685" s="35"/>
      <c r="G685" s="35"/>
      <c r="H685" s="35"/>
      <c r="I685" s="35"/>
      <c r="J685" s="186"/>
      <c r="K685" s="110"/>
      <c r="L685" s="35"/>
      <c r="M685" s="172"/>
      <c r="N685" s="172"/>
      <c r="O685" s="35"/>
      <c r="P685" s="164"/>
      <c r="Q685" s="164"/>
      <c r="R685" s="164"/>
      <c r="S685" s="164"/>
      <c r="T685" s="164"/>
      <c r="U685" s="164"/>
      <c r="V685" s="35"/>
      <c r="W685" s="35"/>
      <c r="X685" s="35"/>
      <c r="Y685" s="35"/>
      <c r="Z685" s="35"/>
      <c r="AA685" s="35"/>
      <c r="AB685" s="35"/>
      <c r="AC685" s="35"/>
      <c r="AD685" s="35"/>
      <c r="AE685" s="35"/>
      <c r="AF685" s="35"/>
      <c r="AG685" s="35"/>
      <c r="AH685" s="35"/>
    </row>
    <row r="686">
      <c r="A686" s="35"/>
      <c r="B686" s="35"/>
      <c r="C686" s="35"/>
      <c r="D686" s="172"/>
      <c r="E686" s="21"/>
      <c r="F686" s="35"/>
      <c r="G686" s="35"/>
      <c r="H686" s="35"/>
      <c r="I686" s="35"/>
      <c r="J686" s="186"/>
      <c r="K686" s="110"/>
      <c r="L686" s="35"/>
      <c r="M686" s="172"/>
      <c r="N686" s="172"/>
      <c r="O686" s="35"/>
      <c r="P686" s="164"/>
      <c r="Q686" s="164"/>
      <c r="R686" s="164"/>
      <c r="S686" s="164"/>
      <c r="T686" s="164"/>
      <c r="U686" s="164"/>
      <c r="V686" s="35"/>
      <c r="W686" s="35"/>
      <c r="X686" s="35"/>
      <c r="Y686" s="35"/>
      <c r="Z686" s="35"/>
      <c r="AA686" s="35"/>
      <c r="AB686" s="35"/>
      <c r="AC686" s="35"/>
      <c r="AD686" s="35"/>
      <c r="AE686" s="35"/>
      <c r="AF686" s="35"/>
      <c r="AG686" s="35"/>
      <c r="AH686" s="35"/>
    </row>
    <row r="687">
      <c r="A687" s="35"/>
      <c r="B687" s="35"/>
      <c r="C687" s="35"/>
      <c r="D687" s="172"/>
      <c r="E687" s="21"/>
      <c r="F687" s="35"/>
      <c r="G687" s="35"/>
      <c r="H687" s="35"/>
      <c r="I687" s="35"/>
      <c r="J687" s="186"/>
      <c r="K687" s="110"/>
      <c r="L687" s="35"/>
      <c r="M687" s="172"/>
      <c r="N687" s="172"/>
      <c r="O687" s="35"/>
      <c r="P687" s="164"/>
      <c r="Q687" s="164"/>
      <c r="R687" s="164"/>
      <c r="S687" s="164"/>
      <c r="T687" s="164"/>
      <c r="U687" s="164"/>
      <c r="V687" s="35"/>
      <c r="W687" s="35"/>
      <c r="X687" s="35"/>
      <c r="Y687" s="35"/>
      <c r="Z687" s="35"/>
      <c r="AA687" s="35"/>
      <c r="AB687" s="35"/>
      <c r="AC687" s="35"/>
      <c r="AD687" s="35"/>
      <c r="AE687" s="35"/>
      <c r="AF687" s="35"/>
      <c r="AG687" s="35"/>
      <c r="AH687" s="35"/>
    </row>
    <row r="688">
      <c r="A688" s="35"/>
      <c r="B688" s="35"/>
      <c r="C688" s="35"/>
      <c r="D688" s="172"/>
      <c r="E688" s="21"/>
      <c r="F688" s="35"/>
      <c r="G688" s="35"/>
      <c r="H688" s="35"/>
      <c r="I688" s="35"/>
      <c r="J688" s="186"/>
      <c r="K688" s="110"/>
      <c r="L688" s="35"/>
      <c r="M688" s="172"/>
      <c r="N688" s="172"/>
      <c r="O688" s="35"/>
      <c r="P688" s="164"/>
      <c r="Q688" s="164"/>
      <c r="R688" s="164"/>
      <c r="S688" s="164"/>
      <c r="T688" s="164"/>
      <c r="U688" s="164"/>
      <c r="V688" s="35"/>
      <c r="W688" s="35"/>
      <c r="X688" s="35"/>
      <c r="Y688" s="35"/>
      <c r="Z688" s="35"/>
      <c r="AA688" s="35"/>
      <c r="AB688" s="35"/>
      <c r="AC688" s="35"/>
      <c r="AD688" s="35"/>
      <c r="AE688" s="35"/>
      <c r="AF688" s="35"/>
      <c r="AG688" s="35"/>
      <c r="AH688" s="35"/>
    </row>
    <row r="689">
      <c r="A689" s="35"/>
      <c r="B689" s="35"/>
      <c r="C689" s="35"/>
      <c r="D689" s="172"/>
      <c r="E689" s="21"/>
      <c r="F689" s="35"/>
      <c r="G689" s="35"/>
      <c r="H689" s="35"/>
      <c r="I689" s="35"/>
      <c r="J689" s="186"/>
      <c r="K689" s="110"/>
      <c r="L689" s="35"/>
      <c r="M689" s="172"/>
      <c r="N689" s="172"/>
      <c r="O689" s="35"/>
      <c r="P689" s="164"/>
      <c r="Q689" s="164"/>
      <c r="R689" s="164"/>
      <c r="S689" s="164"/>
      <c r="T689" s="164"/>
      <c r="U689" s="164"/>
      <c r="V689" s="35"/>
      <c r="W689" s="35"/>
      <c r="X689" s="35"/>
      <c r="Y689" s="35"/>
      <c r="Z689" s="35"/>
      <c r="AA689" s="35"/>
      <c r="AB689" s="35"/>
      <c r="AC689" s="35"/>
      <c r="AD689" s="35"/>
      <c r="AE689" s="35"/>
      <c r="AF689" s="35"/>
      <c r="AG689" s="35"/>
      <c r="AH689" s="35"/>
    </row>
    <row r="690">
      <c r="A690" s="35"/>
      <c r="B690" s="35"/>
      <c r="C690" s="35"/>
      <c r="D690" s="172"/>
      <c r="E690" s="21"/>
      <c r="F690" s="35"/>
      <c r="G690" s="35"/>
      <c r="H690" s="35"/>
      <c r="I690" s="35"/>
      <c r="J690" s="186"/>
      <c r="K690" s="110"/>
      <c r="L690" s="35"/>
      <c r="M690" s="172"/>
      <c r="N690" s="172"/>
      <c r="O690" s="35"/>
      <c r="P690" s="164"/>
      <c r="Q690" s="164"/>
      <c r="R690" s="164"/>
      <c r="S690" s="164"/>
      <c r="T690" s="164"/>
      <c r="U690" s="164"/>
      <c r="V690" s="35"/>
      <c r="W690" s="35"/>
      <c r="X690" s="35"/>
      <c r="Y690" s="35"/>
      <c r="Z690" s="35"/>
      <c r="AA690" s="35"/>
      <c r="AB690" s="35"/>
      <c r="AC690" s="35"/>
      <c r="AD690" s="35"/>
      <c r="AE690" s="35"/>
      <c r="AF690" s="35"/>
      <c r="AG690" s="35"/>
      <c r="AH690" s="35"/>
    </row>
    <row r="691">
      <c r="A691" s="35"/>
      <c r="B691" s="35"/>
      <c r="C691" s="35"/>
      <c r="D691" s="172"/>
      <c r="E691" s="21"/>
      <c r="F691" s="35"/>
      <c r="G691" s="35"/>
      <c r="H691" s="35"/>
      <c r="I691" s="35"/>
      <c r="J691" s="186"/>
      <c r="K691" s="110"/>
      <c r="L691" s="35"/>
      <c r="M691" s="172"/>
      <c r="N691" s="172"/>
      <c r="O691" s="35"/>
      <c r="P691" s="164"/>
      <c r="Q691" s="164"/>
      <c r="R691" s="164"/>
      <c r="S691" s="164"/>
      <c r="T691" s="164"/>
      <c r="U691" s="164"/>
      <c r="V691" s="35"/>
      <c r="W691" s="35"/>
      <c r="X691" s="35"/>
      <c r="Y691" s="35"/>
      <c r="Z691" s="35"/>
      <c r="AA691" s="35"/>
      <c r="AB691" s="35"/>
      <c r="AC691" s="35"/>
      <c r="AD691" s="35"/>
      <c r="AE691" s="35"/>
      <c r="AF691" s="35"/>
      <c r="AG691" s="35"/>
      <c r="AH691" s="35"/>
    </row>
    <row r="692">
      <c r="A692" s="35"/>
      <c r="B692" s="35"/>
      <c r="C692" s="35"/>
      <c r="D692" s="172"/>
      <c r="E692" s="21"/>
      <c r="F692" s="35"/>
      <c r="G692" s="35"/>
      <c r="H692" s="35"/>
      <c r="I692" s="35"/>
      <c r="J692" s="186"/>
      <c r="K692" s="110"/>
      <c r="L692" s="35"/>
      <c r="M692" s="172"/>
      <c r="N692" s="172"/>
      <c r="O692" s="35"/>
      <c r="P692" s="164"/>
      <c r="Q692" s="164"/>
      <c r="R692" s="164"/>
      <c r="S692" s="164"/>
      <c r="T692" s="164"/>
      <c r="U692" s="164"/>
      <c r="V692" s="35"/>
      <c r="W692" s="35"/>
      <c r="X692" s="35"/>
      <c r="Y692" s="35"/>
      <c r="Z692" s="35"/>
      <c r="AA692" s="35"/>
      <c r="AB692" s="35"/>
      <c r="AC692" s="35"/>
      <c r="AD692" s="35"/>
      <c r="AE692" s="35"/>
      <c r="AF692" s="35"/>
      <c r="AG692" s="35"/>
      <c r="AH692" s="35"/>
    </row>
    <row r="693">
      <c r="A693" s="35"/>
      <c r="B693" s="35"/>
      <c r="C693" s="35"/>
      <c r="D693" s="172"/>
      <c r="E693" s="21"/>
      <c r="F693" s="35"/>
      <c r="G693" s="35"/>
      <c r="H693" s="35"/>
      <c r="I693" s="35"/>
      <c r="J693" s="186"/>
      <c r="K693" s="110"/>
      <c r="L693" s="35"/>
      <c r="M693" s="172"/>
      <c r="N693" s="172"/>
      <c r="O693" s="35"/>
      <c r="P693" s="164"/>
      <c r="Q693" s="164"/>
      <c r="R693" s="164"/>
      <c r="S693" s="164"/>
      <c r="T693" s="164"/>
      <c r="U693" s="164"/>
      <c r="V693" s="35"/>
      <c r="W693" s="35"/>
      <c r="X693" s="35"/>
      <c r="Y693" s="35"/>
      <c r="Z693" s="35"/>
      <c r="AA693" s="35"/>
      <c r="AB693" s="35"/>
      <c r="AC693" s="35"/>
      <c r="AD693" s="35"/>
      <c r="AE693" s="35"/>
      <c r="AF693" s="35"/>
      <c r="AG693" s="35"/>
      <c r="AH693" s="35"/>
    </row>
    <row r="694">
      <c r="A694" s="35"/>
      <c r="B694" s="35"/>
      <c r="C694" s="35"/>
      <c r="D694" s="172"/>
      <c r="E694" s="21"/>
      <c r="F694" s="35"/>
      <c r="G694" s="35"/>
      <c r="H694" s="35"/>
      <c r="I694" s="35"/>
      <c r="J694" s="186"/>
      <c r="K694" s="110"/>
      <c r="L694" s="35"/>
      <c r="M694" s="172"/>
      <c r="N694" s="172"/>
      <c r="O694" s="35"/>
      <c r="P694" s="164"/>
      <c r="Q694" s="164"/>
      <c r="R694" s="164"/>
      <c r="S694" s="164"/>
      <c r="T694" s="164"/>
      <c r="U694" s="164"/>
      <c r="V694" s="35"/>
      <c r="W694" s="35"/>
      <c r="X694" s="35"/>
      <c r="Y694" s="35"/>
      <c r="Z694" s="35"/>
      <c r="AA694" s="35"/>
      <c r="AB694" s="35"/>
      <c r="AC694" s="35"/>
      <c r="AD694" s="35"/>
      <c r="AE694" s="35"/>
      <c r="AF694" s="35"/>
      <c r="AG694" s="35"/>
      <c r="AH694" s="35"/>
    </row>
    <row r="695">
      <c r="A695" s="35"/>
      <c r="B695" s="35"/>
      <c r="C695" s="35"/>
      <c r="D695" s="172"/>
      <c r="E695" s="21"/>
      <c r="F695" s="35"/>
      <c r="G695" s="35"/>
      <c r="H695" s="35"/>
      <c r="I695" s="35"/>
      <c r="J695" s="186"/>
      <c r="K695" s="110"/>
      <c r="L695" s="35"/>
      <c r="M695" s="172"/>
      <c r="N695" s="172"/>
      <c r="O695" s="35"/>
      <c r="P695" s="164"/>
      <c r="Q695" s="164"/>
      <c r="R695" s="164"/>
      <c r="S695" s="164"/>
      <c r="T695" s="164"/>
      <c r="U695" s="164"/>
      <c r="V695" s="35"/>
      <c r="W695" s="35"/>
      <c r="X695" s="35"/>
      <c r="Y695" s="35"/>
      <c r="Z695" s="35"/>
      <c r="AA695" s="35"/>
      <c r="AB695" s="35"/>
      <c r="AC695" s="35"/>
      <c r="AD695" s="35"/>
      <c r="AE695" s="35"/>
      <c r="AF695" s="35"/>
      <c r="AG695" s="35"/>
      <c r="AH695" s="35"/>
    </row>
    <row r="696">
      <c r="A696" s="35"/>
      <c r="B696" s="35"/>
      <c r="C696" s="35"/>
      <c r="D696" s="172"/>
      <c r="E696" s="21"/>
      <c r="F696" s="35"/>
      <c r="G696" s="35"/>
      <c r="H696" s="35"/>
      <c r="I696" s="35"/>
      <c r="J696" s="186"/>
      <c r="K696" s="110"/>
      <c r="L696" s="35"/>
      <c r="M696" s="172"/>
      <c r="N696" s="172"/>
      <c r="O696" s="35"/>
      <c r="P696" s="164"/>
      <c r="Q696" s="164"/>
      <c r="R696" s="164"/>
      <c r="S696" s="164"/>
      <c r="T696" s="164"/>
      <c r="U696" s="164"/>
      <c r="V696" s="35"/>
      <c r="W696" s="35"/>
      <c r="X696" s="35"/>
      <c r="Y696" s="35"/>
      <c r="Z696" s="35"/>
      <c r="AA696" s="35"/>
      <c r="AB696" s="35"/>
      <c r="AC696" s="35"/>
      <c r="AD696" s="35"/>
      <c r="AE696" s="35"/>
      <c r="AF696" s="35"/>
      <c r="AG696" s="35"/>
      <c r="AH696" s="35"/>
    </row>
    <row r="697">
      <c r="A697" s="35"/>
      <c r="B697" s="35"/>
      <c r="C697" s="35"/>
      <c r="D697" s="172"/>
      <c r="E697" s="21"/>
      <c r="F697" s="35"/>
      <c r="G697" s="35"/>
      <c r="H697" s="35"/>
      <c r="I697" s="35"/>
      <c r="J697" s="186"/>
      <c r="K697" s="110"/>
      <c r="L697" s="35"/>
      <c r="M697" s="172"/>
      <c r="N697" s="172"/>
      <c r="O697" s="35"/>
      <c r="P697" s="164"/>
      <c r="Q697" s="164"/>
      <c r="R697" s="164"/>
      <c r="S697" s="164"/>
      <c r="T697" s="164"/>
      <c r="U697" s="164"/>
      <c r="V697" s="35"/>
      <c r="W697" s="35"/>
      <c r="X697" s="35"/>
      <c r="Y697" s="35"/>
      <c r="Z697" s="35"/>
      <c r="AA697" s="35"/>
      <c r="AB697" s="35"/>
      <c r="AC697" s="35"/>
      <c r="AD697" s="35"/>
      <c r="AE697" s="35"/>
      <c r="AF697" s="35"/>
      <c r="AG697" s="35"/>
      <c r="AH697" s="35"/>
    </row>
    <row r="698">
      <c r="A698" s="35"/>
      <c r="B698" s="35"/>
      <c r="C698" s="35"/>
      <c r="D698" s="172"/>
      <c r="E698" s="21"/>
      <c r="F698" s="35"/>
      <c r="G698" s="35"/>
      <c r="H698" s="35"/>
      <c r="I698" s="35"/>
      <c r="J698" s="186"/>
      <c r="K698" s="110"/>
      <c r="L698" s="35"/>
      <c r="M698" s="172"/>
      <c r="N698" s="172"/>
      <c r="O698" s="35"/>
      <c r="P698" s="164"/>
      <c r="Q698" s="164"/>
      <c r="R698" s="164"/>
      <c r="S698" s="164"/>
      <c r="T698" s="164"/>
      <c r="U698" s="164"/>
      <c r="V698" s="35"/>
      <c r="W698" s="35"/>
      <c r="X698" s="35"/>
      <c r="Y698" s="35"/>
      <c r="Z698" s="35"/>
      <c r="AA698" s="35"/>
      <c r="AB698" s="35"/>
      <c r="AC698" s="35"/>
      <c r="AD698" s="35"/>
      <c r="AE698" s="35"/>
      <c r="AF698" s="35"/>
      <c r="AG698" s="35"/>
      <c r="AH698" s="35"/>
    </row>
    <row r="699">
      <c r="A699" s="35"/>
      <c r="B699" s="35"/>
      <c r="C699" s="35"/>
      <c r="D699" s="172"/>
      <c r="E699" s="21"/>
      <c r="F699" s="35"/>
      <c r="G699" s="35"/>
      <c r="H699" s="35"/>
      <c r="I699" s="35"/>
      <c r="J699" s="186"/>
      <c r="K699" s="110"/>
      <c r="L699" s="35"/>
      <c r="M699" s="172"/>
      <c r="N699" s="172"/>
      <c r="O699" s="35"/>
      <c r="P699" s="164"/>
      <c r="Q699" s="164"/>
      <c r="R699" s="164"/>
      <c r="S699" s="164"/>
      <c r="T699" s="164"/>
      <c r="U699" s="164"/>
      <c r="V699" s="35"/>
      <c r="W699" s="35"/>
      <c r="X699" s="35"/>
      <c r="Y699" s="35"/>
      <c r="Z699" s="35"/>
      <c r="AA699" s="35"/>
      <c r="AB699" s="35"/>
      <c r="AC699" s="35"/>
      <c r="AD699" s="35"/>
      <c r="AE699" s="35"/>
      <c r="AF699" s="35"/>
      <c r="AG699" s="35"/>
      <c r="AH699" s="35"/>
    </row>
    <row r="700">
      <c r="A700" s="35"/>
      <c r="B700" s="35"/>
      <c r="C700" s="35"/>
      <c r="D700" s="172"/>
      <c r="E700" s="21"/>
      <c r="F700" s="35"/>
      <c r="G700" s="35"/>
      <c r="H700" s="35"/>
      <c r="I700" s="35"/>
      <c r="J700" s="186"/>
      <c r="K700" s="110"/>
      <c r="L700" s="35"/>
      <c r="M700" s="172"/>
      <c r="N700" s="172"/>
      <c r="O700" s="35"/>
      <c r="P700" s="164"/>
      <c r="Q700" s="164"/>
      <c r="R700" s="164"/>
      <c r="S700" s="164"/>
      <c r="T700" s="164"/>
      <c r="U700" s="164"/>
      <c r="V700" s="35"/>
      <c r="W700" s="35"/>
      <c r="X700" s="35"/>
      <c r="Y700" s="35"/>
      <c r="Z700" s="35"/>
      <c r="AA700" s="35"/>
      <c r="AB700" s="35"/>
      <c r="AC700" s="35"/>
      <c r="AD700" s="35"/>
      <c r="AE700" s="35"/>
      <c r="AF700" s="35"/>
      <c r="AG700" s="35"/>
      <c r="AH700" s="35"/>
    </row>
    <row r="701">
      <c r="A701" s="35"/>
      <c r="B701" s="35"/>
      <c r="C701" s="35"/>
      <c r="D701" s="172"/>
      <c r="E701" s="21"/>
      <c r="F701" s="35"/>
      <c r="G701" s="35"/>
      <c r="H701" s="35"/>
      <c r="I701" s="35"/>
      <c r="J701" s="186"/>
      <c r="K701" s="110"/>
      <c r="L701" s="35"/>
      <c r="M701" s="172"/>
      <c r="N701" s="172"/>
      <c r="O701" s="35"/>
      <c r="P701" s="164"/>
      <c r="Q701" s="164"/>
      <c r="R701" s="164"/>
      <c r="S701" s="164"/>
      <c r="T701" s="164"/>
      <c r="U701" s="164"/>
      <c r="V701" s="35"/>
      <c r="W701" s="35"/>
      <c r="X701" s="35"/>
      <c r="Y701" s="35"/>
      <c r="Z701" s="35"/>
      <c r="AA701" s="35"/>
      <c r="AB701" s="35"/>
      <c r="AC701" s="35"/>
      <c r="AD701" s="35"/>
      <c r="AE701" s="35"/>
      <c r="AF701" s="35"/>
      <c r="AG701" s="35"/>
      <c r="AH701" s="35"/>
    </row>
    <row r="702">
      <c r="A702" s="35"/>
      <c r="B702" s="35"/>
      <c r="C702" s="35"/>
      <c r="D702" s="172"/>
      <c r="E702" s="21"/>
      <c r="F702" s="35"/>
      <c r="G702" s="35"/>
      <c r="H702" s="35"/>
      <c r="I702" s="35"/>
      <c r="J702" s="186"/>
      <c r="K702" s="110"/>
      <c r="L702" s="35"/>
      <c r="M702" s="172"/>
      <c r="N702" s="172"/>
      <c r="O702" s="35"/>
      <c r="P702" s="164"/>
      <c r="Q702" s="164"/>
      <c r="R702" s="164"/>
      <c r="S702" s="164"/>
      <c r="T702" s="164"/>
      <c r="U702" s="164"/>
      <c r="V702" s="35"/>
      <c r="W702" s="35"/>
      <c r="X702" s="35"/>
      <c r="Y702" s="35"/>
      <c r="Z702" s="35"/>
      <c r="AA702" s="35"/>
      <c r="AB702" s="35"/>
      <c r="AC702" s="35"/>
      <c r="AD702" s="35"/>
      <c r="AE702" s="35"/>
      <c r="AF702" s="35"/>
      <c r="AG702" s="35"/>
      <c r="AH702" s="35"/>
    </row>
    <row r="703">
      <c r="A703" s="35"/>
      <c r="B703" s="35"/>
      <c r="C703" s="35"/>
      <c r="D703" s="172"/>
      <c r="E703" s="21"/>
      <c r="F703" s="35"/>
      <c r="G703" s="35"/>
      <c r="H703" s="35"/>
      <c r="I703" s="35"/>
      <c r="J703" s="186"/>
      <c r="K703" s="110"/>
      <c r="L703" s="35"/>
      <c r="M703" s="172"/>
      <c r="N703" s="172"/>
      <c r="O703" s="35"/>
      <c r="P703" s="164"/>
      <c r="Q703" s="164"/>
      <c r="R703" s="164"/>
      <c r="S703" s="164"/>
      <c r="T703" s="164"/>
      <c r="U703" s="164"/>
      <c r="V703" s="35"/>
      <c r="W703" s="35"/>
      <c r="X703" s="35"/>
      <c r="Y703" s="35"/>
      <c r="Z703" s="35"/>
      <c r="AA703" s="35"/>
      <c r="AB703" s="35"/>
      <c r="AC703" s="35"/>
      <c r="AD703" s="35"/>
      <c r="AE703" s="35"/>
      <c r="AF703" s="35"/>
      <c r="AG703" s="35"/>
      <c r="AH703" s="35"/>
    </row>
    <row r="704">
      <c r="A704" s="35"/>
      <c r="B704" s="35"/>
      <c r="C704" s="35"/>
      <c r="D704" s="172"/>
      <c r="E704" s="21"/>
      <c r="F704" s="35"/>
      <c r="G704" s="35"/>
      <c r="H704" s="35"/>
      <c r="I704" s="35"/>
      <c r="J704" s="186"/>
      <c r="K704" s="110"/>
      <c r="L704" s="35"/>
      <c r="M704" s="172"/>
      <c r="N704" s="172"/>
      <c r="O704" s="35"/>
      <c r="P704" s="164"/>
      <c r="Q704" s="164"/>
      <c r="R704" s="164"/>
      <c r="S704" s="164"/>
      <c r="T704" s="164"/>
      <c r="U704" s="164"/>
      <c r="V704" s="35"/>
      <c r="W704" s="35"/>
      <c r="X704" s="35"/>
      <c r="Y704" s="35"/>
      <c r="Z704" s="35"/>
      <c r="AA704" s="35"/>
      <c r="AB704" s="35"/>
      <c r="AC704" s="35"/>
      <c r="AD704" s="35"/>
      <c r="AE704" s="35"/>
      <c r="AF704" s="35"/>
      <c r="AG704" s="35"/>
      <c r="AH704" s="35"/>
    </row>
    <row r="705">
      <c r="A705" s="35"/>
      <c r="B705" s="35"/>
      <c r="C705" s="35"/>
      <c r="D705" s="172"/>
      <c r="E705" s="21"/>
      <c r="F705" s="35"/>
      <c r="G705" s="35"/>
      <c r="H705" s="35"/>
      <c r="I705" s="35"/>
      <c r="J705" s="186"/>
      <c r="K705" s="110"/>
      <c r="L705" s="35"/>
      <c r="M705" s="172"/>
      <c r="N705" s="172"/>
      <c r="O705" s="35"/>
      <c r="P705" s="164"/>
      <c r="Q705" s="164"/>
      <c r="R705" s="164"/>
      <c r="S705" s="164"/>
      <c r="T705" s="164"/>
      <c r="U705" s="164"/>
      <c r="V705" s="35"/>
      <c r="W705" s="35"/>
      <c r="X705" s="35"/>
      <c r="Y705" s="35"/>
      <c r="Z705" s="35"/>
      <c r="AA705" s="35"/>
      <c r="AB705" s="35"/>
      <c r="AC705" s="35"/>
      <c r="AD705" s="35"/>
      <c r="AE705" s="35"/>
      <c r="AF705" s="35"/>
      <c r="AG705" s="35"/>
      <c r="AH705" s="35"/>
    </row>
    <row r="706">
      <c r="A706" s="35"/>
      <c r="B706" s="35"/>
      <c r="C706" s="35"/>
      <c r="D706" s="172"/>
      <c r="E706" s="21"/>
      <c r="F706" s="35"/>
      <c r="G706" s="35"/>
      <c r="H706" s="35"/>
      <c r="I706" s="35"/>
      <c r="J706" s="186"/>
      <c r="K706" s="110"/>
      <c r="L706" s="35"/>
      <c r="M706" s="172"/>
      <c r="N706" s="172"/>
      <c r="O706" s="35"/>
      <c r="P706" s="164"/>
      <c r="Q706" s="164"/>
      <c r="R706" s="164"/>
      <c r="S706" s="164"/>
      <c r="T706" s="164"/>
      <c r="U706" s="164"/>
      <c r="V706" s="35"/>
      <c r="W706" s="35"/>
      <c r="X706" s="35"/>
      <c r="Y706" s="35"/>
      <c r="Z706" s="35"/>
      <c r="AA706" s="35"/>
      <c r="AB706" s="35"/>
      <c r="AC706" s="35"/>
      <c r="AD706" s="35"/>
      <c r="AE706" s="35"/>
      <c r="AF706" s="35"/>
      <c r="AG706" s="35"/>
      <c r="AH706" s="35"/>
    </row>
    <row r="707">
      <c r="A707" s="35"/>
      <c r="B707" s="35"/>
      <c r="C707" s="35"/>
      <c r="D707" s="172"/>
      <c r="E707" s="21"/>
      <c r="F707" s="35"/>
      <c r="G707" s="35"/>
      <c r="H707" s="35"/>
      <c r="I707" s="35"/>
      <c r="J707" s="186"/>
      <c r="K707" s="110"/>
      <c r="L707" s="35"/>
      <c r="M707" s="172"/>
      <c r="N707" s="172"/>
      <c r="O707" s="35"/>
      <c r="P707" s="164"/>
      <c r="Q707" s="164"/>
      <c r="R707" s="164"/>
      <c r="S707" s="164"/>
      <c r="T707" s="164"/>
      <c r="U707" s="164"/>
      <c r="V707" s="35"/>
      <c r="W707" s="35"/>
      <c r="X707" s="35"/>
      <c r="Y707" s="35"/>
      <c r="Z707" s="35"/>
      <c r="AA707" s="35"/>
      <c r="AB707" s="35"/>
      <c r="AC707" s="35"/>
      <c r="AD707" s="35"/>
      <c r="AE707" s="35"/>
      <c r="AF707" s="35"/>
      <c r="AG707" s="35"/>
      <c r="AH707" s="35"/>
    </row>
    <row r="708">
      <c r="A708" s="35"/>
      <c r="B708" s="35"/>
      <c r="C708" s="35"/>
      <c r="D708" s="172"/>
      <c r="E708" s="21"/>
      <c r="F708" s="35"/>
      <c r="G708" s="35"/>
      <c r="H708" s="35"/>
      <c r="I708" s="35"/>
      <c r="J708" s="186"/>
      <c r="K708" s="110"/>
      <c r="L708" s="35"/>
      <c r="M708" s="172"/>
      <c r="N708" s="172"/>
      <c r="O708" s="35"/>
      <c r="P708" s="164"/>
      <c r="Q708" s="164"/>
      <c r="R708" s="164"/>
      <c r="S708" s="164"/>
      <c r="T708" s="164"/>
      <c r="U708" s="164"/>
      <c r="V708" s="35"/>
      <c r="W708" s="35"/>
      <c r="X708" s="35"/>
      <c r="Y708" s="35"/>
      <c r="Z708" s="35"/>
      <c r="AA708" s="35"/>
      <c r="AB708" s="35"/>
      <c r="AC708" s="35"/>
      <c r="AD708" s="35"/>
      <c r="AE708" s="35"/>
      <c r="AF708" s="35"/>
      <c r="AG708" s="35"/>
      <c r="AH708" s="35"/>
    </row>
    <row r="709">
      <c r="A709" s="35"/>
      <c r="B709" s="35"/>
      <c r="C709" s="35"/>
      <c r="D709" s="172"/>
      <c r="E709" s="21"/>
      <c r="F709" s="35"/>
      <c r="G709" s="35"/>
      <c r="H709" s="35"/>
      <c r="I709" s="35"/>
      <c r="J709" s="186"/>
      <c r="K709" s="110"/>
      <c r="L709" s="35"/>
      <c r="M709" s="172"/>
      <c r="N709" s="172"/>
      <c r="O709" s="35"/>
      <c r="P709" s="164"/>
      <c r="Q709" s="164"/>
      <c r="R709" s="164"/>
      <c r="S709" s="164"/>
      <c r="T709" s="164"/>
      <c r="U709" s="164"/>
      <c r="V709" s="35"/>
      <c r="W709" s="35"/>
      <c r="X709" s="35"/>
      <c r="Y709" s="35"/>
      <c r="Z709" s="35"/>
      <c r="AA709" s="35"/>
      <c r="AB709" s="35"/>
      <c r="AC709" s="35"/>
      <c r="AD709" s="35"/>
      <c r="AE709" s="35"/>
      <c r="AF709" s="35"/>
      <c r="AG709" s="35"/>
      <c r="AH709" s="35"/>
    </row>
    <row r="710">
      <c r="A710" s="35"/>
      <c r="B710" s="35"/>
      <c r="C710" s="35"/>
      <c r="D710" s="172"/>
      <c r="E710" s="21"/>
      <c r="F710" s="35"/>
      <c r="G710" s="35"/>
      <c r="H710" s="35"/>
      <c r="I710" s="35"/>
      <c r="J710" s="186"/>
      <c r="K710" s="110"/>
      <c r="L710" s="35"/>
      <c r="M710" s="172"/>
      <c r="N710" s="172"/>
      <c r="O710" s="35"/>
      <c r="P710" s="164"/>
      <c r="Q710" s="164"/>
      <c r="R710" s="164"/>
      <c r="S710" s="164"/>
      <c r="T710" s="164"/>
      <c r="U710" s="164"/>
      <c r="V710" s="35"/>
      <c r="W710" s="35"/>
      <c r="X710" s="35"/>
      <c r="Y710" s="35"/>
      <c r="Z710" s="35"/>
      <c r="AA710" s="35"/>
      <c r="AB710" s="35"/>
      <c r="AC710" s="35"/>
      <c r="AD710" s="35"/>
      <c r="AE710" s="35"/>
      <c r="AF710" s="35"/>
      <c r="AG710" s="35"/>
      <c r="AH710" s="35"/>
    </row>
    <row r="711">
      <c r="A711" s="35"/>
      <c r="B711" s="35"/>
      <c r="C711" s="35"/>
      <c r="D711" s="172"/>
      <c r="E711" s="21"/>
      <c r="F711" s="35"/>
      <c r="G711" s="35"/>
      <c r="H711" s="35"/>
      <c r="I711" s="35"/>
      <c r="J711" s="186"/>
      <c r="K711" s="110"/>
      <c r="L711" s="35"/>
      <c r="M711" s="172"/>
      <c r="N711" s="172"/>
      <c r="O711" s="35"/>
      <c r="P711" s="164"/>
      <c r="Q711" s="164"/>
      <c r="R711" s="164"/>
      <c r="S711" s="164"/>
      <c r="T711" s="164"/>
      <c r="U711" s="164"/>
      <c r="V711" s="35"/>
      <c r="W711" s="35"/>
      <c r="X711" s="35"/>
      <c r="Y711" s="35"/>
      <c r="Z711" s="35"/>
      <c r="AA711" s="35"/>
      <c r="AB711" s="35"/>
      <c r="AC711" s="35"/>
      <c r="AD711" s="35"/>
      <c r="AE711" s="35"/>
      <c r="AF711" s="35"/>
      <c r="AG711" s="35"/>
      <c r="AH711" s="35"/>
    </row>
    <row r="712">
      <c r="A712" s="35"/>
      <c r="B712" s="35"/>
      <c r="C712" s="35"/>
      <c r="D712" s="172"/>
      <c r="E712" s="21"/>
      <c r="F712" s="35"/>
      <c r="G712" s="35"/>
      <c r="H712" s="35"/>
      <c r="I712" s="35"/>
      <c r="J712" s="186"/>
      <c r="K712" s="110"/>
      <c r="L712" s="35"/>
      <c r="M712" s="172"/>
      <c r="N712" s="172"/>
      <c r="O712" s="35"/>
      <c r="P712" s="164"/>
      <c r="Q712" s="164"/>
      <c r="R712" s="164"/>
      <c r="S712" s="164"/>
      <c r="T712" s="164"/>
      <c r="U712" s="164"/>
      <c r="V712" s="35"/>
      <c r="W712" s="35"/>
      <c r="X712" s="35"/>
      <c r="Y712" s="35"/>
      <c r="Z712" s="35"/>
      <c r="AA712" s="35"/>
      <c r="AB712" s="35"/>
      <c r="AC712" s="35"/>
      <c r="AD712" s="35"/>
      <c r="AE712" s="35"/>
      <c r="AF712" s="35"/>
      <c r="AG712" s="35"/>
      <c r="AH712" s="35"/>
    </row>
    <row r="713">
      <c r="A713" s="35"/>
      <c r="B713" s="35"/>
      <c r="C713" s="35"/>
      <c r="D713" s="172"/>
      <c r="E713" s="21"/>
      <c r="F713" s="35"/>
      <c r="G713" s="35"/>
      <c r="H713" s="35"/>
      <c r="I713" s="35"/>
      <c r="J713" s="186"/>
      <c r="K713" s="110"/>
      <c r="L713" s="35"/>
      <c r="M713" s="172"/>
      <c r="N713" s="172"/>
      <c r="O713" s="35"/>
      <c r="P713" s="164"/>
      <c r="Q713" s="164"/>
      <c r="R713" s="164"/>
      <c r="S713" s="164"/>
      <c r="T713" s="164"/>
      <c r="U713" s="164"/>
      <c r="V713" s="35"/>
      <c r="W713" s="35"/>
      <c r="X713" s="35"/>
      <c r="Y713" s="35"/>
      <c r="Z713" s="35"/>
      <c r="AA713" s="35"/>
      <c r="AB713" s="35"/>
      <c r="AC713" s="35"/>
      <c r="AD713" s="35"/>
      <c r="AE713" s="35"/>
      <c r="AF713" s="35"/>
      <c r="AG713" s="35"/>
      <c r="AH713" s="35"/>
    </row>
    <row r="714">
      <c r="A714" s="35"/>
      <c r="B714" s="35"/>
      <c r="C714" s="35"/>
      <c r="D714" s="172"/>
      <c r="E714" s="21"/>
      <c r="F714" s="35"/>
      <c r="G714" s="35"/>
      <c r="H714" s="35"/>
      <c r="I714" s="35"/>
      <c r="J714" s="186"/>
      <c r="K714" s="110"/>
      <c r="L714" s="35"/>
      <c r="M714" s="172"/>
      <c r="N714" s="172"/>
      <c r="O714" s="35"/>
      <c r="P714" s="164"/>
      <c r="Q714" s="164"/>
      <c r="R714" s="164"/>
      <c r="S714" s="164"/>
      <c r="T714" s="164"/>
      <c r="U714" s="164"/>
      <c r="V714" s="35"/>
      <c r="W714" s="35"/>
      <c r="X714" s="35"/>
      <c r="Y714" s="35"/>
      <c r="Z714" s="35"/>
      <c r="AA714" s="35"/>
      <c r="AB714" s="35"/>
      <c r="AC714" s="35"/>
      <c r="AD714" s="35"/>
      <c r="AE714" s="35"/>
      <c r="AF714" s="35"/>
      <c r="AG714" s="35"/>
      <c r="AH714" s="35"/>
    </row>
    <row r="715">
      <c r="A715" s="35"/>
      <c r="B715" s="35"/>
      <c r="C715" s="35"/>
      <c r="D715" s="172"/>
      <c r="E715" s="21"/>
      <c r="F715" s="35"/>
      <c r="G715" s="35"/>
      <c r="H715" s="35"/>
      <c r="I715" s="35"/>
      <c r="J715" s="186"/>
      <c r="K715" s="110"/>
      <c r="L715" s="35"/>
      <c r="M715" s="172"/>
      <c r="N715" s="172"/>
      <c r="O715" s="35"/>
      <c r="P715" s="164"/>
      <c r="Q715" s="164"/>
      <c r="R715" s="164"/>
      <c r="S715" s="164"/>
      <c r="T715" s="164"/>
      <c r="U715" s="164"/>
      <c r="V715" s="35"/>
      <c r="W715" s="35"/>
      <c r="X715" s="35"/>
      <c r="Y715" s="35"/>
      <c r="Z715" s="35"/>
      <c r="AA715" s="35"/>
      <c r="AB715" s="35"/>
      <c r="AC715" s="35"/>
      <c r="AD715" s="35"/>
      <c r="AE715" s="35"/>
      <c r="AF715" s="35"/>
      <c r="AG715" s="35"/>
      <c r="AH715" s="35"/>
    </row>
    <row r="716">
      <c r="A716" s="35"/>
      <c r="B716" s="35"/>
      <c r="C716" s="35"/>
      <c r="D716" s="172"/>
      <c r="E716" s="21"/>
      <c r="F716" s="35"/>
      <c r="G716" s="35"/>
      <c r="H716" s="35"/>
      <c r="I716" s="35"/>
      <c r="J716" s="186"/>
      <c r="K716" s="110"/>
      <c r="L716" s="35"/>
      <c r="M716" s="172"/>
      <c r="N716" s="172"/>
      <c r="O716" s="35"/>
      <c r="P716" s="164"/>
      <c r="Q716" s="164"/>
      <c r="R716" s="164"/>
      <c r="S716" s="164"/>
      <c r="T716" s="164"/>
      <c r="U716" s="164"/>
      <c r="V716" s="35"/>
      <c r="W716" s="35"/>
      <c r="X716" s="35"/>
      <c r="Y716" s="35"/>
      <c r="Z716" s="35"/>
      <c r="AA716" s="35"/>
      <c r="AB716" s="35"/>
      <c r="AC716" s="35"/>
      <c r="AD716" s="35"/>
      <c r="AE716" s="35"/>
      <c r="AF716" s="35"/>
      <c r="AG716" s="35"/>
      <c r="AH716" s="35"/>
    </row>
    <row r="717">
      <c r="A717" s="35"/>
      <c r="B717" s="35"/>
      <c r="C717" s="35"/>
      <c r="D717" s="172"/>
      <c r="E717" s="21"/>
      <c r="F717" s="35"/>
      <c r="G717" s="35"/>
      <c r="H717" s="35"/>
      <c r="I717" s="35"/>
      <c r="J717" s="186"/>
      <c r="K717" s="110"/>
      <c r="L717" s="35"/>
      <c r="M717" s="172"/>
      <c r="N717" s="172"/>
      <c r="O717" s="35"/>
      <c r="P717" s="164"/>
      <c r="Q717" s="164"/>
      <c r="R717" s="164"/>
      <c r="S717" s="164"/>
      <c r="T717" s="164"/>
      <c r="U717" s="164"/>
      <c r="V717" s="35"/>
      <c r="W717" s="35"/>
      <c r="X717" s="35"/>
      <c r="Y717" s="35"/>
      <c r="Z717" s="35"/>
      <c r="AA717" s="35"/>
      <c r="AB717" s="35"/>
      <c r="AC717" s="35"/>
      <c r="AD717" s="35"/>
      <c r="AE717" s="35"/>
      <c r="AF717" s="35"/>
      <c r="AG717" s="35"/>
      <c r="AH717" s="35"/>
    </row>
    <row r="718">
      <c r="A718" s="35"/>
      <c r="B718" s="35"/>
      <c r="C718" s="35"/>
      <c r="D718" s="172"/>
      <c r="E718" s="21"/>
      <c r="F718" s="35"/>
      <c r="G718" s="35"/>
      <c r="H718" s="35"/>
      <c r="I718" s="35"/>
      <c r="J718" s="186"/>
      <c r="K718" s="110"/>
      <c r="L718" s="35"/>
      <c r="M718" s="172"/>
      <c r="N718" s="172"/>
      <c r="O718" s="35"/>
      <c r="P718" s="164"/>
      <c r="Q718" s="164"/>
      <c r="R718" s="164"/>
      <c r="S718" s="164"/>
      <c r="T718" s="164"/>
      <c r="U718" s="164"/>
      <c r="V718" s="35"/>
      <c r="W718" s="35"/>
      <c r="X718" s="35"/>
      <c r="Y718" s="35"/>
      <c r="Z718" s="35"/>
      <c r="AA718" s="35"/>
      <c r="AB718" s="35"/>
      <c r="AC718" s="35"/>
      <c r="AD718" s="35"/>
      <c r="AE718" s="35"/>
      <c r="AF718" s="35"/>
      <c r="AG718" s="35"/>
      <c r="AH718" s="35"/>
    </row>
    <row r="719">
      <c r="A719" s="35"/>
      <c r="B719" s="35"/>
      <c r="C719" s="35"/>
      <c r="D719" s="172"/>
      <c r="E719" s="21"/>
      <c r="F719" s="35"/>
      <c r="G719" s="35"/>
      <c r="H719" s="35"/>
      <c r="I719" s="35"/>
      <c r="J719" s="186"/>
      <c r="K719" s="110"/>
      <c r="L719" s="35"/>
      <c r="M719" s="172"/>
      <c r="N719" s="172"/>
      <c r="O719" s="35"/>
      <c r="P719" s="164"/>
      <c r="Q719" s="164"/>
      <c r="R719" s="164"/>
      <c r="S719" s="164"/>
      <c r="T719" s="164"/>
      <c r="U719" s="164"/>
      <c r="V719" s="35"/>
      <c r="W719" s="35"/>
      <c r="X719" s="35"/>
      <c r="Y719" s="35"/>
      <c r="Z719" s="35"/>
      <c r="AA719" s="35"/>
      <c r="AB719" s="35"/>
      <c r="AC719" s="35"/>
      <c r="AD719" s="35"/>
      <c r="AE719" s="35"/>
      <c r="AF719" s="35"/>
      <c r="AG719" s="35"/>
      <c r="AH719" s="35"/>
    </row>
    <row r="720">
      <c r="A720" s="35"/>
      <c r="B720" s="35"/>
      <c r="C720" s="35"/>
      <c r="D720" s="172"/>
      <c r="E720" s="21"/>
      <c r="F720" s="35"/>
      <c r="G720" s="35"/>
      <c r="H720" s="35"/>
      <c r="I720" s="35"/>
      <c r="J720" s="186"/>
      <c r="K720" s="110"/>
      <c r="L720" s="35"/>
      <c r="M720" s="172"/>
      <c r="N720" s="172"/>
      <c r="O720" s="35"/>
      <c r="P720" s="164"/>
      <c r="Q720" s="164"/>
      <c r="R720" s="164"/>
      <c r="S720" s="164"/>
      <c r="T720" s="164"/>
      <c r="U720" s="164"/>
      <c r="V720" s="35"/>
      <c r="W720" s="35"/>
      <c r="X720" s="35"/>
      <c r="Y720" s="35"/>
      <c r="Z720" s="35"/>
      <c r="AA720" s="35"/>
      <c r="AB720" s="35"/>
      <c r="AC720" s="35"/>
      <c r="AD720" s="35"/>
      <c r="AE720" s="35"/>
      <c r="AF720" s="35"/>
      <c r="AG720" s="35"/>
      <c r="AH720" s="35"/>
    </row>
    <row r="721">
      <c r="A721" s="35"/>
      <c r="B721" s="35"/>
      <c r="C721" s="35"/>
      <c r="D721" s="172"/>
      <c r="E721" s="21"/>
      <c r="F721" s="35"/>
      <c r="G721" s="35"/>
      <c r="H721" s="35"/>
      <c r="I721" s="35"/>
      <c r="J721" s="186"/>
      <c r="K721" s="110"/>
      <c r="L721" s="35"/>
      <c r="M721" s="172"/>
      <c r="N721" s="172"/>
      <c r="O721" s="35"/>
      <c r="P721" s="164"/>
      <c r="Q721" s="164"/>
      <c r="R721" s="164"/>
      <c r="S721" s="164"/>
      <c r="T721" s="164"/>
      <c r="U721" s="164"/>
      <c r="V721" s="35"/>
      <c r="W721" s="35"/>
      <c r="X721" s="35"/>
      <c r="Y721" s="35"/>
      <c r="Z721" s="35"/>
      <c r="AA721" s="35"/>
      <c r="AB721" s="35"/>
      <c r="AC721" s="35"/>
      <c r="AD721" s="35"/>
      <c r="AE721" s="35"/>
      <c r="AF721" s="35"/>
      <c r="AG721" s="35"/>
      <c r="AH721" s="35"/>
    </row>
    <row r="722">
      <c r="A722" s="35"/>
      <c r="B722" s="35"/>
      <c r="C722" s="35"/>
      <c r="D722" s="172"/>
      <c r="E722" s="21"/>
      <c r="F722" s="35"/>
      <c r="G722" s="35"/>
      <c r="H722" s="35"/>
      <c r="I722" s="35"/>
      <c r="J722" s="186"/>
      <c r="K722" s="110"/>
      <c r="L722" s="35"/>
      <c r="M722" s="172"/>
      <c r="N722" s="172"/>
      <c r="O722" s="35"/>
      <c r="P722" s="164"/>
      <c r="Q722" s="164"/>
      <c r="R722" s="164"/>
      <c r="S722" s="164"/>
      <c r="T722" s="164"/>
      <c r="U722" s="164"/>
      <c r="V722" s="35"/>
      <c r="W722" s="35"/>
      <c r="X722" s="35"/>
      <c r="Y722" s="35"/>
      <c r="Z722" s="35"/>
      <c r="AA722" s="35"/>
      <c r="AB722" s="35"/>
      <c r="AC722" s="35"/>
      <c r="AD722" s="35"/>
      <c r="AE722" s="35"/>
      <c r="AF722" s="35"/>
      <c r="AG722" s="35"/>
      <c r="AH722" s="35"/>
    </row>
    <row r="723">
      <c r="A723" s="35"/>
      <c r="B723" s="35"/>
      <c r="C723" s="35"/>
      <c r="D723" s="172"/>
      <c r="E723" s="21"/>
      <c r="F723" s="35"/>
      <c r="G723" s="35"/>
      <c r="H723" s="35"/>
      <c r="I723" s="35"/>
      <c r="J723" s="186"/>
      <c r="K723" s="110"/>
      <c r="L723" s="35"/>
      <c r="M723" s="172"/>
      <c r="N723" s="172"/>
      <c r="O723" s="35"/>
      <c r="P723" s="164"/>
      <c r="Q723" s="164"/>
      <c r="R723" s="164"/>
      <c r="S723" s="164"/>
      <c r="T723" s="164"/>
      <c r="U723" s="164"/>
      <c r="V723" s="35"/>
      <c r="W723" s="35"/>
      <c r="X723" s="35"/>
      <c r="Y723" s="35"/>
      <c r="Z723" s="35"/>
      <c r="AA723" s="35"/>
      <c r="AB723" s="35"/>
      <c r="AC723" s="35"/>
      <c r="AD723" s="35"/>
      <c r="AE723" s="35"/>
      <c r="AF723" s="35"/>
      <c r="AG723" s="35"/>
      <c r="AH723" s="35"/>
    </row>
    <row r="724">
      <c r="A724" s="35"/>
      <c r="B724" s="35"/>
      <c r="C724" s="35"/>
      <c r="D724" s="172"/>
      <c r="E724" s="21"/>
      <c r="F724" s="35"/>
      <c r="G724" s="35"/>
      <c r="H724" s="35"/>
      <c r="I724" s="35"/>
      <c r="J724" s="186"/>
      <c r="K724" s="110"/>
      <c r="L724" s="35"/>
      <c r="M724" s="172"/>
      <c r="N724" s="172"/>
      <c r="O724" s="35"/>
      <c r="P724" s="164"/>
      <c r="Q724" s="164"/>
      <c r="R724" s="164"/>
      <c r="S724" s="164"/>
      <c r="T724" s="164"/>
      <c r="U724" s="164"/>
      <c r="V724" s="35"/>
      <c r="W724" s="35"/>
      <c r="X724" s="35"/>
      <c r="Y724" s="35"/>
      <c r="Z724" s="35"/>
      <c r="AA724" s="35"/>
      <c r="AB724" s="35"/>
      <c r="AC724" s="35"/>
      <c r="AD724" s="35"/>
      <c r="AE724" s="35"/>
      <c r="AF724" s="35"/>
      <c r="AG724" s="35"/>
      <c r="AH724" s="35"/>
    </row>
    <row r="725">
      <c r="A725" s="35"/>
      <c r="B725" s="35"/>
      <c r="C725" s="35"/>
      <c r="D725" s="172"/>
      <c r="E725" s="21"/>
      <c r="F725" s="35"/>
      <c r="G725" s="35"/>
      <c r="H725" s="35"/>
      <c r="I725" s="35"/>
      <c r="J725" s="186"/>
      <c r="K725" s="110"/>
      <c r="L725" s="35"/>
      <c r="M725" s="172"/>
      <c r="N725" s="172"/>
      <c r="O725" s="35"/>
      <c r="P725" s="164"/>
      <c r="Q725" s="164"/>
      <c r="R725" s="164"/>
      <c r="S725" s="164"/>
      <c r="T725" s="164"/>
      <c r="U725" s="164"/>
      <c r="V725" s="35"/>
      <c r="W725" s="35"/>
      <c r="X725" s="35"/>
      <c r="Y725" s="35"/>
      <c r="Z725" s="35"/>
      <c r="AA725" s="35"/>
      <c r="AB725" s="35"/>
      <c r="AC725" s="35"/>
      <c r="AD725" s="35"/>
      <c r="AE725" s="35"/>
      <c r="AF725" s="35"/>
      <c r="AG725" s="35"/>
      <c r="AH725" s="35"/>
    </row>
    <row r="726">
      <c r="A726" s="35"/>
      <c r="B726" s="35"/>
      <c r="C726" s="35"/>
      <c r="D726" s="172"/>
      <c r="E726" s="21"/>
      <c r="F726" s="35"/>
      <c r="G726" s="35"/>
      <c r="H726" s="35"/>
      <c r="I726" s="35"/>
      <c r="J726" s="186"/>
      <c r="K726" s="110"/>
      <c r="L726" s="35"/>
      <c r="M726" s="172"/>
      <c r="N726" s="172"/>
      <c r="O726" s="35"/>
      <c r="P726" s="164"/>
      <c r="Q726" s="164"/>
      <c r="R726" s="164"/>
      <c r="S726" s="164"/>
      <c r="T726" s="164"/>
      <c r="U726" s="164"/>
      <c r="V726" s="35"/>
      <c r="W726" s="35"/>
      <c r="X726" s="35"/>
      <c r="Y726" s="35"/>
      <c r="Z726" s="35"/>
      <c r="AA726" s="35"/>
      <c r="AB726" s="35"/>
      <c r="AC726" s="35"/>
      <c r="AD726" s="35"/>
      <c r="AE726" s="35"/>
      <c r="AF726" s="35"/>
      <c r="AG726" s="35"/>
      <c r="AH726" s="35"/>
    </row>
    <row r="727">
      <c r="A727" s="35"/>
      <c r="B727" s="35"/>
      <c r="C727" s="35"/>
      <c r="D727" s="172"/>
      <c r="E727" s="21"/>
      <c r="F727" s="35"/>
      <c r="G727" s="35"/>
      <c r="H727" s="35"/>
      <c r="I727" s="35"/>
      <c r="J727" s="186"/>
      <c r="K727" s="110"/>
      <c r="L727" s="35"/>
      <c r="M727" s="172"/>
      <c r="N727" s="172"/>
      <c r="O727" s="35"/>
      <c r="P727" s="164"/>
      <c r="Q727" s="164"/>
      <c r="R727" s="164"/>
      <c r="S727" s="164"/>
      <c r="T727" s="164"/>
      <c r="U727" s="164"/>
      <c r="V727" s="35"/>
      <c r="W727" s="35"/>
      <c r="X727" s="35"/>
      <c r="Y727" s="35"/>
      <c r="Z727" s="35"/>
      <c r="AA727" s="35"/>
      <c r="AB727" s="35"/>
      <c r="AC727" s="35"/>
      <c r="AD727" s="35"/>
      <c r="AE727" s="35"/>
      <c r="AF727" s="35"/>
      <c r="AG727" s="35"/>
      <c r="AH727" s="35"/>
    </row>
    <row r="728">
      <c r="A728" s="35"/>
      <c r="B728" s="35"/>
      <c r="C728" s="35"/>
      <c r="D728" s="172"/>
      <c r="E728" s="21"/>
      <c r="F728" s="35"/>
      <c r="G728" s="35"/>
      <c r="H728" s="35"/>
      <c r="I728" s="35"/>
      <c r="J728" s="186"/>
      <c r="K728" s="110"/>
      <c r="L728" s="35"/>
      <c r="M728" s="172"/>
      <c r="N728" s="172"/>
      <c r="O728" s="35"/>
      <c r="P728" s="164"/>
      <c r="Q728" s="164"/>
      <c r="R728" s="164"/>
      <c r="S728" s="164"/>
      <c r="T728" s="164"/>
      <c r="U728" s="164"/>
      <c r="V728" s="35"/>
      <c r="W728" s="35"/>
      <c r="X728" s="35"/>
      <c r="Y728" s="35"/>
      <c r="Z728" s="35"/>
      <c r="AA728" s="35"/>
      <c r="AB728" s="35"/>
      <c r="AC728" s="35"/>
      <c r="AD728" s="35"/>
      <c r="AE728" s="35"/>
      <c r="AF728" s="35"/>
      <c r="AG728" s="35"/>
      <c r="AH728" s="35"/>
    </row>
    <row r="729">
      <c r="A729" s="35"/>
      <c r="B729" s="35"/>
      <c r="C729" s="35"/>
      <c r="D729" s="172"/>
      <c r="E729" s="21"/>
      <c r="F729" s="35"/>
      <c r="G729" s="35"/>
      <c r="H729" s="35"/>
      <c r="I729" s="35"/>
      <c r="J729" s="186"/>
      <c r="K729" s="110"/>
      <c r="L729" s="35"/>
      <c r="M729" s="172"/>
      <c r="N729" s="172"/>
      <c r="O729" s="35"/>
      <c r="P729" s="164"/>
      <c r="Q729" s="164"/>
      <c r="R729" s="164"/>
      <c r="S729" s="164"/>
      <c r="T729" s="164"/>
      <c r="U729" s="164"/>
      <c r="V729" s="35"/>
      <c r="W729" s="35"/>
      <c r="X729" s="35"/>
      <c r="Y729" s="35"/>
      <c r="Z729" s="35"/>
      <c r="AA729" s="35"/>
      <c r="AB729" s="35"/>
      <c r="AC729" s="35"/>
      <c r="AD729" s="35"/>
      <c r="AE729" s="35"/>
      <c r="AF729" s="35"/>
      <c r="AG729" s="35"/>
      <c r="AH729" s="35"/>
    </row>
    <row r="730">
      <c r="A730" s="35"/>
      <c r="B730" s="35"/>
      <c r="C730" s="35"/>
      <c r="D730" s="172"/>
      <c r="E730" s="21"/>
      <c r="F730" s="35"/>
      <c r="G730" s="35"/>
      <c r="H730" s="35"/>
      <c r="I730" s="35"/>
      <c r="J730" s="186"/>
      <c r="K730" s="110"/>
      <c r="L730" s="35"/>
      <c r="M730" s="172"/>
      <c r="N730" s="172"/>
      <c r="O730" s="35"/>
      <c r="P730" s="164"/>
      <c r="Q730" s="164"/>
      <c r="R730" s="164"/>
      <c r="S730" s="164"/>
      <c r="T730" s="164"/>
      <c r="U730" s="164"/>
      <c r="V730" s="35"/>
      <c r="W730" s="35"/>
      <c r="X730" s="35"/>
      <c r="Y730" s="35"/>
      <c r="Z730" s="35"/>
      <c r="AA730" s="35"/>
      <c r="AB730" s="35"/>
      <c r="AC730" s="35"/>
      <c r="AD730" s="35"/>
      <c r="AE730" s="35"/>
      <c r="AF730" s="35"/>
      <c r="AG730" s="35"/>
      <c r="AH730" s="35"/>
    </row>
    <row r="731">
      <c r="A731" s="35"/>
      <c r="B731" s="35"/>
      <c r="C731" s="35"/>
      <c r="D731" s="172"/>
      <c r="E731" s="21"/>
      <c r="F731" s="35"/>
      <c r="G731" s="35"/>
      <c r="H731" s="35"/>
      <c r="I731" s="35"/>
      <c r="J731" s="186"/>
      <c r="K731" s="110"/>
      <c r="L731" s="35"/>
      <c r="M731" s="172"/>
      <c r="N731" s="172"/>
      <c r="O731" s="35"/>
      <c r="P731" s="164"/>
      <c r="Q731" s="164"/>
      <c r="R731" s="164"/>
      <c r="S731" s="164"/>
      <c r="T731" s="164"/>
      <c r="U731" s="164"/>
      <c r="V731" s="35"/>
      <c r="W731" s="35"/>
      <c r="X731" s="35"/>
      <c r="Y731" s="35"/>
      <c r="Z731" s="35"/>
      <c r="AA731" s="35"/>
      <c r="AB731" s="35"/>
      <c r="AC731" s="35"/>
      <c r="AD731" s="35"/>
      <c r="AE731" s="35"/>
      <c r="AF731" s="35"/>
      <c r="AG731" s="35"/>
      <c r="AH731" s="35"/>
    </row>
    <row r="732">
      <c r="A732" s="35"/>
      <c r="B732" s="35"/>
      <c r="C732" s="35"/>
      <c r="D732" s="172"/>
      <c r="E732" s="21"/>
      <c r="F732" s="35"/>
      <c r="G732" s="35"/>
      <c r="H732" s="35"/>
      <c r="I732" s="35"/>
      <c r="J732" s="186"/>
      <c r="K732" s="110"/>
      <c r="L732" s="35"/>
      <c r="M732" s="172"/>
      <c r="N732" s="172"/>
      <c r="O732" s="35"/>
      <c r="P732" s="164"/>
      <c r="Q732" s="164"/>
      <c r="R732" s="164"/>
      <c r="S732" s="164"/>
      <c r="T732" s="164"/>
      <c r="U732" s="164"/>
      <c r="V732" s="35"/>
      <c r="W732" s="35"/>
      <c r="X732" s="35"/>
      <c r="Y732" s="35"/>
      <c r="Z732" s="35"/>
      <c r="AA732" s="35"/>
      <c r="AB732" s="35"/>
      <c r="AC732" s="35"/>
      <c r="AD732" s="35"/>
      <c r="AE732" s="35"/>
      <c r="AF732" s="35"/>
      <c r="AG732" s="35"/>
      <c r="AH732" s="35"/>
    </row>
    <row r="733">
      <c r="A733" s="35"/>
      <c r="B733" s="35"/>
      <c r="C733" s="35"/>
      <c r="D733" s="172"/>
      <c r="E733" s="21"/>
      <c r="F733" s="35"/>
      <c r="G733" s="35"/>
      <c r="H733" s="35"/>
      <c r="I733" s="35"/>
      <c r="J733" s="186"/>
      <c r="K733" s="110"/>
      <c r="L733" s="35"/>
      <c r="M733" s="172"/>
      <c r="N733" s="172"/>
      <c r="O733" s="35"/>
      <c r="P733" s="164"/>
      <c r="Q733" s="164"/>
      <c r="R733" s="164"/>
      <c r="S733" s="164"/>
      <c r="T733" s="164"/>
      <c r="U733" s="164"/>
      <c r="V733" s="35"/>
      <c r="W733" s="35"/>
      <c r="X733" s="35"/>
      <c r="Y733" s="35"/>
      <c r="Z733" s="35"/>
      <c r="AA733" s="35"/>
      <c r="AB733" s="35"/>
      <c r="AC733" s="35"/>
      <c r="AD733" s="35"/>
      <c r="AE733" s="35"/>
      <c r="AF733" s="35"/>
      <c r="AG733" s="35"/>
      <c r="AH733" s="35"/>
    </row>
    <row r="734">
      <c r="A734" s="35"/>
      <c r="B734" s="35"/>
      <c r="C734" s="35"/>
      <c r="D734" s="172"/>
      <c r="E734" s="21"/>
      <c r="F734" s="35"/>
      <c r="G734" s="35"/>
      <c r="H734" s="35"/>
      <c r="I734" s="35"/>
      <c r="J734" s="186"/>
      <c r="K734" s="110"/>
      <c r="L734" s="35"/>
      <c r="M734" s="172"/>
      <c r="N734" s="172"/>
      <c r="O734" s="35"/>
      <c r="P734" s="164"/>
      <c r="Q734" s="164"/>
      <c r="R734" s="164"/>
      <c r="S734" s="164"/>
      <c r="T734" s="164"/>
      <c r="U734" s="164"/>
      <c r="V734" s="35"/>
      <c r="W734" s="35"/>
      <c r="X734" s="35"/>
      <c r="Y734" s="35"/>
      <c r="Z734" s="35"/>
      <c r="AA734" s="35"/>
      <c r="AB734" s="35"/>
      <c r="AC734" s="35"/>
      <c r="AD734" s="35"/>
      <c r="AE734" s="35"/>
      <c r="AF734" s="35"/>
      <c r="AG734" s="35"/>
      <c r="AH734" s="35"/>
    </row>
    <row r="735">
      <c r="A735" s="35"/>
      <c r="B735" s="35"/>
      <c r="C735" s="35"/>
      <c r="D735" s="172"/>
      <c r="E735" s="21"/>
      <c r="F735" s="35"/>
      <c r="G735" s="35"/>
      <c r="H735" s="35"/>
      <c r="I735" s="35"/>
      <c r="J735" s="186"/>
      <c r="K735" s="110"/>
      <c r="L735" s="35"/>
      <c r="M735" s="172"/>
      <c r="N735" s="172"/>
      <c r="O735" s="35"/>
      <c r="P735" s="164"/>
      <c r="Q735" s="164"/>
      <c r="R735" s="164"/>
      <c r="S735" s="164"/>
      <c r="T735" s="164"/>
      <c r="U735" s="164"/>
      <c r="V735" s="35"/>
      <c r="W735" s="35"/>
      <c r="X735" s="35"/>
      <c r="Y735" s="35"/>
      <c r="Z735" s="35"/>
      <c r="AA735" s="35"/>
      <c r="AB735" s="35"/>
      <c r="AC735" s="35"/>
      <c r="AD735" s="35"/>
      <c r="AE735" s="35"/>
      <c r="AF735" s="35"/>
      <c r="AG735" s="35"/>
      <c r="AH735" s="35"/>
    </row>
    <row r="736">
      <c r="A736" s="35"/>
      <c r="B736" s="35"/>
      <c r="C736" s="35"/>
      <c r="D736" s="172"/>
      <c r="E736" s="21"/>
      <c r="F736" s="35"/>
      <c r="G736" s="35"/>
      <c r="H736" s="35"/>
      <c r="I736" s="35"/>
      <c r="J736" s="186"/>
      <c r="K736" s="110"/>
      <c r="L736" s="35"/>
      <c r="M736" s="172"/>
      <c r="N736" s="172"/>
      <c r="O736" s="35"/>
      <c r="P736" s="164"/>
      <c r="Q736" s="164"/>
      <c r="R736" s="164"/>
      <c r="S736" s="164"/>
      <c r="T736" s="164"/>
      <c r="U736" s="164"/>
      <c r="V736" s="35"/>
      <c r="W736" s="35"/>
      <c r="X736" s="35"/>
      <c r="Y736" s="35"/>
      <c r="Z736" s="35"/>
      <c r="AA736" s="35"/>
      <c r="AB736" s="35"/>
      <c r="AC736" s="35"/>
      <c r="AD736" s="35"/>
      <c r="AE736" s="35"/>
      <c r="AF736" s="35"/>
      <c r="AG736" s="35"/>
      <c r="AH736" s="35"/>
    </row>
    <row r="737">
      <c r="A737" s="35"/>
      <c r="B737" s="35"/>
      <c r="C737" s="35"/>
      <c r="D737" s="172"/>
      <c r="E737" s="21"/>
      <c r="F737" s="35"/>
      <c r="G737" s="35"/>
      <c r="H737" s="35"/>
      <c r="I737" s="35"/>
      <c r="J737" s="186"/>
      <c r="K737" s="110"/>
      <c r="L737" s="35"/>
      <c r="M737" s="172"/>
      <c r="N737" s="172"/>
      <c r="O737" s="35"/>
      <c r="P737" s="164"/>
      <c r="Q737" s="164"/>
      <c r="R737" s="164"/>
      <c r="S737" s="164"/>
      <c r="T737" s="164"/>
      <c r="U737" s="164"/>
      <c r="V737" s="35"/>
      <c r="W737" s="35"/>
      <c r="X737" s="35"/>
      <c r="Y737" s="35"/>
      <c r="Z737" s="35"/>
      <c r="AA737" s="35"/>
      <c r="AB737" s="35"/>
      <c r="AC737" s="35"/>
      <c r="AD737" s="35"/>
      <c r="AE737" s="35"/>
      <c r="AF737" s="35"/>
      <c r="AG737" s="35"/>
      <c r="AH737" s="35"/>
    </row>
    <row r="738">
      <c r="A738" s="35"/>
      <c r="B738" s="35"/>
      <c r="C738" s="35"/>
      <c r="D738" s="172"/>
      <c r="E738" s="21"/>
      <c r="F738" s="35"/>
      <c r="G738" s="35"/>
      <c r="H738" s="35"/>
      <c r="I738" s="35"/>
      <c r="J738" s="186"/>
      <c r="K738" s="110"/>
      <c r="L738" s="35"/>
      <c r="M738" s="172"/>
      <c r="N738" s="172"/>
      <c r="O738" s="35"/>
      <c r="P738" s="164"/>
      <c r="Q738" s="164"/>
      <c r="R738" s="164"/>
      <c r="S738" s="164"/>
      <c r="T738" s="164"/>
      <c r="U738" s="164"/>
      <c r="V738" s="35"/>
      <c r="W738" s="35"/>
      <c r="X738" s="35"/>
      <c r="Y738" s="35"/>
      <c r="Z738" s="35"/>
      <c r="AA738" s="35"/>
      <c r="AB738" s="35"/>
      <c r="AC738" s="35"/>
      <c r="AD738" s="35"/>
      <c r="AE738" s="35"/>
      <c r="AF738" s="35"/>
      <c r="AG738" s="35"/>
      <c r="AH738" s="35"/>
    </row>
    <row r="739">
      <c r="A739" s="35"/>
      <c r="B739" s="35"/>
      <c r="C739" s="35"/>
      <c r="D739" s="172"/>
      <c r="E739" s="21"/>
      <c r="F739" s="35"/>
      <c r="G739" s="35"/>
      <c r="H739" s="35"/>
      <c r="I739" s="35"/>
      <c r="J739" s="186"/>
      <c r="K739" s="110"/>
      <c r="L739" s="35"/>
      <c r="M739" s="172"/>
      <c r="N739" s="172"/>
      <c r="O739" s="35"/>
      <c r="P739" s="164"/>
      <c r="Q739" s="164"/>
      <c r="R739" s="164"/>
      <c r="S739" s="164"/>
      <c r="T739" s="164"/>
      <c r="U739" s="164"/>
      <c r="V739" s="35"/>
      <c r="W739" s="35"/>
      <c r="X739" s="35"/>
      <c r="Y739" s="35"/>
      <c r="Z739" s="35"/>
      <c r="AA739" s="35"/>
      <c r="AB739" s="35"/>
      <c r="AC739" s="35"/>
      <c r="AD739" s="35"/>
      <c r="AE739" s="35"/>
      <c r="AF739" s="35"/>
      <c r="AG739" s="35"/>
      <c r="AH739" s="35"/>
    </row>
    <row r="740">
      <c r="A740" s="35"/>
      <c r="B740" s="35"/>
      <c r="C740" s="35"/>
      <c r="D740" s="172"/>
      <c r="E740" s="21"/>
      <c r="F740" s="35"/>
      <c r="G740" s="35"/>
      <c r="H740" s="35"/>
      <c r="I740" s="35"/>
      <c r="J740" s="186"/>
      <c r="K740" s="110"/>
      <c r="L740" s="35"/>
      <c r="M740" s="172"/>
      <c r="N740" s="172"/>
      <c r="O740" s="35"/>
      <c r="P740" s="164"/>
      <c r="Q740" s="164"/>
      <c r="R740" s="164"/>
      <c r="S740" s="164"/>
      <c r="T740" s="164"/>
      <c r="U740" s="164"/>
      <c r="V740" s="35"/>
      <c r="W740" s="35"/>
      <c r="X740" s="35"/>
      <c r="Y740" s="35"/>
      <c r="Z740" s="35"/>
      <c r="AA740" s="35"/>
      <c r="AB740" s="35"/>
      <c r="AC740" s="35"/>
      <c r="AD740" s="35"/>
      <c r="AE740" s="35"/>
      <c r="AF740" s="35"/>
      <c r="AG740" s="35"/>
      <c r="AH740" s="35"/>
    </row>
    <row r="741">
      <c r="A741" s="35"/>
      <c r="B741" s="35"/>
      <c r="C741" s="35"/>
      <c r="D741" s="172"/>
      <c r="E741" s="21"/>
      <c r="F741" s="35"/>
      <c r="G741" s="35"/>
      <c r="H741" s="35"/>
      <c r="I741" s="35"/>
      <c r="J741" s="186"/>
      <c r="K741" s="110"/>
      <c r="L741" s="35"/>
      <c r="M741" s="172"/>
      <c r="N741" s="172"/>
      <c r="O741" s="35"/>
      <c r="P741" s="164"/>
      <c r="Q741" s="164"/>
      <c r="R741" s="164"/>
      <c r="S741" s="164"/>
      <c r="T741" s="164"/>
      <c r="U741" s="164"/>
      <c r="V741" s="35"/>
      <c r="W741" s="35"/>
      <c r="X741" s="35"/>
      <c r="Y741" s="35"/>
      <c r="Z741" s="35"/>
      <c r="AA741" s="35"/>
      <c r="AB741" s="35"/>
      <c r="AC741" s="35"/>
      <c r="AD741" s="35"/>
      <c r="AE741" s="35"/>
      <c r="AF741" s="35"/>
      <c r="AG741" s="35"/>
      <c r="AH741" s="35"/>
    </row>
    <row r="742">
      <c r="A742" s="35"/>
      <c r="B742" s="35"/>
      <c r="C742" s="35"/>
      <c r="D742" s="172"/>
      <c r="E742" s="21"/>
      <c r="F742" s="35"/>
      <c r="G742" s="35"/>
      <c r="H742" s="35"/>
      <c r="I742" s="35"/>
      <c r="J742" s="186"/>
      <c r="K742" s="110"/>
      <c r="L742" s="35"/>
      <c r="M742" s="172"/>
      <c r="N742" s="172"/>
      <c r="O742" s="35"/>
      <c r="P742" s="164"/>
      <c r="Q742" s="164"/>
      <c r="R742" s="164"/>
      <c r="S742" s="164"/>
      <c r="T742" s="164"/>
      <c r="U742" s="164"/>
      <c r="V742" s="35"/>
      <c r="W742" s="35"/>
      <c r="X742" s="35"/>
      <c r="Y742" s="35"/>
      <c r="Z742" s="35"/>
      <c r="AA742" s="35"/>
      <c r="AB742" s="35"/>
      <c r="AC742" s="35"/>
      <c r="AD742" s="35"/>
      <c r="AE742" s="35"/>
      <c r="AF742" s="35"/>
      <c r="AG742" s="35"/>
      <c r="AH742" s="35"/>
    </row>
    <row r="743">
      <c r="A743" s="35"/>
      <c r="B743" s="35"/>
      <c r="C743" s="35"/>
      <c r="D743" s="172"/>
      <c r="E743" s="21"/>
      <c r="F743" s="35"/>
      <c r="G743" s="35"/>
      <c r="H743" s="35"/>
      <c r="I743" s="35"/>
      <c r="J743" s="186"/>
      <c r="K743" s="110"/>
      <c r="L743" s="35"/>
      <c r="M743" s="172"/>
      <c r="N743" s="172"/>
      <c r="O743" s="35"/>
      <c r="P743" s="164"/>
      <c r="Q743" s="164"/>
      <c r="R743" s="164"/>
      <c r="S743" s="164"/>
      <c r="T743" s="164"/>
      <c r="U743" s="164"/>
      <c r="V743" s="35"/>
      <c r="W743" s="35"/>
      <c r="X743" s="35"/>
      <c r="Y743" s="35"/>
      <c r="Z743" s="35"/>
      <c r="AA743" s="35"/>
      <c r="AB743" s="35"/>
      <c r="AC743" s="35"/>
      <c r="AD743" s="35"/>
      <c r="AE743" s="35"/>
      <c r="AF743" s="35"/>
      <c r="AG743" s="35"/>
      <c r="AH743" s="35"/>
    </row>
    <row r="744">
      <c r="A744" s="35"/>
      <c r="B744" s="35"/>
      <c r="C744" s="35"/>
      <c r="D744" s="172"/>
      <c r="E744" s="21"/>
      <c r="F744" s="35"/>
      <c r="G744" s="35"/>
      <c r="H744" s="35"/>
      <c r="I744" s="35"/>
      <c r="J744" s="186"/>
      <c r="K744" s="110"/>
      <c r="L744" s="35"/>
      <c r="M744" s="172"/>
      <c r="N744" s="172"/>
      <c r="O744" s="35"/>
      <c r="P744" s="164"/>
      <c r="Q744" s="164"/>
      <c r="R744" s="164"/>
      <c r="S744" s="164"/>
      <c r="T744" s="164"/>
      <c r="U744" s="164"/>
      <c r="V744" s="35"/>
      <c r="W744" s="35"/>
      <c r="X744" s="35"/>
      <c r="Y744" s="35"/>
      <c r="Z744" s="35"/>
      <c r="AA744" s="35"/>
      <c r="AB744" s="35"/>
      <c r="AC744" s="35"/>
      <c r="AD744" s="35"/>
      <c r="AE744" s="35"/>
      <c r="AF744" s="35"/>
      <c r="AG744" s="35"/>
      <c r="AH744" s="35"/>
    </row>
    <row r="745">
      <c r="A745" s="35"/>
      <c r="B745" s="35"/>
      <c r="C745" s="35"/>
      <c r="D745" s="172"/>
      <c r="E745" s="21"/>
      <c r="F745" s="35"/>
      <c r="G745" s="35"/>
      <c r="H745" s="35"/>
      <c r="I745" s="35"/>
      <c r="J745" s="186"/>
      <c r="K745" s="110"/>
      <c r="L745" s="35"/>
      <c r="M745" s="172"/>
      <c r="N745" s="172"/>
      <c r="O745" s="35"/>
      <c r="P745" s="164"/>
      <c r="Q745" s="164"/>
      <c r="R745" s="164"/>
      <c r="S745" s="164"/>
      <c r="T745" s="164"/>
      <c r="U745" s="164"/>
      <c r="V745" s="35"/>
      <c r="W745" s="35"/>
      <c r="X745" s="35"/>
      <c r="Y745" s="35"/>
      <c r="Z745" s="35"/>
      <c r="AA745" s="35"/>
      <c r="AB745" s="35"/>
      <c r="AC745" s="35"/>
      <c r="AD745" s="35"/>
      <c r="AE745" s="35"/>
      <c r="AF745" s="35"/>
      <c r="AG745" s="35"/>
      <c r="AH745" s="35"/>
    </row>
    <row r="746">
      <c r="A746" s="35"/>
      <c r="B746" s="35"/>
      <c r="C746" s="35"/>
      <c r="D746" s="172"/>
      <c r="E746" s="21"/>
      <c r="F746" s="35"/>
      <c r="G746" s="35"/>
      <c r="H746" s="35"/>
      <c r="I746" s="35"/>
      <c r="J746" s="186"/>
      <c r="K746" s="110"/>
      <c r="L746" s="35"/>
      <c r="M746" s="172"/>
      <c r="N746" s="172"/>
      <c r="O746" s="35"/>
      <c r="P746" s="164"/>
      <c r="Q746" s="164"/>
      <c r="R746" s="164"/>
      <c r="S746" s="164"/>
      <c r="T746" s="164"/>
      <c r="U746" s="164"/>
      <c r="V746" s="35"/>
      <c r="W746" s="35"/>
      <c r="X746" s="35"/>
      <c r="Y746" s="35"/>
      <c r="Z746" s="35"/>
      <c r="AA746" s="35"/>
      <c r="AB746" s="35"/>
      <c r="AC746" s="35"/>
      <c r="AD746" s="35"/>
      <c r="AE746" s="35"/>
      <c r="AF746" s="35"/>
      <c r="AG746" s="35"/>
      <c r="AH746" s="35"/>
    </row>
    <row r="747">
      <c r="A747" s="35"/>
      <c r="B747" s="35"/>
      <c r="C747" s="35"/>
      <c r="D747" s="172"/>
      <c r="E747" s="21"/>
      <c r="F747" s="35"/>
      <c r="G747" s="35"/>
      <c r="H747" s="35"/>
      <c r="I747" s="35"/>
      <c r="J747" s="186"/>
      <c r="K747" s="110"/>
      <c r="L747" s="35"/>
      <c r="M747" s="172"/>
      <c r="N747" s="172"/>
      <c r="O747" s="35"/>
      <c r="P747" s="164"/>
      <c r="Q747" s="164"/>
      <c r="R747" s="164"/>
      <c r="S747" s="164"/>
      <c r="T747" s="164"/>
      <c r="U747" s="164"/>
      <c r="V747" s="35"/>
      <c r="W747" s="35"/>
      <c r="X747" s="35"/>
      <c r="Y747" s="35"/>
      <c r="Z747" s="35"/>
      <c r="AA747" s="35"/>
      <c r="AB747" s="35"/>
      <c r="AC747" s="35"/>
      <c r="AD747" s="35"/>
      <c r="AE747" s="35"/>
      <c r="AF747" s="35"/>
      <c r="AG747" s="35"/>
      <c r="AH747" s="35"/>
    </row>
    <row r="748">
      <c r="A748" s="35"/>
      <c r="B748" s="35"/>
      <c r="C748" s="35"/>
      <c r="D748" s="172"/>
      <c r="E748" s="21"/>
      <c r="F748" s="35"/>
      <c r="G748" s="35"/>
      <c r="H748" s="35"/>
      <c r="I748" s="35"/>
      <c r="J748" s="186"/>
      <c r="K748" s="110"/>
      <c r="L748" s="35"/>
      <c r="M748" s="172"/>
      <c r="N748" s="172"/>
      <c r="O748" s="35"/>
      <c r="P748" s="164"/>
      <c r="Q748" s="164"/>
      <c r="R748" s="164"/>
      <c r="S748" s="164"/>
      <c r="T748" s="164"/>
      <c r="U748" s="164"/>
      <c r="V748" s="35"/>
      <c r="W748" s="35"/>
      <c r="X748" s="35"/>
      <c r="Y748" s="35"/>
      <c r="Z748" s="35"/>
      <c r="AA748" s="35"/>
      <c r="AB748" s="35"/>
      <c r="AC748" s="35"/>
      <c r="AD748" s="35"/>
      <c r="AE748" s="35"/>
      <c r="AF748" s="35"/>
      <c r="AG748" s="35"/>
      <c r="AH748" s="35"/>
    </row>
    <row r="749">
      <c r="A749" s="35"/>
      <c r="B749" s="35"/>
      <c r="C749" s="35"/>
      <c r="D749" s="172"/>
      <c r="E749" s="21"/>
      <c r="F749" s="35"/>
      <c r="G749" s="35"/>
      <c r="H749" s="35"/>
      <c r="I749" s="35"/>
      <c r="J749" s="186"/>
      <c r="K749" s="110"/>
      <c r="L749" s="35"/>
      <c r="M749" s="172"/>
      <c r="N749" s="172"/>
      <c r="O749" s="35"/>
      <c r="P749" s="164"/>
      <c r="Q749" s="164"/>
      <c r="R749" s="164"/>
      <c r="S749" s="164"/>
      <c r="T749" s="164"/>
      <c r="U749" s="164"/>
      <c r="V749" s="35"/>
      <c r="W749" s="35"/>
      <c r="X749" s="35"/>
      <c r="Y749" s="35"/>
      <c r="Z749" s="35"/>
      <c r="AA749" s="35"/>
      <c r="AB749" s="35"/>
      <c r="AC749" s="35"/>
      <c r="AD749" s="35"/>
      <c r="AE749" s="35"/>
      <c r="AF749" s="35"/>
      <c r="AG749" s="35"/>
      <c r="AH749" s="35"/>
    </row>
    <row r="750">
      <c r="A750" s="35"/>
      <c r="B750" s="35"/>
      <c r="C750" s="35"/>
      <c r="D750" s="172"/>
      <c r="E750" s="21"/>
      <c r="F750" s="35"/>
      <c r="G750" s="35"/>
      <c r="H750" s="35"/>
      <c r="I750" s="35"/>
      <c r="J750" s="186"/>
      <c r="K750" s="110"/>
      <c r="L750" s="35"/>
      <c r="M750" s="172"/>
      <c r="N750" s="172"/>
      <c r="O750" s="35"/>
      <c r="P750" s="164"/>
      <c r="Q750" s="164"/>
      <c r="R750" s="164"/>
      <c r="S750" s="164"/>
      <c r="T750" s="164"/>
      <c r="U750" s="164"/>
      <c r="V750" s="35"/>
      <c r="W750" s="35"/>
      <c r="X750" s="35"/>
      <c r="Y750" s="35"/>
      <c r="Z750" s="35"/>
      <c r="AA750" s="35"/>
      <c r="AB750" s="35"/>
      <c r="AC750" s="35"/>
      <c r="AD750" s="35"/>
      <c r="AE750" s="35"/>
      <c r="AF750" s="35"/>
      <c r="AG750" s="35"/>
      <c r="AH750" s="35"/>
    </row>
    <row r="751">
      <c r="A751" s="35"/>
      <c r="B751" s="35"/>
      <c r="C751" s="35"/>
      <c r="D751" s="172"/>
      <c r="E751" s="21"/>
      <c r="F751" s="35"/>
      <c r="G751" s="35"/>
      <c r="H751" s="35"/>
      <c r="I751" s="35"/>
      <c r="J751" s="186"/>
      <c r="K751" s="110"/>
      <c r="L751" s="35"/>
      <c r="M751" s="172"/>
      <c r="N751" s="172"/>
      <c r="O751" s="35"/>
      <c r="P751" s="164"/>
      <c r="Q751" s="164"/>
      <c r="R751" s="164"/>
      <c r="S751" s="164"/>
      <c r="T751" s="164"/>
      <c r="U751" s="164"/>
      <c r="V751" s="35"/>
      <c r="W751" s="35"/>
      <c r="X751" s="35"/>
      <c r="Y751" s="35"/>
      <c r="Z751" s="35"/>
      <c r="AA751" s="35"/>
      <c r="AB751" s="35"/>
      <c r="AC751" s="35"/>
      <c r="AD751" s="35"/>
      <c r="AE751" s="35"/>
      <c r="AF751" s="35"/>
      <c r="AG751" s="35"/>
      <c r="AH751" s="35"/>
    </row>
    <row r="752">
      <c r="A752" s="35"/>
      <c r="B752" s="35"/>
      <c r="C752" s="35"/>
      <c r="D752" s="172"/>
      <c r="E752" s="21"/>
      <c r="F752" s="35"/>
      <c r="G752" s="35"/>
      <c r="H752" s="35"/>
      <c r="I752" s="35"/>
      <c r="J752" s="186"/>
      <c r="K752" s="110"/>
      <c r="L752" s="35"/>
      <c r="M752" s="172"/>
      <c r="N752" s="172"/>
      <c r="O752" s="35"/>
      <c r="P752" s="164"/>
      <c r="Q752" s="164"/>
      <c r="R752" s="164"/>
      <c r="S752" s="164"/>
      <c r="T752" s="164"/>
      <c r="U752" s="164"/>
      <c r="V752" s="35"/>
      <c r="W752" s="35"/>
      <c r="X752" s="35"/>
      <c r="Y752" s="35"/>
      <c r="Z752" s="35"/>
      <c r="AA752" s="35"/>
      <c r="AB752" s="35"/>
      <c r="AC752" s="35"/>
      <c r="AD752" s="35"/>
      <c r="AE752" s="35"/>
      <c r="AF752" s="35"/>
      <c r="AG752" s="35"/>
      <c r="AH752" s="35"/>
    </row>
    <row r="753">
      <c r="A753" s="35"/>
      <c r="B753" s="35"/>
      <c r="C753" s="35"/>
      <c r="D753" s="172"/>
      <c r="E753" s="21"/>
      <c r="F753" s="35"/>
      <c r="G753" s="35"/>
      <c r="H753" s="35"/>
      <c r="I753" s="35"/>
      <c r="J753" s="186"/>
      <c r="K753" s="110"/>
      <c r="L753" s="35"/>
      <c r="M753" s="172"/>
      <c r="N753" s="172"/>
      <c r="O753" s="35"/>
      <c r="P753" s="164"/>
      <c r="Q753" s="164"/>
      <c r="R753" s="164"/>
      <c r="S753" s="164"/>
      <c r="T753" s="164"/>
      <c r="U753" s="164"/>
      <c r="V753" s="35"/>
      <c r="W753" s="35"/>
      <c r="X753" s="35"/>
      <c r="Y753" s="35"/>
      <c r="Z753" s="35"/>
      <c r="AA753" s="35"/>
      <c r="AB753" s="35"/>
      <c r="AC753" s="35"/>
      <c r="AD753" s="35"/>
      <c r="AE753" s="35"/>
      <c r="AF753" s="35"/>
      <c r="AG753" s="35"/>
      <c r="AH753" s="35"/>
    </row>
    <row r="754">
      <c r="A754" s="35"/>
      <c r="B754" s="35"/>
      <c r="C754" s="35"/>
      <c r="D754" s="172"/>
      <c r="E754" s="21"/>
      <c r="F754" s="35"/>
      <c r="G754" s="35"/>
      <c r="H754" s="35"/>
      <c r="I754" s="35"/>
      <c r="J754" s="186"/>
      <c r="K754" s="110"/>
      <c r="L754" s="35"/>
      <c r="M754" s="172"/>
      <c r="N754" s="172"/>
      <c r="O754" s="35"/>
      <c r="P754" s="164"/>
      <c r="Q754" s="164"/>
      <c r="R754" s="164"/>
      <c r="S754" s="164"/>
      <c r="T754" s="164"/>
      <c r="U754" s="164"/>
      <c r="V754" s="35"/>
      <c r="W754" s="35"/>
      <c r="X754" s="35"/>
      <c r="Y754" s="35"/>
      <c r="Z754" s="35"/>
      <c r="AA754" s="35"/>
      <c r="AB754" s="35"/>
      <c r="AC754" s="35"/>
      <c r="AD754" s="35"/>
      <c r="AE754" s="35"/>
      <c r="AF754" s="35"/>
      <c r="AG754" s="35"/>
      <c r="AH754" s="35"/>
    </row>
    <row r="755">
      <c r="A755" s="35"/>
      <c r="B755" s="35"/>
      <c r="C755" s="35"/>
      <c r="D755" s="172"/>
      <c r="E755" s="21"/>
      <c r="F755" s="35"/>
      <c r="G755" s="35"/>
      <c r="H755" s="35"/>
      <c r="I755" s="35"/>
      <c r="J755" s="186"/>
      <c r="K755" s="110"/>
      <c r="L755" s="35"/>
      <c r="M755" s="172"/>
      <c r="N755" s="172"/>
      <c r="O755" s="35"/>
      <c r="P755" s="164"/>
      <c r="Q755" s="164"/>
      <c r="R755" s="164"/>
      <c r="S755" s="164"/>
      <c r="T755" s="164"/>
      <c r="U755" s="164"/>
      <c r="V755" s="35"/>
      <c r="W755" s="35"/>
      <c r="X755" s="35"/>
      <c r="Y755" s="35"/>
      <c r="Z755" s="35"/>
      <c r="AA755" s="35"/>
      <c r="AB755" s="35"/>
      <c r="AC755" s="35"/>
      <c r="AD755" s="35"/>
      <c r="AE755" s="35"/>
      <c r="AF755" s="35"/>
      <c r="AG755" s="35"/>
      <c r="AH755" s="35"/>
    </row>
    <row r="756">
      <c r="A756" s="35"/>
      <c r="B756" s="35"/>
      <c r="C756" s="35"/>
      <c r="D756" s="172"/>
      <c r="E756" s="21"/>
      <c r="F756" s="35"/>
      <c r="G756" s="35"/>
      <c r="H756" s="35"/>
      <c r="I756" s="35"/>
      <c r="J756" s="186"/>
      <c r="K756" s="110"/>
      <c r="L756" s="35"/>
      <c r="M756" s="172"/>
      <c r="N756" s="172"/>
      <c r="O756" s="35"/>
      <c r="P756" s="164"/>
      <c r="Q756" s="164"/>
      <c r="R756" s="164"/>
      <c r="S756" s="164"/>
      <c r="T756" s="164"/>
      <c r="U756" s="164"/>
      <c r="V756" s="35"/>
      <c r="W756" s="35"/>
      <c r="X756" s="35"/>
      <c r="Y756" s="35"/>
      <c r="Z756" s="35"/>
      <c r="AA756" s="35"/>
      <c r="AB756" s="35"/>
      <c r="AC756" s="35"/>
      <c r="AD756" s="35"/>
      <c r="AE756" s="35"/>
      <c r="AF756" s="35"/>
      <c r="AG756" s="35"/>
      <c r="AH756" s="35"/>
    </row>
    <row r="757">
      <c r="A757" s="35"/>
      <c r="B757" s="35"/>
      <c r="C757" s="35"/>
      <c r="D757" s="172"/>
      <c r="E757" s="21"/>
      <c r="F757" s="35"/>
      <c r="G757" s="35"/>
      <c r="H757" s="35"/>
      <c r="I757" s="35"/>
      <c r="J757" s="186"/>
      <c r="K757" s="110"/>
      <c r="L757" s="35"/>
      <c r="M757" s="172"/>
      <c r="N757" s="172"/>
      <c r="O757" s="35"/>
      <c r="P757" s="164"/>
      <c r="Q757" s="164"/>
      <c r="R757" s="164"/>
      <c r="S757" s="164"/>
      <c r="T757" s="164"/>
      <c r="U757" s="164"/>
      <c r="V757" s="35"/>
      <c r="W757" s="35"/>
      <c r="X757" s="35"/>
      <c r="Y757" s="35"/>
      <c r="Z757" s="35"/>
      <c r="AA757" s="35"/>
      <c r="AB757" s="35"/>
      <c r="AC757" s="35"/>
      <c r="AD757" s="35"/>
      <c r="AE757" s="35"/>
      <c r="AF757" s="35"/>
      <c r="AG757" s="35"/>
      <c r="AH757" s="35"/>
    </row>
    <row r="758">
      <c r="A758" s="35"/>
      <c r="B758" s="35"/>
      <c r="C758" s="35"/>
      <c r="D758" s="172"/>
      <c r="E758" s="21"/>
      <c r="F758" s="35"/>
      <c r="G758" s="35"/>
      <c r="H758" s="35"/>
      <c r="I758" s="35"/>
      <c r="J758" s="186"/>
      <c r="K758" s="110"/>
      <c r="L758" s="35"/>
      <c r="M758" s="172"/>
      <c r="N758" s="172"/>
      <c r="O758" s="35"/>
      <c r="P758" s="164"/>
      <c r="Q758" s="164"/>
      <c r="R758" s="164"/>
      <c r="S758" s="164"/>
      <c r="T758" s="164"/>
      <c r="U758" s="164"/>
      <c r="V758" s="35"/>
      <c r="W758" s="35"/>
      <c r="X758" s="35"/>
      <c r="Y758" s="35"/>
      <c r="Z758" s="35"/>
      <c r="AA758" s="35"/>
      <c r="AB758" s="35"/>
      <c r="AC758" s="35"/>
      <c r="AD758" s="35"/>
      <c r="AE758" s="35"/>
      <c r="AF758" s="35"/>
      <c r="AG758" s="35"/>
      <c r="AH758" s="35"/>
    </row>
    <row r="759">
      <c r="A759" s="35"/>
      <c r="B759" s="35"/>
      <c r="C759" s="35"/>
      <c r="D759" s="172"/>
      <c r="E759" s="21"/>
      <c r="F759" s="35"/>
      <c r="G759" s="35"/>
      <c r="H759" s="35"/>
      <c r="I759" s="35"/>
      <c r="J759" s="186"/>
      <c r="K759" s="110"/>
      <c r="L759" s="35"/>
      <c r="M759" s="172"/>
      <c r="N759" s="172"/>
      <c r="O759" s="35"/>
      <c r="P759" s="164"/>
      <c r="Q759" s="164"/>
      <c r="R759" s="164"/>
      <c r="S759" s="164"/>
      <c r="T759" s="164"/>
      <c r="U759" s="164"/>
      <c r="V759" s="35"/>
      <c r="W759" s="35"/>
      <c r="X759" s="35"/>
      <c r="Y759" s="35"/>
      <c r="Z759" s="35"/>
      <c r="AA759" s="35"/>
      <c r="AB759" s="35"/>
      <c r="AC759" s="35"/>
      <c r="AD759" s="35"/>
      <c r="AE759" s="35"/>
      <c r="AF759" s="35"/>
      <c r="AG759" s="35"/>
      <c r="AH759" s="35"/>
    </row>
    <row r="760">
      <c r="A760" s="35"/>
      <c r="B760" s="35"/>
      <c r="C760" s="35"/>
      <c r="D760" s="172"/>
      <c r="E760" s="21"/>
      <c r="F760" s="35"/>
      <c r="G760" s="35"/>
      <c r="H760" s="35"/>
      <c r="I760" s="35"/>
      <c r="J760" s="186"/>
      <c r="K760" s="110"/>
      <c r="L760" s="35"/>
      <c r="M760" s="172"/>
      <c r="N760" s="172"/>
      <c r="O760" s="35"/>
      <c r="P760" s="164"/>
      <c r="Q760" s="164"/>
      <c r="R760" s="164"/>
      <c r="S760" s="164"/>
      <c r="T760" s="164"/>
      <c r="U760" s="164"/>
      <c r="V760" s="35"/>
      <c r="W760" s="35"/>
      <c r="X760" s="35"/>
      <c r="Y760" s="35"/>
      <c r="Z760" s="35"/>
      <c r="AA760" s="35"/>
      <c r="AB760" s="35"/>
      <c r="AC760" s="35"/>
      <c r="AD760" s="35"/>
      <c r="AE760" s="35"/>
      <c r="AF760" s="35"/>
      <c r="AG760" s="35"/>
      <c r="AH760" s="35"/>
    </row>
    <row r="761">
      <c r="A761" s="35"/>
      <c r="B761" s="35"/>
      <c r="C761" s="35"/>
      <c r="D761" s="172"/>
      <c r="E761" s="21"/>
      <c r="F761" s="35"/>
      <c r="G761" s="35"/>
      <c r="H761" s="35"/>
      <c r="I761" s="35"/>
      <c r="J761" s="186"/>
      <c r="K761" s="110"/>
      <c r="L761" s="35"/>
      <c r="M761" s="172"/>
      <c r="N761" s="172"/>
      <c r="O761" s="35"/>
      <c r="P761" s="164"/>
      <c r="Q761" s="164"/>
      <c r="R761" s="164"/>
      <c r="S761" s="164"/>
      <c r="T761" s="164"/>
      <c r="U761" s="164"/>
      <c r="V761" s="35"/>
      <c r="W761" s="35"/>
      <c r="X761" s="35"/>
      <c r="Y761" s="35"/>
      <c r="Z761" s="35"/>
      <c r="AA761" s="35"/>
      <c r="AB761" s="35"/>
      <c r="AC761" s="35"/>
      <c r="AD761" s="35"/>
      <c r="AE761" s="35"/>
      <c r="AF761" s="35"/>
      <c r="AG761" s="35"/>
      <c r="AH761" s="35"/>
    </row>
    <row r="762">
      <c r="A762" s="35"/>
      <c r="B762" s="35"/>
      <c r="C762" s="35"/>
      <c r="D762" s="172"/>
      <c r="E762" s="21"/>
      <c r="F762" s="35"/>
      <c r="G762" s="35"/>
      <c r="H762" s="35"/>
      <c r="I762" s="35"/>
      <c r="J762" s="186"/>
      <c r="K762" s="110"/>
      <c r="L762" s="35"/>
      <c r="M762" s="172"/>
      <c r="N762" s="172"/>
      <c r="O762" s="35"/>
      <c r="P762" s="164"/>
      <c r="Q762" s="164"/>
      <c r="R762" s="164"/>
      <c r="S762" s="164"/>
      <c r="T762" s="164"/>
      <c r="U762" s="164"/>
      <c r="V762" s="35"/>
      <c r="W762" s="35"/>
      <c r="X762" s="35"/>
      <c r="Y762" s="35"/>
      <c r="Z762" s="35"/>
      <c r="AA762" s="35"/>
      <c r="AB762" s="35"/>
      <c r="AC762" s="35"/>
      <c r="AD762" s="35"/>
      <c r="AE762" s="35"/>
      <c r="AF762" s="35"/>
      <c r="AG762" s="35"/>
      <c r="AH762" s="35"/>
    </row>
    <row r="763">
      <c r="A763" s="35"/>
      <c r="B763" s="35"/>
      <c r="C763" s="35"/>
      <c r="D763" s="172"/>
      <c r="E763" s="21"/>
      <c r="F763" s="35"/>
      <c r="G763" s="35"/>
      <c r="H763" s="35"/>
      <c r="I763" s="35"/>
      <c r="J763" s="186"/>
      <c r="K763" s="110"/>
      <c r="L763" s="35"/>
      <c r="M763" s="172"/>
      <c r="N763" s="172"/>
      <c r="O763" s="35"/>
      <c r="P763" s="164"/>
      <c r="Q763" s="164"/>
      <c r="R763" s="164"/>
      <c r="S763" s="164"/>
      <c r="T763" s="164"/>
      <c r="U763" s="164"/>
      <c r="V763" s="35"/>
      <c r="W763" s="35"/>
      <c r="X763" s="35"/>
      <c r="Y763" s="35"/>
      <c r="Z763" s="35"/>
      <c r="AA763" s="35"/>
      <c r="AB763" s="35"/>
      <c r="AC763" s="35"/>
      <c r="AD763" s="35"/>
      <c r="AE763" s="35"/>
      <c r="AF763" s="35"/>
      <c r="AG763" s="35"/>
      <c r="AH763" s="35"/>
    </row>
    <row r="764">
      <c r="A764" s="35"/>
      <c r="B764" s="35"/>
      <c r="C764" s="35"/>
      <c r="D764" s="172"/>
      <c r="E764" s="21"/>
      <c r="F764" s="35"/>
      <c r="G764" s="35"/>
      <c r="H764" s="35"/>
      <c r="I764" s="35"/>
      <c r="J764" s="186"/>
      <c r="K764" s="110"/>
      <c r="L764" s="35"/>
      <c r="M764" s="172"/>
      <c r="N764" s="172"/>
      <c r="O764" s="35"/>
      <c r="P764" s="164"/>
      <c r="Q764" s="164"/>
      <c r="R764" s="164"/>
      <c r="S764" s="164"/>
      <c r="T764" s="164"/>
      <c r="U764" s="164"/>
      <c r="V764" s="35"/>
      <c r="W764" s="35"/>
      <c r="X764" s="35"/>
      <c r="Y764" s="35"/>
      <c r="Z764" s="35"/>
      <c r="AA764" s="35"/>
      <c r="AB764" s="35"/>
      <c r="AC764" s="35"/>
      <c r="AD764" s="35"/>
      <c r="AE764" s="35"/>
      <c r="AF764" s="35"/>
      <c r="AG764" s="35"/>
      <c r="AH764" s="35"/>
    </row>
    <row r="765">
      <c r="A765" s="35"/>
      <c r="B765" s="35"/>
      <c r="C765" s="35"/>
      <c r="D765" s="172"/>
      <c r="E765" s="21"/>
      <c r="F765" s="35"/>
      <c r="G765" s="35"/>
      <c r="H765" s="35"/>
      <c r="I765" s="35"/>
      <c r="J765" s="186"/>
      <c r="K765" s="110"/>
      <c r="L765" s="35"/>
      <c r="M765" s="172"/>
      <c r="N765" s="172"/>
      <c r="O765" s="35"/>
      <c r="P765" s="164"/>
      <c r="Q765" s="164"/>
      <c r="R765" s="164"/>
      <c r="S765" s="164"/>
      <c r="T765" s="164"/>
      <c r="U765" s="164"/>
      <c r="V765" s="35"/>
      <c r="W765" s="35"/>
      <c r="X765" s="35"/>
      <c r="Y765" s="35"/>
      <c r="Z765" s="35"/>
      <c r="AA765" s="35"/>
      <c r="AB765" s="35"/>
      <c r="AC765" s="35"/>
      <c r="AD765" s="35"/>
      <c r="AE765" s="35"/>
      <c r="AF765" s="35"/>
      <c r="AG765" s="35"/>
      <c r="AH765" s="35"/>
    </row>
    <row r="766">
      <c r="A766" s="35"/>
      <c r="B766" s="35"/>
      <c r="C766" s="35"/>
      <c r="D766" s="172"/>
      <c r="E766" s="21"/>
      <c r="F766" s="35"/>
      <c r="G766" s="35"/>
      <c r="H766" s="35"/>
      <c r="I766" s="35"/>
      <c r="J766" s="186"/>
      <c r="K766" s="110"/>
      <c r="L766" s="35"/>
      <c r="M766" s="172"/>
      <c r="N766" s="172"/>
      <c r="O766" s="35"/>
      <c r="P766" s="164"/>
      <c r="Q766" s="164"/>
      <c r="R766" s="164"/>
      <c r="S766" s="164"/>
      <c r="T766" s="164"/>
      <c r="U766" s="164"/>
      <c r="V766" s="35"/>
      <c r="W766" s="35"/>
      <c r="X766" s="35"/>
      <c r="Y766" s="35"/>
      <c r="Z766" s="35"/>
      <c r="AA766" s="35"/>
      <c r="AB766" s="35"/>
      <c r="AC766" s="35"/>
      <c r="AD766" s="35"/>
      <c r="AE766" s="35"/>
      <c r="AF766" s="35"/>
      <c r="AG766" s="35"/>
      <c r="AH766" s="35"/>
    </row>
    <row r="767">
      <c r="A767" s="35"/>
      <c r="B767" s="35"/>
      <c r="C767" s="35"/>
      <c r="D767" s="172"/>
      <c r="E767" s="21"/>
      <c r="F767" s="35"/>
      <c r="G767" s="35"/>
      <c r="H767" s="35"/>
      <c r="I767" s="35"/>
      <c r="J767" s="186"/>
      <c r="K767" s="110"/>
      <c r="L767" s="35"/>
      <c r="M767" s="172"/>
      <c r="N767" s="172"/>
      <c r="O767" s="35"/>
      <c r="P767" s="164"/>
      <c r="Q767" s="164"/>
      <c r="R767" s="164"/>
      <c r="S767" s="164"/>
      <c r="T767" s="164"/>
      <c r="U767" s="164"/>
      <c r="V767" s="35"/>
      <c r="W767" s="35"/>
      <c r="X767" s="35"/>
      <c r="Y767" s="35"/>
      <c r="Z767" s="35"/>
      <c r="AA767" s="35"/>
      <c r="AB767" s="35"/>
      <c r="AC767" s="35"/>
      <c r="AD767" s="35"/>
      <c r="AE767" s="35"/>
      <c r="AF767" s="35"/>
      <c r="AG767" s="35"/>
      <c r="AH767" s="35"/>
    </row>
    <row r="768">
      <c r="A768" s="35"/>
      <c r="B768" s="35"/>
      <c r="C768" s="35"/>
      <c r="D768" s="172"/>
      <c r="E768" s="21"/>
      <c r="F768" s="35"/>
      <c r="G768" s="35"/>
      <c r="H768" s="35"/>
      <c r="I768" s="35"/>
      <c r="J768" s="186"/>
      <c r="K768" s="110"/>
      <c r="L768" s="35"/>
      <c r="M768" s="172"/>
      <c r="N768" s="172"/>
      <c r="O768" s="35"/>
      <c r="P768" s="164"/>
      <c r="Q768" s="164"/>
      <c r="R768" s="164"/>
      <c r="S768" s="164"/>
      <c r="T768" s="164"/>
      <c r="U768" s="164"/>
      <c r="V768" s="35"/>
      <c r="W768" s="35"/>
      <c r="X768" s="35"/>
      <c r="Y768" s="35"/>
      <c r="Z768" s="35"/>
      <c r="AA768" s="35"/>
      <c r="AB768" s="35"/>
      <c r="AC768" s="35"/>
      <c r="AD768" s="35"/>
      <c r="AE768" s="35"/>
      <c r="AF768" s="35"/>
      <c r="AG768" s="35"/>
      <c r="AH768" s="35"/>
    </row>
    <row r="769">
      <c r="A769" s="35"/>
      <c r="B769" s="35"/>
      <c r="C769" s="35"/>
      <c r="D769" s="172"/>
      <c r="E769" s="21"/>
      <c r="F769" s="35"/>
      <c r="G769" s="35"/>
      <c r="H769" s="35"/>
      <c r="I769" s="35"/>
      <c r="J769" s="186"/>
      <c r="K769" s="110"/>
      <c r="L769" s="35"/>
      <c r="M769" s="172"/>
      <c r="N769" s="172"/>
      <c r="O769" s="35"/>
      <c r="P769" s="164"/>
      <c r="Q769" s="164"/>
      <c r="R769" s="164"/>
      <c r="S769" s="164"/>
      <c r="T769" s="164"/>
      <c r="U769" s="164"/>
      <c r="V769" s="35"/>
      <c r="W769" s="35"/>
      <c r="X769" s="35"/>
      <c r="Y769" s="35"/>
      <c r="Z769" s="35"/>
      <c r="AA769" s="35"/>
      <c r="AB769" s="35"/>
      <c r="AC769" s="35"/>
      <c r="AD769" s="35"/>
      <c r="AE769" s="35"/>
      <c r="AF769" s="35"/>
      <c r="AG769" s="35"/>
      <c r="AH769" s="35"/>
    </row>
    <row r="770">
      <c r="A770" s="35"/>
      <c r="B770" s="35"/>
      <c r="C770" s="35"/>
      <c r="D770" s="172"/>
      <c r="E770" s="21"/>
      <c r="F770" s="35"/>
      <c r="G770" s="35"/>
      <c r="H770" s="35"/>
      <c r="I770" s="35"/>
      <c r="J770" s="186"/>
      <c r="K770" s="110"/>
      <c r="L770" s="35"/>
      <c r="M770" s="172"/>
      <c r="N770" s="172"/>
      <c r="O770" s="35"/>
      <c r="P770" s="164"/>
      <c r="Q770" s="164"/>
      <c r="R770" s="164"/>
      <c r="S770" s="164"/>
      <c r="T770" s="164"/>
      <c r="U770" s="164"/>
      <c r="V770" s="35"/>
      <c r="W770" s="35"/>
      <c r="X770" s="35"/>
      <c r="Y770" s="35"/>
      <c r="Z770" s="35"/>
      <c r="AA770" s="35"/>
      <c r="AB770" s="35"/>
      <c r="AC770" s="35"/>
      <c r="AD770" s="35"/>
      <c r="AE770" s="35"/>
      <c r="AF770" s="35"/>
      <c r="AG770" s="35"/>
      <c r="AH770" s="35"/>
    </row>
    <row r="771">
      <c r="A771" s="35"/>
      <c r="B771" s="35"/>
      <c r="C771" s="35"/>
      <c r="D771" s="172"/>
      <c r="E771" s="21"/>
      <c r="F771" s="35"/>
      <c r="G771" s="35"/>
      <c r="H771" s="35"/>
      <c r="I771" s="35"/>
      <c r="J771" s="186"/>
      <c r="K771" s="110"/>
      <c r="L771" s="35"/>
      <c r="M771" s="172"/>
      <c r="N771" s="172"/>
      <c r="O771" s="35"/>
      <c r="P771" s="164"/>
      <c r="Q771" s="164"/>
      <c r="R771" s="164"/>
      <c r="S771" s="164"/>
      <c r="T771" s="164"/>
      <c r="U771" s="164"/>
      <c r="V771" s="35"/>
      <c r="W771" s="35"/>
      <c r="X771" s="35"/>
      <c r="Y771" s="35"/>
      <c r="Z771" s="35"/>
      <c r="AA771" s="35"/>
      <c r="AB771" s="35"/>
      <c r="AC771" s="35"/>
      <c r="AD771" s="35"/>
      <c r="AE771" s="35"/>
      <c r="AF771" s="35"/>
      <c r="AG771" s="35"/>
      <c r="AH771" s="35"/>
    </row>
    <row r="772">
      <c r="A772" s="35"/>
      <c r="B772" s="35"/>
      <c r="C772" s="35"/>
      <c r="D772" s="172"/>
      <c r="E772" s="21"/>
      <c r="F772" s="35"/>
      <c r="G772" s="35"/>
      <c r="H772" s="35"/>
      <c r="I772" s="35"/>
      <c r="J772" s="186"/>
      <c r="K772" s="110"/>
      <c r="L772" s="35"/>
      <c r="M772" s="172"/>
      <c r="N772" s="172"/>
      <c r="O772" s="35"/>
      <c r="P772" s="164"/>
      <c r="Q772" s="164"/>
      <c r="R772" s="164"/>
      <c r="S772" s="164"/>
      <c r="T772" s="164"/>
      <c r="U772" s="164"/>
      <c r="V772" s="35"/>
      <c r="W772" s="35"/>
      <c r="X772" s="35"/>
      <c r="Y772" s="35"/>
      <c r="Z772" s="35"/>
      <c r="AA772" s="35"/>
      <c r="AB772" s="35"/>
      <c r="AC772" s="35"/>
      <c r="AD772" s="35"/>
      <c r="AE772" s="35"/>
      <c r="AF772" s="35"/>
      <c r="AG772" s="35"/>
      <c r="AH772" s="35"/>
    </row>
    <row r="773">
      <c r="A773" s="35"/>
      <c r="B773" s="35"/>
      <c r="C773" s="35"/>
      <c r="D773" s="172"/>
      <c r="E773" s="21"/>
      <c r="F773" s="35"/>
      <c r="G773" s="35"/>
      <c r="H773" s="35"/>
      <c r="I773" s="35"/>
      <c r="J773" s="186"/>
      <c r="K773" s="110"/>
      <c r="L773" s="35"/>
      <c r="M773" s="172"/>
      <c r="N773" s="172"/>
      <c r="O773" s="35"/>
      <c r="P773" s="164"/>
      <c r="Q773" s="164"/>
      <c r="R773" s="164"/>
      <c r="S773" s="164"/>
      <c r="T773" s="164"/>
      <c r="U773" s="164"/>
      <c r="V773" s="35"/>
      <c r="W773" s="35"/>
      <c r="X773" s="35"/>
      <c r="Y773" s="35"/>
      <c r="Z773" s="35"/>
      <c r="AA773" s="35"/>
      <c r="AB773" s="35"/>
      <c r="AC773" s="35"/>
      <c r="AD773" s="35"/>
      <c r="AE773" s="35"/>
      <c r="AF773" s="35"/>
      <c r="AG773" s="35"/>
      <c r="AH773" s="35"/>
    </row>
    <row r="774">
      <c r="A774" s="35"/>
      <c r="B774" s="35"/>
      <c r="C774" s="35"/>
      <c r="D774" s="172"/>
      <c r="E774" s="21"/>
      <c r="F774" s="35"/>
      <c r="G774" s="35"/>
      <c r="H774" s="35"/>
      <c r="I774" s="35"/>
      <c r="J774" s="186"/>
      <c r="K774" s="110"/>
      <c r="L774" s="35"/>
      <c r="M774" s="172"/>
      <c r="N774" s="172"/>
      <c r="O774" s="35"/>
      <c r="P774" s="164"/>
      <c r="Q774" s="164"/>
      <c r="R774" s="164"/>
      <c r="S774" s="164"/>
      <c r="T774" s="164"/>
      <c r="U774" s="164"/>
      <c r="V774" s="35"/>
      <c r="W774" s="35"/>
      <c r="X774" s="35"/>
      <c r="Y774" s="35"/>
      <c r="Z774" s="35"/>
      <c r="AA774" s="35"/>
      <c r="AB774" s="35"/>
      <c r="AC774" s="35"/>
      <c r="AD774" s="35"/>
      <c r="AE774" s="35"/>
      <c r="AF774" s="35"/>
      <c r="AG774" s="35"/>
      <c r="AH774" s="35"/>
    </row>
    <row r="775">
      <c r="A775" s="35"/>
      <c r="B775" s="35"/>
      <c r="C775" s="35"/>
      <c r="D775" s="172"/>
      <c r="E775" s="21"/>
      <c r="F775" s="35"/>
      <c r="G775" s="35"/>
      <c r="H775" s="35"/>
      <c r="I775" s="35"/>
      <c r="J775" s="186"/>
      <c r="K775" s="110"/>
      <c r="L775" s="35"/>
      <c r="M775" s="172"/>
      <c r="N775" s="172"/>
      <c r="O775" s="35"/>
      <c r="P775" s="164"/>
      <c r="Q775" s="164"/>
      <c r="R775" s="164"/>
      <c r="S775" s="164"/>
      <c r="T775" s="164"/>
      <c r="U775" s="164"/>
      <c r="V775" s="35"/>
      <c r="W775" s="35"/>
      <c r="X775" s="35"/>
      <c r="Y775" s="35"/>
      <c r="Z775" s="35"/>
      <c r="AA775" s="35"/>
      <c r="AB775" s="35"/>
      <c r="AC775" s="35"/>
      <c r="AD775" s="35"/>
      <c r="AE775" s="35"/>
      <c r="AF775" s="35"/>
      <c r="AG775" s="35"/>
      <c r="AH775" s="35"/>
    </row>
    <row r="776">
      <c r="A776" s="35"/>
      <c r="B776" s="35"/>
      <c r="C776" s="35"/>
      <c r="D776" s="172"/>
      <c r="E776" s="21"/>
      <c r="F776" s="35"/>
      <c r="G776" s="35"/>
      <c r="H776" s="35"/>
      <c r="I776" s="35"/>
      <c r="J776" s="186"/>
      <c r="K776" s="110"/>
      <c r="L776" s="35"/>
      <c r="M776" s="172"/>
      <c r="N776" s="172"/>
      <c r="O776" s="35"/>
      <c r="P776" s="164"/>
      <c r="Q776" s="164"/>
      <c r="R776" s="164"/>
      <c r="S776" s="164"/>
      <c r="T776" s="164"/>
      <c r="U776" s="164"/>
      <c r="V776" s="35"/>
      <c r="W776" s="35"/>
      <c r="X776" s="35"/>
      <c r="Y776" s="35"/>
      <c r="Z776" s="35"/>
      <c r="AA776" s="35"/>
      <c r="AB776" s="35"/>
      <c r="AC776" s="35"/>
      <c r="AD776" s="35"/>
      <c r="AE776" s="35"/>
      <c r="AF776" s="35"/>
      <c r="AG776" s="35"/>
      <c r="AH776" s="35"/>
    </row>
    <row r="777">
      <c r="A777" s="35"/>
      <c r="B777" s="35"/>
      <c r="C777" s="35"/>
      <c r="D777" s="172"/>
      <c r="E777" s="21"/>
      <c r="F777" s="35"/>
      <c r="G777" s="35"/>
      <c r="H777" s="35"/>
      <c r="I777" s="35"/>
      <c r="J777" s="186"/>
      <c r="K777" s="110"/>
      <c r="L777" s="35"/>
      <c r="M777" s="172"/>
      <c r="N777" s="172"/>
      <c r="O777" s="35"/>
      <c r="P777" s="164"/>
      <c r="Q777" s="164"/>
      <c r="R777" s="164"/>
      <c r="S777" s="164"/>
      <c r="T777" s="164"/>
      <c r="U777" s="164"/>
      <c r="V777" s="35"/>
      <c r="W777" s="35"/>
      <c r="X777" s="35"/>
      <c r="Y777" s="35"/>
      <c r="Z777" s="35"/>
      <c r="AA777" s="35"/>
      <c r="AB777" s="35"/>
      <c r="AC777" s="35"/>
      <c r="AD777" s="35"/>
      <c r="AE777" s="35"/>
      <c r="AF777" s="35"/>
      <c r="AG777" s="35"/>
      <c r="AH777" s="35"/>
    </row>
    <row r="778">
      <c r="A778" s="35"/>
      <c r="B778" s="35"/>
      <c r="C778" s="35"/>
      <c r="D778" s="172"/>
      <c r="E778" s="21"/>
      <c r="F778" s="35"/>
      <c r="G778" s="35"/>
      <c r="H778" s="35"/>
      <c r="I778" s="35"/>
      <c r="J778" s="186"/>
      <c r="K778" s="110"/>
      <c r="L778" s="35"/>
      <c r="M778" s="172"/>
      <c r="N778" s="172"/>
      <c r="O778" s="35"/>
      <c r="P778" s="164"/>
      <c r="Q778" s="164"/>
      <c r="R778" s="164"/>
      <c r="S778" s="164"/>
      <c r="T778" s="164"/>
      <c r="U778" s="164"/>
      <c r="V778" s="35"/>
      <c r="W778" s="35"/>
      <c r="X778" s="35"/>
      <c r="Y778" s="35"/>
      <c r="Z778" s="35"/>
      <c r="AA778" s="35"/>
      <c r="AB778" s="35"/>
      <c r="AC778" s="35"/>
      <c r="AD778" s="35"/>
      <c r="AE778" s="35"/>
      <c r="AF778" s="35"/>
      <c r="AG778" s="35"/>
      <c r="AH778" s="35"/>
    </row>
    <row r="779">
      <c r="A779" s="35"/>
      <c r="B779" s="35"/>
      <c r="C779" s="35"/>
      <c r="D779" s="172"/>
      <c r="E779" s="21"/>
      <c r="F779" s="35"/>
      <c r="G779" s="35"/>
      <c r="H779" s="35"/>
      <c r="I779" s="35"/>
      <c r="J779" s="186"/>
      <c r="K779" s="110"/>
      <c r="L779" s="35"/>
      <c r="M779" s="172"/>
      <c r="N779" s="172"/>
      <c r="O779" s="35"/>
      <c r="P779" s="164"/>
      <c r="Q779" s="164"/>
      <c r="R779" s="164"/>
      <c r="S779" s="164"/>
      <c r="T779" s="164"/>
      <c r="U779" s="164"/>
      <c r="V779" s="35"/>
      <c r="W779" s="35"/>
      <c r="X779" s="35"/>
      <c r="Y779" s="35"/>
      <c r="Z779" s="35"/>
      <c r="AA779" s="35"/>
      <c r="AB779" s="35"/>
      <c r="AC779" s="35"/>
      <c r="AD779" s="35"/>
      <c r="AE779" s="35"/>
      <c r="AF779" s="35"/>
      <c r="AG779" s="35"/>
      <c r="AH779" s="35"/>
    </row>
    <row r="780">
      <c r="A780" s="35"/>
      <c r="B780" s="35"/>
      <c r="C780" s="35"/>
      <c r="D780" s="172"/>
      <c r="E780" s="21"/>
      <c r="F780" s="35"/>
      <c r="G780" s="35"/>
      <c r="H780" s="35"/>
      <c r="I780" s="35"/>
      <c r="J780" s="186"/>
      <c r="K780" s="110"/>
      <c r="L780" s="35"/>
      <c r="M780" s="172"/>
      <c r="N780" s="172"/>
      <c r="O780" s="35"/>
      <c r="P780" s="164"/>
      <c r="Q780" s="164"/>
      <c r="R780" s="164"/>
      <c r="S780" s="164"/>
      <c r="T780" s="164"/>
      <c r="U780" s="164"/>
      <c r="V780" s="35"/>
      <c r="W780" s="35"/>
      <c r="X780" s="35"/>
      <c r="Y780" s="35"/>
      <c r="Z780" s="35"/>
      <c r="AA780" s="35"/>
      <c r="AB780" s="35"/>
      <c r="AC780" s="35"/>
      <c r="AD780" s="35"/>
      <c r="AE780" s="35"/>
      <c r="AF780" s="35"/>
      <c r="AG780" s="35"/>
      <c r="AH780" s="35"/>
    </row>
    <row r="781">
      <c r="A781" s="35"/>
      <c r="B781" s="35"/>
      <c r="C781" s="35"/>
      <c r="D781" s="172"/>
      <c r="E781" s="21"/>
      <c r="F781" s="35"/>
      <c r="G781" s="35"/>
      <c r="H781" s="35"/>
      <c r="I781" s="35"/>
      <c r="J781" s="186"/>
      <c r="K781" s="110"/>
      <c r="L781" s="35"/>
      <c r="M781" s="172"/>
      <c r="N781" s="172"/>
      <c r="O781" s="35"/>
      <c r="P781" s="164"/>
      <c r="Q781" s="164"/>
      <c r="R781" s="164"/>
      <c r="S781" s="164"/>
      <c r="T781" s="164"/>
      <c r="U781" s="164"/>
      <c r="V781" s="35"/>
      <c r="W781" s="35"/>
      <c r="X781" s="35"/>
      <c r="Y781" s="35"/>
      <c r="Z781" s="35"/>
      <c r="AA781" s="35"/>
      <c r="AB781" s="35"/>
      <c r="AC781" s="35"/>
      <c r="AD781" s="35"/>
      <c r="AE781" s="35"/>
      <c r="AF781" s="35"/>
      <c r="AG781" s="35"/>
      <c r="AH781" s="35"/>
    </row>
    <row r="782">
      <c r="A782" s="35"/>
      <c r="B782" s="35"/>
      <c r="C782" s="35"/>
      <c r="D782" s="172"/>
      <c r="E782" s="21"/>
      <c r="F782" s="35"/>
      <c r="G782" s="35"/>
      <c r="H782" s="35"/>
      <c r="I782" s="35"/>
      <c r="J782" s="186"/>
      <c r="K782" s="110"/>
      <c r="L782" s="35"/>
      <c r="M782" s="172"/>
      <c r="N782" s="172"/>
      <c r="O782" s="35"/>
      <c r="P782" s="164"/>
      <c r="Q782" s="164"/>
      <c r="R782" s="164"/>
      <c r="S782" s="164"/>
      <c r="T782" s="164"/>
      <c r="U782" s="164"/>
      <c r="V782" s="35"/>
      <c r="W782" s="35"/>
      <c r="X782" s="35"/>
      <c r="Y782" s="35"/>
      <c r="Z782" s="35"/>
      <c r="AA782" s="35"/>
      <c r="AB782" s="35"/>
      <c r="AC782" s="35"/>
      <c r="AD782" s="35"/>
      <c r="AE782" s="35"/>
      <c r="AF782" s="35"/>
      <c r="AG782" s="35"/>
      <c r="AH782" s="35"/>
    </row>
    <row r="783">
      <c r="A783" s="35"/>
      <c r="B783" s="35"/>
      <c r="C783" s="35"/>
      <c r="D783" s="172"/>
      <c r="E783" s="21"/>
      <c r="F783" s="35"/>
      <c r="G783" s="35"/>
      <c r="H783" s="35"/>
      <c r="I783" s="35"/>
      <c r="J783" s="186"/>
      <c r="K783" s="110"/>
      <c r="L783" s="35"/>
      <c r="M783" s="172"/>
      <c r="N783" s="172"/>
      <c r="O783" s="35"/>
      <c r="P783" s="164"/>
      <c r="Q783" s="164"/>
      <c r="R783" s="164"/>
      <c r="S783" s="164"/>
      <c r="T783" s="164"/>
      <c r="U783" s="164"/>
      <c r="V783" s="35"/>
      <c r="W783" s="35"/>
      <c r="X783" s="35"/>
      <c r="Y783" s="35"/>
      <c r="Z783" s="35"/>
      <c r="AA783" s="35"/>
      <c r="AB783" s="35"/>
      <c r="AC783" s="35"/>
      <c r="AD783" s="35"/>
      <c r="AE783" s="35"/>
      <c r="AF783" s="35"/>
      <c r="AG783" s="35"/>
      <c r="AH783" s="35"/>
    </row>
    <row r="784">
      <c r="A784" s="35"/>
      <c r="B784" s="35"/>
      <c r="C784" s="35"/>
      <c r="D784" s="172"/>
      <c r="E784" s="21"/>
      <c r="F784" s="35"/>
      <c r="G784" s="35"/>
      <c r="H784" s="35"/>
      <c r="I784" s="35"/>
      <c r="J784" s="186"/>
      <c r="K784" s="110"/>
      <c r="L784" s="35"/>
      <c r="M784" s="172"/>
      <c r="N784" s="172"/>
      <c r="O784" s="35"/>
      <c r="P784" s="164"/>
      <c r="Q784" s="164"/>
      <c r="R784" s="164"/>
      <c r="S784" s="164"/>
      <c r="T784" s="164"/>
      <c r="U784" s="164"/>
      <c r="V784" s="35"/>
      <c r="W784" s="35"/>
      <c r="X784" s="35"/>
      <c r="Y784" s="35"/>
      <c r="Z784" s="35"/>
      <c r="AA784" s="35"/>
      <c r="AB784" s="35"/>
      <c r="AC784" s="35"/>
      <c r="AD784" s="35"/>
      <c r="AE784" s="35"/>
      <c r="AF784" s="35"/>
      <c r="AG784" s="35"/>
      <c r="AH784" s="35"/>
    </row>
    <row r="785">
      <c r="A785" s="35"/>
      <c r="B785" s="35"/>
      <c r="C785" s="35"/>
      <c r="D785" s="172"/>
      <c r="E785" s="21"/>
      <c r="F785" s="35"/>
      <c r="G785" s="35"/>
      <c r="H785" s="35"/>
      <c r="I785" s="35"/>
      <c r="J785" s="186"/>
      <c r="K785" s="110"/>
      <c r="L785" s="35"/>
      <c r="M785" s="172"/>
      <c r="N785" s="172"/>
      <c r="O785" s="35"/>
      <c r="P785" s="164"/>
      <c r="Q785" s="164"/>
      <c r="R785" s="164"/>
      <c r="S785" s="164"/>
      <c r="T785" s="164"/>
      <c r="U785" s="164"/>
      <c r="V785" s="35"/>
      <c r="W785" s="35"/>
      <c r="X785" s="35"/>
      <c r="Y785" s="35"/>
      <c r="Z785" s="35"/>
      <c r="AA785" s="35"/>
      <c r="AB785" s="35"/>
      <c r="AC785" s="35"/>
      <c r="AD785" s="35"/>
      <c r="AE785" s="35"/>
      <c r="AF785" s="35"/>
      <c r="AG785" s="35"/>
      <c r="AH785" s="35"/>
    </row>
    <row r="786">
      <c r="A786" s="35"/>
      <c r="B786" s="35"/>
      <c r="C786" s="35"/>
      <c r="D786" s="172"/>
      <c r="E786" s="21"/>
      <c r="F786" s="35"/>
      <c r="G786" s="35"/>
      <c r="H786" s="35"/>
      <c r="I786" s="35"/>
      <c r="J786" s="186"/>
      <c r="K786" s="110"/>
      <c r="L786" s="35"/>
      <c r="M786" s="172"/>
      <c r="N786" s="172"/>
      <c r="O786" s="35"/>
      <c r="P786" s="164"/>
      <c r="Q786" s="164"/>
      <c r="R786" s="164"/>
      <c r="S786" s="164"/>
      <c r="T786" s="164"/>
      <c r="U786" s="164"/>
      <c r="V786" s="35"/>
      <c r="W786" s="35"/>
      <c r="X786" s="35"/>
      <c r="Y786" s="35"/>
      <c r="Z786" s="35"/>
      <c r="AA786" s="35"/>
      <c r="AB786" s="35"/>
      <c r="AC786" s="35"/>
      <c r="AD786" s="35"/>
      <c r="AE786" s="35"/>
      <c r="AF786" s="35"/>
      <c r="AG786" s="35"/>
      <c r="AH786" s="35"/>
    </row>
    <row r="787">
      <c r="A787" s="35"/>
      <c r="B787" s="35"/>
      <c r="C787" s="35"/>
      <c r="D787" s="172"/>
      <c r="E787" s="21"/>
      <c r="F787" s="35"/>
      <c r="G787" s="35"/>
      <c r="H787" s="35"/>
      <c r="I787" s="35"/>
      <c r="J787" s="186"/>
      <c r="K787" s="110"/>
      <c r="L787" s="35"/>
      <c r="M787" s="172"/>
      <c r="N787" s="172"/>
      <c r="O787" s="35"/>
      <c r="P787" s="164"/>
      <c r="Q787" s="164"/>
      <c r="R787" s="164"/>
      <c r="S787" s="164"/>
      <c r="T787" s="164"/>
      <c r="U787" s="164"/>
      <c r="V787" s="35"/>
      <c r="W787" s="35"/>
      <c r="X787" s="35"/>
      <c r="Y787" s="35"/>
      <c r="Z787" s="35"/>
      <c r="AA787" s="35"/>
      <c r="AB787" s="35"/>
      <c r="AC787" s="35"/>
      <c r="AD787" s="35"/>
      <c r="AE787" s="35"/>
      <c r="AF787" s="35"/>
      <c r="AG787" s="35"/>
      <c r="AH787" s="35"/>
    </row>
    <row r="788">
      <c r="A788" s="35"/>
      <c r="B788" s="35"/>
      <c r="C788" s="35"/>
      <c r="D788" s="172"/>
      <c r="E788" s="21"/>
      <c r="F788" s="35"/>
      <c r="G788" s="35"/>
      <c r="H788" s="35"/>
      <c r="I788" s="35"/>
      <c r="J788" s="186"/>
      <c r="K788" s="110"/>
      <c r="L788" s="35"/>
      <c r="M788" s="172"/>
      <c r="N788" s="172"/>
      <c r="O788" s="35"/>
      <c r="P788" s="164"/>
      <c r="Q788" s="164"/>
      <c r="R788" s="164"/>
      <c r="S788" s="164"/>
      <c r="T788" s="164"/>
      <c r="U788" s="164"/>
      <c r="V788" s="35"/>
      <c r="W788" s="35"/>
      <c r="X788" s="35"/>
      <c r="Y788" s="35"/>
      <c r="Z788" s="35"/>
      <c r="AA788" s="35"/>
      <c r="AB788" s="35"/>
      <c r="AC788" s="35"/>
      <c r="AD788" s="35"/>
      <c r="AE788" s="35"/>
      <c r="AF788" s="35"/>
      <c r="AG788" s="35"/>
      <c r="AH788" s="35"/>
    </row>
    <row r="789">
      <c r="A789" s="35"/>
      <c r="B789" s="35"/>
      <c r="C789" s="35"/>
      <c r="D789" s="172"/>
      <c r="E789" s="21"/>
      <c r="F789" s="35"/>
      <c r="G789" s="35"/>
      <c r="H789" s="35"/>
      <c r="I789" s="35"/>
      <c r="J789" s="186"/>
      <c r="K789" s="110"/>
      <c r="L789" s="35"/>
      <c r="M789" s="172"/>
      <c r="N789" s="172"/>
      <c r="O789" s="35"/>
      <c r="P789" s="164"/>
      <c r="Q789" s="164"/>
      <c r="R789" s="164"/>
      <c r="S789" s="164"/>
      <c r="T789" s="164"/>
      <c r="U789" s="164"/>
      <c r="V789" s="35"/>
      <c r="W789" s="35"/>
      <c r="X789" s="35"/>
      <c r="Y789" s="35"/>
      <c r="Z789" s="35"/>
      <c r="AA789" s="35"/>
      <c r="AB789" s="35"/>
      <c r="AC789" s="35"/>
      <c r="AD789" s="35"/>
      <c r="AE789" s="35"/>
      <c r="AF789" s="35"/>
      <c r="AG789" s="35"/>
      <c r="AH789" s="35"/>
    </row>
    <row r="790">
      <c r="A790" s="35"/>
      <c r="B790" s="35"/>
      <c r="C790" s="35"/>
      <c r="D790" s="172"/>
      <c r="E790" s="21"/>
      <c r="F790" s="35"/>
      <c r="G790" s="35"/>
      <c r="H790" s="35"/>
      <c r="I790" s="35"/>
      <c r="J790" s="186"/>
      <c r="K790" s="110"/>
      <c r="L790" s="35"/>
      <c r="M790" s="172"/>
      <c r="N790" s="172"/>
      <c r="O790" s="35"/>
      <c r="P790" s="164"/>
      <c r="Q790" s="164"/>
      <c r="R790" s="164"/>
      <c r="S790" s="164"/>
      <c r="T790" s="164"/>
      <c r="U790" s="164"/>
      <c r="V790" s="35"/>
      <c r="W790" s="35"/>
      <c r="X790" s="35"/>
      <c r="Y790" s="35"/>
      <c r="Z790" s="35"/>
      <c r="AA790" s="35"/>
      <c r="AB790" s="35"/>
      <c r="AC790" s="35"/>
      <c r="AD790" s="35"/>
      <c r="AE790" s="35"/>
      <c r="AF790" s="35"/>
      <c r="AG790" s="35"/>
      <c r="AH790" s="35"/>
    </row>
    <row r="791">
      <c r="A791" s="35"/>
      <c r="B791" s="35"/>
      <c r="C791" s="35"/>
      <c r="D791" s="172"/>
      <c r="E791" s="21"/>
      <c r="F791" s="35"/>
      <c r="G791" s="35"/>
      <c r="H791" s="35"/>
      <c r="I791" s="35"/>
      <c r="J791" s="186"/>
      <c r="K791" s="110"/>
      <c r="L791" s="35"/>
      <c r="M791" s="172"/>
      <c r="N791" s="172"/>
      <c r="O791" s="35"/>
      <c r="P791" s="164"/>
      <c r="Q791" s="164"/>
      <c r="R791" s="164"/>
      <c r="S791" s="164"/>
      <c r="T791" s="164"/>
      <c r="U791" s="164"/>
      <c r="V791" s="35"/>
      <c r="W791" s="35"/>
      <c r="X791" s="35"/>
      <c r="Y791" s="35"/>
      <c r="Z791" s="35"/>
      <c r="AA791" s="35"/>
      <c r="AB791" s="35"/>
      <c r="AC791" s="35"/>
      <c r="AD791" s="35"/>
      <c r="AE791" s="35"/>
      <c r="AF791" s="35"/>
      <c r="AG791" s="35"/>
      <c r="AH791" s="35"/>
    </row>
    <row r="792">
      <c r="A792" s="35"/>
      <c r="B792" s="35"/>
      <c r="C792" s="35"/>
      <c r="D792" s="172"/>
      <c r="E792" s="21"/>
      <c r="F792" s="35"/>
      <c r="G792" s="35"/>
      <c r="H792" s="35"/>
      <c r="I792" s="35"/>
      <c r="J792" s="186"/>
      <c r="K792" s="110"/>
      <c r="L792" s="35"/>
      <c r="M792" s="172"/>
      <c r="N792" s="172"/>
      <c r="O792" s="35"/>
      <c r="P792" s="164"/>
      <c r="Q792" s="164"/>
      <c r="R792" s="164"/>
      <c r="S792" s="164"/>
      <c r="T792" s="164"/>
      <c r="U792" s="164"/>
      <c r="V792" s="35"/>
      <c r="W792" s="35"/>
      <c r="X792" s="35"/>
      <c r="Y792" s="35"/>
      <c r="Z792" s="35"/>
      <c r="AA792" s="35"/>
      <c r="AB792" s="35"/>
      <c r="AC792" s="35"/>
      <c r="AD792" s="35"/>
      <c r="AE792" s="35"/>
      <c r="AF792" s="35"/>
      <c r="AG792" s="35"/>
      <c r="AH792" s="35"/>
    </row>
    <row r="793">
      <c r="A793" s="35"/>
      <c r="B793" s="35"/>
      <c r="C793" s="35"/>
      <c r="D793" s="172"/>
      <c r="E793" s="21"/>
      <c r="F793" s="35"/>
      <c r="G793" s="35"/>
      <c r="H793" s="35"/>
      <c r="I793" s="35"/>
      <c r="J793" s="186"/>
      <c r="K793" s="110"/>
      <c r="L793" s="35"/>
      <c r="M793" s="172"/>
      <c r="N793" s="172"/>
      <c r="O793" s="35"/>
      <c r="P793" s="164"/>
      <c r="Q793" s="164"/>
      <c r="R793" s="164"/>
      <c r="S793" s="164"/>
      <c r="T793" s="164"/>
      <c r="U793" s="164"/>
      <c r="V793" s="35"/>
      <c r="W793" s="35"/>
      <c r="X793" s="35"/>
      <c r="Y793" s="35"/>
      <c r="Z793" s="35"/>
      <c r="AA793" s="35"/>
      <c r="AB793" s="35"/>
      <c r="AC793" s="35"/>
      <c r="AD793" s="35"/>
      <c r="AE793" s="35"/>
      <c r="AF793" s="35"/>
      <c r="AG793" s="35"/>
      <c r="AH793" s="35"/>
    </row>
    <row r="794">
      <c r="A794" s="35"/>
      <c r="B794" s="35"/>
      <c r="C794" s="35"/>
      <c r="D794" s="172"/>
      <c r="E794" s="21"/>
      <c r="F794" s="35"/>
      <c r="G794" s="35"/>
      <c r="H794" s="35"/>
      <c r="I794" s="35"/>
      <c r="J794" s="186"/>
      <c r="K794" s="110"/>
      <c r="L794" s="35"/>
      <c r="M794" s="172"/>
      <c r="N794" s="172"/>
      <c r="O794" s="35"/>
      <c r="P794" s="164"/>
      <c r="Q794" s="164"/>
      <c r="R794" s="164"/>
      <c r="S794" s="164"/>
      <c r="T794" s="164"/>
      <c r="U794" s="164"/>
      <c r="V794" s="35"/>
      <c r="W794" s="35"/>
      <c r="X794" s="35"/>
      <c r="Y794" s="35"/>
      <c r="Z794" s="35"/>
      <c r="AA794" s="35"/>
      <c r="AB794" s="35"/>
      <c r="AC794" s="35"/>
      <c r="AD794" s="35"/>
      <c r="AE794" s="35"/>
      <c r="AF794" s="35"/>
      <c r="AG794" s="35"/>
      <c r="AH794" s="35"/>
    </row>
    <row r="795">
      <c r="A795" s="35"/>
      <c r="B795" s="35"/>
      <c r="C795" s="35"/>
      <c r="D795" s="172"/>
      <c r="E795" s="21"/>
      <c r="F795" s="35"/>
      <c r="G795" s="35"/>
      <c r="H795" s="35"/>
      <c r="I795" s="35"/>
      <c r="J795" s="186"/>
      <c r="K795" s="110"/>
      <c r="L795" s="35"/>
      <c r="M795" s="172"/>
      <c r="N795" s="172"/>
      <c r="O795" s="35"/>
      <c r="P795" s="164"/>
      <c r="Q795" s="164"/>
      <c r="R795" s="164"/>
      <c r="S795" s="164"/>
      <c r="T795" s="164"/>
      <c r="U795" s="164"/>
      <c r="V795" s="35"/>
      <c r="W795" s="35"/>
      <c r="X795" s="35"/>
      <c r="Y795" s="35"/>
      <c r="Z795" s="35"/>
      <c r="AA795" s="35"/>
      <c r="AB795" s="35"/>
      <c r="AC795" s="35"/>
      <c r="AD795" s="35"/>
      <c r="AE795" s="35"/>
      <c r="AF795" s="35"/>
      <c r="AG795" s="35"/>
      <c r="AH795" s="35"/>
    </row>
    <row r="796">
      <c r="A796" s="35"/>
      <c r="B796" s="35"/>
      <c r="C796" s="35"/>
      <c r="D796" s="172"/>
      <c r="E796" s="21"/>
      <c r="F796" s="35"/>
      <c r="G796" s="35"/>
      <c r="H796" s="35"/>
      <c r="I796" s="35"/>
      <c r="J796" s="186"/>
      <c r="K796" s="110"/>
      <c r="L796" s="35"/>
      <c r="M796" s="172"/>
      <c r="N796" s="172"/>
      <c r="O796" s="35"/>
      <c r="P796" s="164"/>
      <c r="Q796" s="164"/>
      <c r="R796" s="164"/>
      <c r="S796" s="164"/>
      <c r="T796" s="164"/>
      <c r="U796" s="164"/>
      <c r="V796" s="35"/>
      <c r="W796" s="35"/>
      <c r="X796" s="35"/>
      <c r="Y796" s="35"/>
      <c r="Z796" s="35"/>
      <c r="AA796" s="35"/>
      <c r="AB796" s="35"/>
      <c r="AC796" s="35"/>
      <c r="AD796" s="35"/>
      <c r="AE796" s="35"/>
      <c r="AF796" s="35"/>
      <c r="AG796" s="35"/>
      <c r="AH796" s="35"/>
    </row>
    <row r="797">
      <c r="A797" s="35"/>
      <c r="B797" s="35"/>
      <c r="C797" s="35"/>
      <c r="D797" s="172"/>
      <c r="E797" s="21"/>
      <c r="F797" s="35"/>
      <c r="G797" s="35"/>
      <c r="H797" s="35"/>
      <c r="I797" s="35"/>
      <c r="J797" s="186"/>
      <c r="K797" s="110"/>
      <c r="L797" s="35"/>
      <c r="M797" s="172"/>
      <c r="N797" s="172"/>
      <c r="O797" s="35"/>
      <c r="P797" s="164"/>
      <c r="Q797" s="164"/>
      <c r="R797" s="164"/>
      <c r="S797" s="164"/>
      <c r="T797" s="164"/>
      <c r="U797" s="164"/>
      <c r="V797" s="35"/>
      <c r="W797" s="35"/>
      <c r="X797" s="35"/>
      <c r="Y797" s="35"/>
      <c r="Z797" s="35"/>
      <c r="AA797" s="35"/>
      <c r="AB797" s="35"/>
      <c r="AC797" s="35"/>
      <c r="AD797" s="35"/>
      <c r="AE797" s="35"/>
      <c r="AF797" s="35"/>
      <c r="AG797" s="35"/>
      <c r="AH797" s="35"/>
    </row>
    <row r="798">
      <c r="A798" s="35"/>
      <c r="B798" s="35"/>
      <c r="C798" s="35"/>
      <c r="D798" s="172"/>
      <c r="E798" s="21"/>
      <c r="F798" s="35"/>
      <c r="G798" s="35"/>
      <c r="H798" s="35"/>
      <c r="I798" s="35"/>
      <c r="J798" s="186"/>
      <c r="K798" s="110"/>
      <c r="L798" s="35"/>
      <c r="M798" s="172"/>
      <c r="N798" s="172"/>
      <c r="O798" s="35"/>
      <c r="P798" s="164"/>
      <c r="Q798" s="164"/>
      <c r="R798" s="164"/>
      <c r="S798" s="164"/>
      <c r="T798" s="164"/>
      <c r="U798" s="164"/>
      <c r="V798" s="35"/>
      <c r="W798" s="35"/>
      <c r="X798" s="35"/>
      <c r="Y798" s="35"/>
      <c r="Z798" s="35"/>
      <c r="AA798" s="35"/>
      <c r="AB798" s="35"/>
      <c r="AC798" s="35"/>
      <c r="AD798" s="35"/>
      <c r="AE798" s="35"/>
      <c r="AF798" s="35"/>
      <c r="AG798" s="35"/>
      <c r="AH798" s="35"/>
    </row>
    <row r="799">
      <c r="A799" s="35"/>
      <c r="B799" s="35"/>
      <c r="C799" s="35"/>
      <c r="D799" s="172"/>
      <c r="E799" s="21"/>
      <c r="F799" s="35"/>
      <c r="G799" s="35"/>
      <c r="H799" s="35"/>
      <c r="I799" s="35"/>
      <c r="J799" s="186"/>
      <c r="K799" s="110"/>
      <c r="L799" s="35"/>
      <c r="M799" s="172"/>
      <c r="N799" s="172"/>
      <c r="O799" s="35"/>
      <c r="P799" s="164"/>
      <c r="Q799" s="164"/>
      <c r="R799" s="164"/>
      <c r="S799" s="164"/>
      <c r="T799" s="164"/>
      <c r="U799" s="164"/>
      <c r="V799" s="35"/>
      <c r="W799" s="35"/>
      <c r="X799" s="35"/>
      <c r="Y799" s="35"/>
      <c r="Z799" s="35"/>
      <c r="AA799" s="35"/>
      <c r="AB799" s="35"/>
      <c r="AC799" s="35"/>
      <c r="AD799" s="35"/>
      <c r="AE799" s="35"/>
      <c r="AF799" s="35"/>
      <c r="AG799" s="35"/>
      <c r="AH799" s="35"/>
    </row>
    <row r="800">
      <c r="A800" s="35"/>
      <c r="B800" s="35"/>
      <c r="C800" s="35"/>
      <c r="D800" s="172"/>
      <c r="E800" s="21"/>
      <c r="F800" s="35"/>
      <c r="G800" s="35"/>
      <c r="H800" s="35"/>
      <c r="I800" s="35"/>
      <c r="J800" s="186"/>
      <c r="K800" s="110"/>
      <c r="L800" s="35"/>
      <c r="M800" s="172"/>
      <c r="N800" s="172"/>
      <c r="O800" s="35"/>
      <c r="P800" s="164"/>
      <c r="Q800" s="164"/>
      <c r="R800" s="164"/>
      <c r="S800" s="164"/>
      <c r="T800" s="164"/>
      <c r="U800" s="164"/>
      <c r="V800" s="35"/>
      <c r="W800" s="35"/>
      <c r="X800" s="35"/>
      <c r="Y800" s="35"/>
      <c r="Z800" s="35"/>
      <c r="AA800" s="35"/>
      <c r="AB800" s="35"/>
      <c r="AC800" s="35"/>
      <c r="AD800" s="35"/>
      <c r="AE800" s="35"/>
      <c r="AF800" s="35"/>
      <c r="AG800" s="35"/>
      <c r="AH800" s="35"/>
    </row>
    <row r="801">
      <c r="A801" s="35"/>
      <c r="B801" s="35"/>
      <c r="C801" s="35"/>
      <c r="D801" s="172"/>
      <c r="E801" s="21"/>
      <c r="F801" s="35"/>
      <c r="G801" s="35"/>
      <c r="H801" s="35"/>
      <c r="I801" s="35"/>
      <c r="J801" s="186"/>
      <c r="K801" s="110"/>
      <c r="L801" s="35"/>
      <c r="M801" s="172"/>
      <c r="N801" s="172"/>
      <c r="O801" s="35"/>
      <c r="P801" s="164"/>
      <c r="Q801" s="164"/>
      <c r="R801" s="164"/>
      <c r="S801" s="164"/>
      <c r="T801" s="164"/>
      <c r="U801" s="164"/>
      <c r="V801" s="35"/>
      <c r="W801" s="35"/>
      <c r="X801" s="35"/>
      <c r="Y801" s="35"/>
      <c r="Z801" s="35"/>
      <c r="AA801" s="35"/>
      <c r="AB801" s="35"/>
      <c r="AC801" s="35"/>
      <c r="AD801" s="35"/>
      <c r="AE801" s="35"/>
      <c r="AF801" s="35"/>
      <c r="AG801" s="35"/>
      <c r="AH801" s="35"/>
    </row>
    <row r="802">
      <c r="A802" s="35"/>
      <c r="B802" s="35"/>
      <c r="C802" s="35"/>
      <c r="D802" s="172"/>
      <c r="E802" s="21"/>
      <c r="F802" s="35"/>
      <c r="G802" s="35"/>
      <c r="H802" s="35"/>
      <c r="I802" s="35"/>
      <c r="J802" s="186"/>
      <c r="K802" s="110"/>
      <c r="L802" s="35"/>
      <c r="M802" s="172"/>
      <c r="N802" s="172"/>
      <c r="O802" s="35"/>
      <c r="P802" s="164"/>
      <c r="Q802" s="164"/>
      <c r="R802" s="164"/>
      <c r="S802" s="164"/>
      <c r="T802" s="164"/>
      <c r="U802" s="164"/>
      <c r="V802" s="35"/>
      <c r="W802" s="35"/>
      <c r="X802" s="35"/>
      <c r="Y802" s="35"/>
      <c r="Z802" s="35"/>
      <c r="AA802" s="35"/>
      <c r="AB802" s="35"/>
      <c r="AC802" s="35"/>
      <c r="AD802" s="35"/>
      <c r="AE802" s="35"/>
      <c r="AF802" s="35"/>
      <c r="AG802" s="35"/>
      <c r="AH802" s="35"/>
    </row>
    <row r="803">
      <c r="A803" s="35"/>
      <c r="B803" s="35"/>
      <c r="C803" s="35"/>
      <c r="D803" s="172"/>
      <c r="E803" s="21"/>
      <c r="F803" s="35"/>
      <c r="G803" s="35"/>
      <c r="H803" s="35"/>
      <c r="I803" s="35"/>
      <c r="J803" s="186"/>
      <c r="K803" s="110"/>
      <c r="L803" s="35"/>
      <c r="M803" s="172"/>
      <c r="N803" s="172"/>
      <c r="O803" s="35"/>
      <c r="P803" s="164"/>
      <c r="Q803" s="164"/>
      <c r="R803" s="164"/>
      <c r="S803" s="164"/>
      <c r="T803" s="164"/>
      <c r="U803" s="164"/>
      <c r="V803" s="35"/>
      <c r="W803" s="35"/>
      <c r="X803" s="35"/>
      <c r="Y803" s="35"/>
      <c r="Z803" s="35"/>
      <c r="AA803" s="35"/>
      <c r="AB803" s="35"/>
      <c r="AC803" s="35"/>
      <c r="AD803" s="35"/>
      <c r="AE803" s="35"/>
      <c r="AF803" s="35"/>
      <c r="AG803" s="35"/>
      <c r="AH803" s="35"/>
    </row>
    <row r="804">
      <c r="A804" s="35"/>
      <c r="B804" s="35"/>
      <c r="C804" s="35"/>
      <c r="D804" s="172"/>
      <c r="E804" s="21"/>
      <c r="F804" s="35"/>
      <c r="G804" s="35"/>
      <c r="H804" s="35"/>
      <c r="I804" s="35"/>
      <c r="J804" s="186"/>
      <c r="K804" s="110"/>
      <c r="L804" s="35"/>
      <c r="M804" s="172"/>
      <c r="N804" s="172"/>
      <c r="O804" s="35"/>
      <c r="P804" s="164"/>
      <c r="Q804" s="164"/>
      <c r="R804" s="164"/>
      <c r="S804" s="164"/>
      <c r="T804" s="164"/>
      <c r="U804" s="164"/>
      <c r="V804" s="35"/>
      <c r="W804" s="35"/>
      <c r="X804" s="35"/>
      <c r="Y804" s="35"/>
      <c r="Z804" s="35"/>
      <c r="AA804" s="35"/>
      <c r="AB804" s="35"/>
      <c r="AC804" s="35"/>
      <c r="AD804" s="35"/>
      <c r="AE804" s="35"/>
      <c r="AF804" s="35"/>
      <c r="AG804" s="35"/>
      <c r="AH804" s="35"/>
    </row>
    <row r="805">
      <c r="A805" s="35"/>
      <c r="B805" s="35"/>
      <c r="C805" s="35"/>
      <c r="D805" s="172"/>
      <c r="E805" s="21"/>
      <c r="F805" s="35"/>
      <c r="G805" s="35"/>
      <c r="H805" s="35"/>
      <c r="I805" s="35"/>
      <c r="J805" s="186"/>
      <c r="K805" s="110"/>
      <c r="L805" s="35"/>
      <c r="M805" s="172"/>
      <c r="N805" s="172"/>
      <c r="O805" s="35"/>
      <c r="P805" s="164"/>
      <c r="Q805" s="164"/>
      <c r="R805" s="164"/>
      <c r="S805" s="164"/>
      <c r="T805" s="164"/>
      <c r="U805" s="164"/>
      <c r="V805" s="35"/>
      <c r="W805" s="35"/>
      <c r="X805" s="35"/>
      <c r="Y805" s="35"/>
      <c r="Z805" s="35"/>
      <c r="AA805" s="35"/>
      <c r="AB805" s="35"/>
      <c r="AC805" s="35"/>
      <c r="AD805" s="35"/>
      <c r="AE805" s="35"/>
      <c r="AF805" s="35"/>
      <c r="AG805" s="35"/>
      <c r="AH805" s="35"/>
    </row>
    <row r="806">
      <c r="A806" s="35"/>
      <c r="B806" s="35"/>
      <c r="C806" s="35"/>
      <c r="D806" s="172"/>
      <c r="E806" s="21"/>
      <c r="F806" s="35"/>
      <c r="G806" s="35"/>
      <c r="H806" s="35"/>
      <c r="I806" s="35"/>
      <c r="J806" s="186"/>
      <c r="K806" s="110"/>
      <c r="L806" s="35"/>
      <c r="M806" s="172"/>
      <c r="N806" s="172"/>
      <c r="O806" s="35"/>
      <c r="P806" s="164"/>
      <c r="Q806" s="164"/>
      <c r="R806" s="164"/>
      <c r="S806" s="164"/>
      <c r="T806" s="164"/>
      <c r="U806" s="164"/>
      <c r="V806" s="35"/>
      <c r="W806" s="35"/>
      <c r="X806" s="35"/>
      <c r="Y806" s="35"/>
      <c r="Z806" s="35"/>
      <c r="AA806" s="35"/>
      <c r="AB806" s="35"/>
      <c r="AC806" s="35"/>
      <c r="AD806" s="35"/>
      <c r="AE806" s="35"/>
      <c r="AF806" s="35"/>
      <c r="AG806" s="35"/>
      <c r="AH806" s="35"/>
    </row>
    <row r="807">
      <c r="A807" s="35"/>
      <c r="B807" s="35"/>
      <c r="C807" s="35"/>
      <c r="D807" s="172"/>
      <c r="E807" s="21"/>
      <c r="F807" s="35"/>
      <c r="G807" s="35"/>
      <c r="H807" s="35"/>
      <c r="I807" s="35"/>
      <c r="J807" s="186"/>
      <c r="K807" s="110"/>
      <c r="L807" s="35"/>
      <c r="M807" s="172"/>
      <c r="N807" s="172"/>
      <c r="O807" s="35"/>
      <c r="P807" s="164"/>
      <c r="Q807" s="164"/>
      <c r="R807" s="164"/>
      <c r="S807" s="164"/>
      <c r="T807" s="164"/>
      <c r="U807" s="164"/>
      <c r="V807" s="35"/>
      <c r="W807" s="35"/>
      <c r="X807" s="35"/>
      <c r="Y807" s="35"/>
      <c r="Z807" s="35"/>
      <c r="AA807" s="35"/>
      <c r="AB807" s="35"/>
      <c r="AC807" s="35"/>
      <c r="AD807" s="35"/>
      <c r="AE807" s="35"/>
      <c r="AF807" s="35"/>
      <c r="AG807" s="35"/>
      <c r="AH807" s="35"/>
    </row>
    <row r="808">
      <c r="A808" s="35"/>
      <c r="B808" s="35"/>
      <c r="C808" s="35"/>
      <c r="D808" s="172"/>
      <c r="E808" s="21"/>
      <c r="F808" s="35"/>
      <c r="G808" s="35"/>
      <c r="H808" s="35"/>
      <c r="I808" s="35"/>
      <c r="J808" s="186"/>
      <c r="K808" s="110"/>
      <c r="L808" s="35"/>
      <c r="M808" s="172"/>
      <c r="N808" s="172"/>
      <c r="O808" s="35"/>
      <c r="P808" s="164"/>
      <c r="Q808" s="164"/>
      <c r="R808" s="164"/>
      <c r="S808" s="164"/>
      <c r="T808" s="164"/>
      <c r="U808" s="164"/>
      <c r="V808" s="35"/>
      <c r="W808" s="35"/>
      <c r="X808" s="35"/>
      <c r="Y808" s="35"/>
      <c r="Z808" s="35"/>
      <c r="AA808" s="35"/>
      <c r="AB808" s="35"/>
      <c r="AC808" s="35"/>
      <c r="AD808" s="35"/>
      <c r="AE808" s="35"/>
      <c r="AF808" s="35"/>
      <c r="AG808" s="35"/>
      <c r="AH808" s="35"/>
    </row>
    <row r="809">
      <c r="A809" s="35"/>
      <c r="B809" s="35"/>
      <c r="C809" s="35"/>
      <c r="D809" s="172"/>
      <c r="E809" s="21"/>
      <c r="F809" s="35"/>
      <c r="G809" s="35"/>
      <c r="H809" s="35"/>
      <c r="I809" s="35"/>
      <c r="J809" s="186"/>
      <c r="K809" s="110"/>
      <c r="L809" s="35"/>
      <c r="M809" s="172"/>
      <c r="N809" s="172"/>
      <c r="O809" s="35"/>
      <c r="P809" s="164"/>
      <c r="Q809" s="164"/>
      <c r="R809" s="164"/>
      <c r="S809" s="164"/>
      <c r="T809" s="164"/>
      <c r="U809" s="164"/>
      <c r="V809" s="35"/>
      <c r="W809" s="35"/>
      <c r="X809" s="35"/>
      <c r="Y809" s="35"/>
      <c r="Z809" s="35"/>
      <c r="AA809" s="35"/>
      <c r="AB809" s="35"/>
      <c r="AC809" s="35"/>
      <c r="AD809" s="35"/>
      <c r="AE809" s="35"/>
      <c r="AF809" s="35"/>
      <c r="AG809" s="35"/>
      <c r="AH809" s="35"/>
    </row>
    <row r="810">
      <c r="A810" s="35"/>
      <c r="B810" s="35"/>
      <c r="C810" s="35"/>
      <c r="D810" s="172"/>
      <c r="E810" s="21"/>
      <c r="F810" s="35"/>
      <c r="G810" s="35"/>
      <c r="H810" s="35"/>
      <c r="I810" s="35"/>
      <c r="J810" s="186"/>
      <c r="K810" s="110"/>
      <c r="L810" s="35"/>
      <c r="M810" s="172"/>
      <c r="N810" s="172"/>
      <c r="O810" s="35"/>
      <c r="P810" s="164"/>
      <c r="Q810" s="164"/>
      <c r="R810" s="164"/>
      <c r="S810" s="164"/>
      <c r="T810" s="164"/>
      <c r="U810" s="164"/>
      <c r="V810" s="35"/>
      <c r="W810" s="35"/>
      <c r="X810" s="35"/>
      <c r="Y810" s="35"/>
      <c r="Z810" s="35"/>
      <c r="AA810" s="35"/>
      <c r="AB810" s="35"/>
      <c r="AC810" s="35"/>
      <c r="AD810" s="35"/>
      <c r="AE810" s="35"/>
      <c r="AF810" s="35"/>
      <c r="AG810" s="35"/>
      <c r="AH810" s="35"/>
    </row>
    <row r="811">
      <c r="A811" s="35"/>
      <c r="B811" s="35"/>
      <c r="C811" s="35"/>
      <c r="D811" s="172"/>
      <c r="E811" s="21"/>
      <c r="F811" s="35"/>
      <c r="G811" s="35"/>
      <c r="H811" s="35"/>
      <c r="I811" s="35"/>
      <c r="J811" s="186"/>
      <c r="K811" s="110"/>
      <c r="L811" s="35"/>
      <c r="M811" s="172"/>
      <c r="N811" s="172"/>
      <c r="O811" s="35"/>
      <c r="P811" s="164"/>
      <c r="Q811" s="164"/>
      <c r="R811" s="164"/>
      <c r="S811" s="164"/>
      <c r="T811" s="164"/>
      <c r="U811" s="164"/>
      <c r="V811" s="35"/>
      <c r="W811" s="35"/>
      <c r="X811" s="35"/>
      <c r="Y811" s="35"/>
      <c r="Z811" s="35"/>
      <c r="AA811" s="35"/>
      <c r="AB811" s="35"/>
      <c r="AC811" s="35"/>
      <c r="AD811" s="35"/>
      <c r="AE811" s="35"/>
      <c r="AF811" s="35"/>
      <c r="AG811" s="35"/>
      <c r="AH811" s="35"/>
    </row>
    <row r="812">
      <c r="A812" s="35"/>
      <c r="B812" s="35"/>
      <c r="C812" s="35"/>
      <c r="D812" s="172"/>
      <c r="E812" s="21"/>
      <c r="F812" s="35"/>
      <c r="G812" s="35"/>
      <c r="H812" s="35"/>
      <c r="I812" s="35"/>
      <c r="J812" s="186"/>
      <c r="K812" s="110"/>
      <c r="L812" s="35"/>
      <c r="M812" s="172"/>
      <c r="N812" s="172"/>
      <c r="O812" s="35"/>
      <c r="P812" s="164"/>
      <c r="Q812" s="164"/>
      <c r="R812" s="164"/>
      <c r="S812" s="164"/>
      <c r="T812" s="164"/>
      <c r="U812" s="164"/>
      <c r="V812" s="35"/>
      <c r="W812" s="35"/>
      <c r="X812" s="35"/>
      <c r="Y812" s="35"/>
      <c r="Z812" s="35"/>
      <c r="AA812" s="35"/>
      <c r="AB812" s="35"/>
      <c r="AC812" s="35"/>
      <c r="AD812" s="35"/>
      <c r="AE812" s="35"/>
      <c r="AF812" s="35"/>
      <c r="AG812" s="35"/>
      <c r="AH812" s="35"/>
    </row>
    <row r="813">
      <c r="A813" s="35"/>
      <c r="B813" s="35"/>
      <c r="C813" s="35"/>
      <c r="D813" s="172"/>
      <c r="E813" s="21"/>
      <c r="F813" s="35"/>
      <c r="G813" s="35"/>
      <c r="H813" s="35"/>
      <c r="I813" s="35"/>
      <c r="J813" s="186"/>
      <c r="K813" s="110"/>
      <c r="L813" s="35"/>
      <c r="M813" s="172"/>
      <c r="N813" s="172"/>
      <c r="O813" s="35"/>
      <c r="P813" s="164"/>
      <c r="Q813" s="164"/>
      <c r="R813" s="164"/>
      <c r="S813" s="164"/>
      <c r="T813" s="164"/>
      <c r="U813" s="164"/>
      <c r="V813" s="35"/>
      <c r="W813" s="35"/>
      <c r="X813" s="35"/>
      <c r="Y813" s="35"/>
      <c r="Z813" s="35"/>
      <c r="AA813" s="35"/>
      <c r="AB813" s="35"/>
      <c r="AC813" s="35"/>
      <c r="AD813" s="35"/>
      <c r="AE813" s="35"/>
      <c r="AF813" s="35"/>
      <c r="AG813" s="35"/>
      <c r="AH813" s="35"/>
    </row>
    <row r="814">
      <c r="A814" s="35"/>
      <c r="B814" s="35"/>
      <c r="C814" s="35"/>
      <c r="D814" s="172"/>
      <c r="E814" s="21"/>
      <c r="F814" s="35"/>
      <c r="G814" s="35"/>
      <c r="H814" s="35"/>
      <c r="I814" s="35"/>
      <c r="J814" s="186"/>
      <c r="K814" s="110"/>
      <c r="L814" s="35"/>
      <c r="M814" s="172"/>
      <c r="N814" s="172"/>
      <c r="O814" s="35"/>
      <c r="P814" s="164"/>
      <c r="Q814" s="164"/>
      <c r="R814" s="164"/>
      <c r="S814" s="164"/>
      <c r="T814" s="164"/>
      <c r="U814" s="164"/>
      <c r="V814" s="35"/>
      <c r="W814" s="35"/>
      <c r="X814" s="35"/>
      <c r="Y814" s="35"/>
      <c r="Z814" s="35"/>
      <c r="AA814" s="35"/>
      <c r="AB814" s="35"/>
      <c r="AC814" s="35"/>
      <c r="AD814" s="35"/>
      <c r="AE814" s="35"/>
      <c r="AF814" s="35"/>
      <c r="AG814" s="35"/>
      <c r="AH814" s="35"/>
    </row>
    <row r="815">
      <c r="A815" s="35"/>
      <c r="B815" s="35"/>
      <c r="C815" s="35"/>
      <c r="D815" s="172"/>
      <c r="E815" s="21"/>
      <c r="F815" s="35"/>
      <c r="G815" s="35"/>
      <c r="H815" s="35"/>
      <c r="I815" s="35"/>
      <c r="J815" s="186"/>
      <c r="K815" s="110"/>
      <c r="L815" s="35"/>
      <c r="M815" s="172"/>
      <c r="N815" s="172"/>
      <c r="O815" s="35"/>
      <c r="P815" s="164"/>
      <c r="Q815" s="164"/>
      <c r="R815" s="164"/>
      <c r="S815" s="164"/>
      <c r="T815" s="164"/>
      <c r="U815" s="164"/>
      <c r="V815" s="35"/>
      <c r="W815" s="35"/>
      <c r="X815" s="35"/>
      <c r="Y815" s="35"/>
      <c r="Z815" s="35"/>
      <c r="AA815" s="35"/>
      <c r="AB815" s="35"/>
      <c r="AC815" s="35"/>
      <c r="AD815" s="35"/>
      <c r="AE815" s="35"/>
      <c r="AF815" s="35"/>
      <c r="AG815" s="35"/>
      <c r="AH815" s="35"/>
    </row>
    <row r="816">
      <c r="A816" s="35"/>
      <c r="B816" s="35"/>
      <c r="C816" s="35"/>
      <c r="D816" s="172"/>
      <c r="E816" s="21"/>
      <c r="F816" s="35"/>
      <c r="G816" s="35"/>
      <c r="H816" s="35"/>
      <c r="I816" s="35"/>
      <c r="J816" s="186"/>
      <c r="K816" s="110"/>
      <c r="L816" s="35"/>
      <c r="M816" s="172"/>
      <c r="N816" s="172"/>
      <c r="O816" s="35"/>
      <c r="P816" s="164"/>
      <c r="Q816" s="164"/>
      <c r="R816" s="164"/>
      <c r="S816" s="164"/>
      <c r="T816" s="164"/>
      <c r="U816" s="164"/>
      <c r="V816" s="35"/>
      <c r="W816" s="35"/>
      <c r="X816" s="35"/>
      <c r="Y816" s="35"/>
      <c r="Z816" s="35"/>
      <c r="AA816" s="35"/>
      <c r="AB816" s="35"/>
      <c r="AC816" s="35"/>
      <c r="AD816" s="35"/>
      <c r="AE816" s="35"/>
      <c r="AF816" s="35"/>
      <c r="AG816" s="35"/>
      <c r="AH816" s="35"/>
    </row>
    <row r="817">
      <c r="A817" s="35"/>
      <c r="B817" s="35"/>
      <c r="C817" s="35"/>
      <c r="D817" s="172"/>
      <c r="E817" s="21"/>
      <c r="F817" s="35"/>
      <c r="G817" s="35"/>
      <c r="H817" s="35"/>
      <c r="I817" s="35"/>
      <c r="J817" s="186"/>
      <c r="K817" s="110"/>
      <c r="L817" s="35"/>
      <c r="M817" s="172"/>
      <c r="N817" s="172"/>
      <c r="O817" s="35"/>
      <c r="P817" s="164"/>
      <c r="Q817" s="164"/>
      <c r="R817" s="164"/>
      <c r="S817" s="164"/>
      <c r="T817" s="164"/>
      <c r="U817" s="164"/>
      <c r="V817" s="35"/>
      <c r="W817" s="35"/>
      <c r="X817" s="35"/>
      <c r="Y817" s="35"/>
      <c r="Z817" s="35"/>
      <c r="AA817" s="35"/>
      <c r="AB817" s="35"/>
      <c r="AC817" s="35"/>
      <c r="AD817" s="35"/>
      <c r="AE817" s="35"/>
      <c r="AF817" s="35"/>
      <c r="AG817" s="35"/>
      <c r="AH817" s="35"/>
    </row>
    <row r="818">
      <c r="A818" s="35"/>
      <c r="B818" s="35"/>
      <c r="C818" s="35"/>
      <c r="D818" s="172"/>
      <c r="E818" s="21"/>
      <c r="F818" s="35"/>
      <c r="G818" s="35"/>
      <c r="H818" s="35"/>
      <c r="I818" s="35"/>
      <c r="J818" s="186"/>
      <c r="K818" s="110"/>
      <c r="L818" s="35"/>
      <c r="M818" s="172"/>
      <c r="N818" s="172"/>
      <c r="O818" s="35"/>
      <c r="P818" s="164"/>
      <c r="Q818" s="164"/>
      <c r="R818" s="164"/>
      <c r="S818" s="164"/>
      <c r="T818" s="164"/>
      <c r="U818" s="164"/>
      <c r="V818" s="35"/>
      <c r="W818" s="35"/>
      <c r="X818" s="35"/>
      <c r="Y818" s="35"/>
      <c r="Z818" s="35"/>
      <c r="AA818" s="35"/>
      <c r="AB818" s="35"/>
      <c r="AC818" s="35"/>
      <c r="AD818" s="35"/>
      <c r="AE818" s="35"/>
      <c r="AF818" s="35"/>
      <c r="AG818" s="35"/>
      <c r="AH818" s="35"/>
    </row>
    <row r="819">
      <c r="A819" s="35"/>
      <c r="B819" s="35"/>
      <c r="C819" s="35"/>
      <c r="D819" s="172"/>
      <c r="E819" s="21"/>
      <c r="F819" s="35"/>
      <c r="G819" s="35"/>
      <c r="H819" s="35"/>
      <c r="I819" s="35"/>
      <c r="J819" s="186"/>
      <c r="K819" s="110"/>
      <c r="L819" s="35"/>
      <c r="M819" s="172"/>
      <c r="N819" s="172"/>
      <c r="O819" s="35"/>
      <c r="P819" s="164"/>
      <c r="Q819" s="164"/>
      <c r="R819" s="164"/>
      <c r="S819" s="164"/>
      <c r="T819" s="164"/>
      <c r="U819" s="164"/>
      <c r="V819" s="35"/>
      <c r="W819" s="35"/>
      <c r="X819" s="35"/>
      <c r="Y819" s="35"/>
      <c r="Z819" s="35"/>
      <c r="AA819" s="35"/>
      <c r="AB819" s="35"/>
      <c r="AC819" s="35"/>
      <c r="AD819" s="35"/>
      <c r="AE819" s="35"/>
      <c r="AF819" s="35"/>
      <c r="AG819" s="35"/>
      <c r="AH819" s="35"/>
    </row>
    <row r="820">
      <c r="A820" s="35"/>
      <c r="B820" s="35"/>
      <c r="C820" s="35"/>
      <c r="D820" s="172"/>
      <c r="E820" s="21"/>
      <c r="F820" s="35"/>
      <c r="G820" s="35"/>
      <c r="H820" s="35"/>
      <c r="I820" s="35"/>
      <c r="J820" s="186"/>
      <c r="K820" s="110"/>
      <c r="L820" s="35"/>
      <c r="M820" s="172"/>
      <c r="N820" s="172"/>
      <c r="O820" s="35"/>
      <c r="P820" s="164"/>
      <c r="Q820" s="164"/>
      <c r="R820" s="164"/>
      <c r="S820" s="164"/>
      <c r="T820" s="164"/>
      <c r="U820" s="164"/>
      <c r="V820" s="35"/>
      <c r="W820" s="35"/>
      <c r="X820" s="35"/>
      <c r="Y820" s="35"/>
      <c r="Z820" s="35"/>
      <c r="AA820" s="35"/>
      <c r="AB820" s="35"/>
      <c r="AC820" s="35"/>
      <c r="AD820" s="35"/>
      <c r="AE820" s="35"/>
      <c r="AF820" s="35"/>
      <c r="AG820" s="35"/>
      <c r="AH820" s="35"/>
    </row>
    <row r="821">
      <c r="A821" s="35"/>
      <c r="B821" s="35"/>
      <c r="C821" s="35"/>
      <c r="D821" s="172"/>
      <c r="E821" s="21"/>
      <c r="F821" s="35"/>
      <c r="G821" s="35"/>
      <c r="H821" s="35"/>
      <c r="I821" s="35"/>
      <c r="J821" s="186"/>
      <c r="K821" s="110"/>
      <c r="L821" s="35"/>
      <c r="M821" s="172"/>
      <c r="N821" s="172"/>
      <c r="O821" s="35"/>
      <c r="P821" s="164"/>
      <c r="Q821" s="164"/>
      <c r="R821" s="164"/>
      <c r="S821" s="164"/>
      <c r="T821" s="164"/>
      <c r="U821" s="164"/>
      <c r="V821" s="35"/>
      <c r="W821" s="35"/>
      <c r="X821" s="35"/>
      <c r="Y821" s="35"/>
      <c r="Z821" s="35"/>
      <c r="AA821" s="35"/>
      <c r="AB821" s="35"/>
      <c r="AC821" s="35"/>
      <c r="AD821" s="35"/>
      <c r="AE821" s="35"/>
      <c r="AF821" s="35"/>
      <c r="AG821" s="35"/>
      <c r="AH821" s="35"/>
    </row>
    <row r="822">
      <c r="A822" s="35"/>
      <c r="B822" s="35"/>
      <c r="C822" s="35"/>
      <c r="D822" s="172"/>
      <c r="E822" s="21"/>
      <c r="F822" s="35"/>
      <c r="G822" s="35"/>
      <c r="H822" s="35"/>
      <c r="I822" s="35"/>
      <c r="J822" s="186"/>
      <c r="K822" s="110"/>
      <c r="L822" s="35"/>
      <c r="M822" s="172"/>
      <c r="N822" s="172"/>
      <c r="O822" s="35"/>
      <c r="P822" s="164"/>
      <c r="Q822" s="164"/>
      <c r="R822" s="164"/>
      <c r="S822" s="164"/>
      <c r="T822" s="164"/>
      <c r="U822" s="164"/>
      <c r="V822" s="35"/>
      <c r="W822" s="35"/>
      <c r="X822" s="35"/>
      <c r="Y822" s="35"/>
      <c r="Z822" s="35"/>
      <c r="AA822" s="35"/>
      <c r="AB822" s="35"/>
      <c r="AC822" s="35"/>
      <c r="AD822" s="35"/>
      <c r="AE822" s="35"/>
      <c r="AF822" s="35"/>
      <c r="AG822" s="35"/>
      <c r="AH822" s="35"/>
    </row>
    <row r="823">
      <c r="A823" s="35"/>
      <c r="B823" s="35"/>
      <c r="C823" s="35"/>
      <c r="D823" s="172"/>
      <c r="E823" s="21"/>
      <c r="F823" s="35"/>
      <c r="G823" s="35"/>
      <c r="H823" s="35"/>
      <c r="I823" s="35"/>
      <c r="J823" s="186"/>
      <c r="K823" s="110"/>
      <c r="L823" s="35"/>
      <c r="M823" s="172"/>
      <c r="N823" s="172"/>
      <c r="O823" s="35"/>
      <c r="P823" s="164"/>
      <c r="Q823" s="164"/>
      <c r="R823" s="164"/>
      <c r="S823" s="164"/>
      <c r="T823" s="164"/>
      <c r="U823" s="164"/>
      <c r="V823" s="35"/>
      <c r="W823" s="35"/>
      <c r="X823" s="35"/>
      <c r="Y823" s="35"/>
      <c r="Z823" s="35"/>
      <c r="AA823" s="35"/>
      <c r="AB823" s="35"/>
      <c r="AC823" s="35"/>
      <c r="AD823" s="35"/>
      <c r="AE823" s="35"/>
      <c r="AF823" s="35"/>
      <c r="AG823" s="35"/>
      <c r="AH823" s="35"/>
    </row>
    <row r="824">
      <c r="A824" s="35"/>
      <c r="B824" s="35"/>
      <c r="C824" s="35"/>
      <c r="D824" s="172"/>
      <c r="E824" s="21"/>
      <c r="F824" s="35"/>
      <c r="G824" s="35"/>
      <c r="H824" s="35"/>
      <c r="I824" s="35"/>
      <c r="J824" s="186"/>
      <c r="K824" s="110"/>
      <c r="L824" s="35"/>
      <c r="M824" s="172"/>
      <c r="N824" s="172"/>
      <c r="O824" s="35"/>
      <c r="P824" s="164"/>
      <c r="Q824" s="164"/>
      <c r="R824" s="164"/>
      <c r="S824" s="164"/>
      <c r="T824" s="164"/>
      <c r="U824" s="164"/>
      <c r="V824" s="35"/>
      <c r="W824" s="35"/>
      <c r="X824" s="35"/>
      <c r="Y824" s="35"/>
      <c r="Z824" s="35"/>
      <c r="AA824" s="35"/>
      <c r="AB824" s="35"/>
      <c r="AC824" s="35"/>
      <c r="AD824" s="35"/>
      <c r="AE824" s="35"/>
      <c r="AF824" s="35"/>
      <c r="AG824" s="35"/>
      <c r="AH824" s="35"/>
    </row>
    <row r="825">
      <c r="A825" s="35"/>
      <c r="B825" s="35"/>
      <c r="C825" s="35"/>
      <c r="D825" s="172"/>
      <c r="E825" s="21"/>
      <c r="F825" s="35"/>
      <c r="G825" s="35"/>
      <c r="H825" s="35"/>
      <c r="I825" s="35"/>
      <c r="J825" s="186"/>
      <c r="K825" s="110"/>
      <c r="L825" s="35"/>
      <c r="M825" s="172"/>
      <c r="N825" s="172"/>
      <c r="O825" s="35"/>
      <c r="P825" s="164"/>
      <c r="Q825" s="164"/>
      <c r="R825" s="164"/>
      <c r="S825" s="164"/>
      <c r="T825" s="164"/>
      <c r="U825" s="164"/>
      <c r="V825" s="35"/>
      <c r="W825" s="35"/>
      <c r="X825" s="35"/>
      <c r="Y825" s="35"/>
      <c r="Z825" s="35"/>
      <c r="AA825" s="35"/>
      <c r="AB825" s="35"/>
      <c r="AC825" s="35"/>
      <c r="AD825" s="35"/>
      <c r="AE825" s="35"/>
      <c r="AF825" s="35"/>
      <c r="AG825" s="35"/>
      <c r="AH825" s="35"/>
    </row>
    <row r="826">
      <c r="A826" s="35"/>
      <c r="B826" s="35"/>
      <c r="C826" s="35"/>
      <c r="D826" s="172"/>
      <c r="E826" s="21"/>
      <c r="F826" s="35"/>
      <c r="G826" s="35"/>
      <c r="H826" s="35"/>
      <c r="I826" s="35"/>
      <c r="J826" s="186"/>
      <c r="K826" s="110"/>
      <c r="L826" s="35"/>
      <c r="M826" s="172"/>
      <c r="N826" s="172"/>
      <c r="O826" s="35"/>
      <c r="P826" s="164"/>
      <c r="Q826" s="164"/>
      <c r="R826" s="164"/>
      <c r="S826" s="164"/>
      <c r="T826" s="164"/>
      <c r="U826" s="164"/>
      <c r="V826" s="35"/>
      <c r="W826" s="35"/>
      <c r="X826" s="35"/>
      <c r="Y826" s="35"/>
      <c r="Z826" s="35"/>
      <c r="AA826" s="35"/>
      <c r="AB826" s="35"/>
      <c r="AC826" s="35"/>
      <c r="AD826" s="35"/>
      <c r="AE826" s="35"/>
      <c r="AF826" s="35"/>
      <c r="AG826" s="35"/>
      <c r="AH826" s="35"/>
    </row>
    <row r="827">
      <c r="A827" s="35"/>
      <c r="B827" s="35"/>
      <c r="C827" s="35"/>
      <c r="D827" s="172"/>
      <c r="E827" s="21"/>
      <c r="F827" s="35"/>
      <c r="G827" s="35"/>
      <c r="H827" s="35"/>
      <c r="I827" s="35"/>
      <c r="J827" s="186"/>
      <c r="K827" s="110"/>
      <c r="L827" s="35"/>
      <c r="M827" s="172"/>
      <c r="N827" s="172"/>
      <c r="O827" s="35"/>
      <c r="P827" s="164"/>
      <c r="Q827" s="164"/>
      <c r="R827" s="164"/>
      <c r="S827" s="164"/>
      <c r="T827" s="164"/>
      <c r="U827" s="164"/>
      <c r="V827" s="35"/>
      <c r="W827" s="35"/>
      <c r="X827" s="35"/>
      <c r="Y827" s="35"/>
      <c r="Z827" s="35"/>
      <c r="AA827" s="35"/>
      <c r="AB827" s="35"/>
      <c r="AC827" s="35"/>
      <c r="AD827" s="35"/>
      <c r="AE827" s="35"/>
      <c r="AF827" s="35"/>
      <c r="AG827" s="35"/>
      <c r="AH827" s="35"/>
    </row>
    <row r="828">
      <c r="A828" s="35"/>
      <c r="B828" s="35"/>
      <c r="C828" s="35"/>
      <c r="D828" s="172"/>
      <c r="E828" s="21"/>
      <c r="F828" s="35"/>
      <c r="G828" s="35"/>
      <c r="H828" s="35"/>
      <c r="I828" s="35"/>
      <c r="J828" s="186"/>
      <c r="K828" s="110"/>
      <c r="L828" s="35"/>
      <c r="M828" s="172"/>
      <c r="N828" s="172"/>
      <c r="O828" s="35"/>
      <c r="P828" s="164"/>
      <c r="Q828" s="164"/>
      <c r="R828" s="164"/>
      <c r="S828" s="164"/>
      <c r="T828" s="164"/>
      <c r="U828" s="164"/>
      <c r="V828" s="35"/>
      <c r="W828" s="35"/>
      <c r="X828" s="35"/>
      <c r="Y828" s="35"/>
      <c r="Z828" s="35"/>
      <c r="AA828" s="35"/>
      <c r="AB828" s="35"/>
      <c r="AC828" s="35"/>
      <c r="AD828" s="35"/>
      <c r="AE828" s="35"/>
      <c r="AF828" s="35"/>
      <c r="AG828" s="35"/>
      <c r="AH828" s="35"/>
    </row>
    <row r="829">
      <c r="A829" s="35"/>
      <c r="B829" s="35"/>
      <c r="C829" s="35"/>
      <c r="D829" s="172"/>
      <c r="E829" s="21"/>
      <c r="F829" s="35"/>
      <c r="G829" s="35"/>
      <c r="H829" s="35"/>
      <c r="I829" s="35"/>
      <c r="J829" s="186"/>
      <c r="K829" s="110"/>
      <c r="L829" s="35"/>
      <c r="M829" s="172"/>
      <c r="N829" s="172"/>
      <c r="O829" s="35"/>
      <c r="P829" s="164"/>
      <c r="Q829" s="164"/>
      <c r="R829" s="164"/>
      <c r="S829" s="164"/>
      <c r="T829" s="164"/>
      <c r="U829" s="164"/>
      <c r="V829" s="35"/>
      <c r="W829" s="35"/>
      <c r="X829" s="35"/>
      <c r="Y829" s="35"/>
      <c r="Z829" s="35"/>
      <c r="AA829" s="35"/>
      <c r="AB829" s="35"/>
      <c r="AC829" s="35"/>
      <c r="AD829" s="35"/>
      <c r="AE829" s="35"/>
      <c r="AF829" s="35"/>
      <c r="AG829" s="35"/>
      <c r="AH829" s="35"/>
    </row>
    <row r="830">
      <c r="A830" s="35"/>
      <c r="B830" s="35"/>
      <c r="C830" s="35"/>
      <c r="D830" s="172"/>
      <c r="E830" s="21"/>
      <c r="F830" s="35"/>
      <c r="G830" s="35"/>
      <c r="H830" s="35"/>
      <c r="I830" s="35"/>
      <c r="J830" s="186"/>
      <c r="K830" s="110"/>
      <c r="L830" s="35"/>
      <c r="M830" s="172"/>
      <c r="N830" s="172"/>
      <c r="O830" s="35"/>
      <c r="P830" s="164"/>
      <c r="Q830" s="164"/>
      <c r="R830" s="164"/>
      <c r="S830" s="164"/>
      <c r="T830" s="164"/>
      <c r="U830" s="164"/>
      <c r="V830" s="35"/>
      <c r="W830" s="35"/>
      <c r="X830" s="35"/>
      <c r="Y830" s="35"/>
      <c r="Z830" s="35"/>
      <c r="AA830" s="35"/>
      <c r="AB830" s="35"/>
      <c r="AC830" s="35"/>
      <c r="AD830" s="35"/>
      <c r="AE830" s="35"/>
      <c r="AF830" s="35"/>
      <c r="AG830" s="35"/>
      <c r="AH830" s="35"/>
    </row>
    <row r="831">
      <c r="A831" s="35"/>
      <c r="B831" s="35"/>
      <c r="C831" s="35"/>
      <c r="D831" s="172"/>
      <c r="E831" s="21"/>
      <c r="F831" s="35"/>
      <c r="G831" s="35"/>
      <c r="H831" s="35"/>
      <c r="I831" s="35"/>
      <c r="J831" s="186"/>
      <c r="K831" s="110"/>
      <c r="L831" s="35"/>
      <c r="M831" s="172"/>
      <c r="N831" s="172"/>
      <c r="O831" s="35"/>
      <c r="P831" s="164"/>
      <c r="Q831" s="164"/>
      <c r="R831" s="164"/>
      <c r="S831" s="164"/>
      <c r="T831" s="164"/>
      <c r="U831" s="164"/>
      <c r="V831" s="35"/>
      <c r="W831" s="35"/>
      <c r="X831" s="35"/>
      <c r="Y831" s="35"/>
      <c r="Z831" s="35"/>
      <c r="AA831" s="35"/>
      <c r="AB831" s="35"/>
      <c r="AC831" s="35"/>
      <c r="AD831" s="35"/>
      <c r="AE831" s="35"/>
      <c r="AF831" s="35"/>
      <c r="AG831" s="35"/>
      <c r="AH831" s="35"/>
    </row>
    <row r="832">
      <c r="A832" s="35"/>
      <c r="B832" s="35"/>
      <c r="C832" s="35"/>
      <c r="D832" s="172"/>
      <c r="E832" s="21"/>
      <c r="F832" s="35"/>
      <c r="G832" s="35"/>
      <c r="H832" s="35"/>
      <c r="I832" s="35"/>
      <c r="J832" s="186"/>
      <c r="K832" s="110"/>
      <c r="L832" s="35"/>
      <c r="M832" s="172"/>
      <c r="N832" s="172"/>
      <c r="O832" s="35"/>
      <c r="P832" s="164"/>
      <c r="Q832" s="164"/>
      <c r="R832" s="164"/>
      <c r="S832" s="164"/>
      <c r="T832" s="164"/>
      <c r="U832" s="164"/>
      <c r="V832" s="35"/>
      <c r="W832" s="35"/>
      <c r="X832" s="35"/>
      <c r="Y832" s="35"/>
      <c r="Z832" s="35"/>
      <c r="AA832" s="35"/>
      <c r="AB832" s="35"/>
      <c r="AC832" s="35"/>
      <c r="AD832" s="35"/>
      <c r="AE832" s="35"/>
      <c r="AF832" s="35"/>
      <c r="AG832" s="35"/>
      <c r="AH832" s="35"/>
    </row>
    <row r="833">
      <c r="A833" s="35"/>
      <c r="B833" s="35"/>
      <c r="C833" s="35"/>
      <c r="D833" s="172"/>
      <c r="E833" s="21"/>
      <c r="F833" s="35"/>
      <c r="G833" s="35"/>
      <c r="H833" s="35"/>
      <c r="I833" s="35"/>
      <c r="J833" s="186"/>
      <c r="K833" s="110"/>
      <c r="L833" s="35"/>
      <c r="M833" s="172"/>
      <c r="N833" s="172"/>
      <c r="O833" s="35"/>
      <c r="P833" s="164"/>
      <c r="Q833" s="164"/>
      <c r="R833" s="164"/>
      <c r="S833" s="164"/>
      <c r="T833" s="164"/>
      <c r="U833" s="164"/>
      <c r="V833" s="35"/>
      <c r="W833" s="35"/>
      <c r="X833" s="35"/>
      <c r="Y833" s="35"/>
      <c r="Z833" s="35"/>
      <c r="AA833" s="35"/>
      <c r="AB833" s="35"/>
      <c r="AC833" s="35"/>
      <c r="AD833" s="35"/>
      <c r="AE833" s="35"/>
      <c r="AF833" s="35"/>
      <c r="AG833" s="35"/>
      <c r="AH833" s="35"/>
    </row>
    <row r="834">
      <c r="A834" s="35"/>
      <c r="B834" s="35"/>
      <c r="C834" s="35"/>
      <c r="D834" s="172"/>
      <c r="E834" s="21"/>
      <c r="F834" s="35"/>
      <c r="G834" s="35"/>
      <c r="H834" s="35"/>
      <c r="I834" s="35"/>
      <c r="J834" s="186"/>
      <c r="K834" s="110"/>
      <c r="L834" s="35"/>
      <c r="M834" s="172"/>
      <c r="N834" s="172"/>
      <c r="O834" s="35"/>
      <c r="P834" s="164"/>
      <c r="Q834" s="164"/>
      <c r="R834" s="164"/>
      <c r="S834" s="164"/>
      <c r="T834" s="164"/>
      <c r="U834" s="164"/>
      <c r="V834" s="35"/>
      <c r="W834" s="35"/>
      <c r="X834" s="35"/>
      <c r="Y834" s="35"/>
      <c r="Z834" s="35"/>
      <c r="AA834" s="35"/>
      <c r="AB834" s="35"/>
      <c r="AC834" s="35"/>
      <c r="AD834" s="35"/>
      <c r="AE834" s="35"/>
      <c r="AF834" s="35"/>
      <c r="AG834" s="35"/>
      <c r="AH834" s="35"/>
    </row>
    <row r="835">
      <c r="A835" s="35"/>
      <c r="B835" s="35"/>
      <c r="C835" s="35"/>
      <c r="D835" s="172"/>
      <c r="E835" s="21"/>
      <c r="F835" s="35"/>
      <c r="G835" s="35"/>
      <c r="H835" s="35"/>
      <c r="I835" s="35"/>
      <c r="J835" s="186"/>
      <c r="K835" s="110"/>
      <c r="L835" s="35"/>
      <c r="M835" s="172"/>
      <c r="N835" s="172"/>
      <c r="O835" s="35"/>
      <c r="P835" s="164"/>
      <c r="Q835" s="164"/>
      <c r="R835" s="164"/>
      <c r="S835" s="164"/>
      <c r="T835" s="164"/>
      <c r="U835" s="164"/>
      <c r="V835" s="35"/>
      <c r="W835" s="35"/>
      <c r="X835" s="35"/>
      <c r="Y835" s="35"/>
      <c r="Z835" s="35"/>
      <c r="AA835" s="35"/>
      <c r="AB835" s="35"/>
      <c r="AC835" s="35"/>
      <c r="AD835" s="35"/>
      <c r="AE835" s="35"/>
      <c r="AF835" s="35"/>
      <c r="AG835" s="35"/>
      <c r="AH835" s="35"/>
    </row>
    <row r="836">
      <c r="A836" s="35"/>
      <c r="B836" s="35"/>
      <c r="C836" s="35"/>
      <c r="D836" s="172"/>
      <c r="E836" s="21"/>
      <c r="F836" s="35"/>
      <c r="G836" s="35"/>
      <c r="H836" s="35"/>
      <c r="I836" s="35"/>
      <c r="J836" s="186"/>
      <c r="K836" s="110"/>
      <c r="L836" s="35"/>
      <c r="M836" s="172"/>
      <c r="N836" s="172"/>
      <c r="O836" s="35"/>
      <c r="P836" s="164"/>
      <c r="Q836" s="164"/>
      <c r="R836" s="164"/>
      <c r="S836" s="164"/>
      <c r="T836" s="164"/>
      <c r="U836" s="164"/>
      <c r="V836" s="35"/>
      <c r="W836" s="35"/>
      <c r="X836" s="35"/>
      <c r="Y836" s="35"/>
      <c r="Z836" s="35"/>
      <c r="AA836" s="35"/>
      <c r="AB836" s="35"/>
      <c r="AC836" s="35"/>
      <c r="AD836" s="35"/>
      <c r="AE836" s="35"/>
      <c r="AF836" s="35"/>
      <c r="AG836" s="35"/>
      <c r="AH836" s="35"/>
    </row>
    <row r="837">
      <c r="A837" s="35"/>
      <c r="B837" s="35"/>
      <c r="C837" s="35"/>
      <c r="D837" s="172"/>
      <c r="E837" s="21"/>
      <c r="F837" s="35"/>
      <c r="G837" s="35"/>
      <c r="H837" s="35"/>
      <c r="I837" s="35"/>
      <c r="J837" s="186"/>
      <c r="K837" s="110"/>
      <c r="L837" s="35"/>
      <c r="M837" s="172"/>
      <c r="N837" s="172"/>
      <c r="O837" s="35"/>
      <c r="P837" s="164"/>
      <c r="Q837" s="164"/>
      <c r="R837" s="164"/>
      <c r="S837" s="164"/>
      <c r="T837" s="164"/>
      <c r="U837" s="164"/>
      <c r="V837" s="35"/>
      <c r="W837" s="35"/>
      <c r="X837" s="35"/>
      <c r="Y837" s="35"/>
      <c r="Z837" s="35"/>
      <c r="AA837" s="35"/>
      <c r="AB837" s="35"/>
      <c r="AC837" s="35"/>
      <c r="AD837" s="35"/>
      <c r="AE837" s="35"/>
      <c r="AF837" s="35"/>
      <c r="AG837" s="35"/>
      <c r="AH837" s="35"/>
    </row>
    <row r="838">
      <c r="A838" s="35"/>
      <c r="B838" s="35"/>
      <c r="C838" s="35"/>
      <c r="D838" s="172"/>
      <c r="E838" s="21"/>
      <c r="F838" s="35"/>
      <c r="G838" s="35"/>
      <c r="H838" s="35"/>
      <c r="I838" s="35"/>
      <c r="J838" s="186"/>
      <c r="K838" s="110"/>
      <c r="L838" s="35"/>
      <c r="M838" s="172"/>
      <c r="N838" s="172"/>
      <c r="O838" s="35"/>
      <c r="P838" s="164"/>
      <c r="Q838" s="164"/>
      <c r="R838" s="164"/>
      <c r="S838" s="164"/>
      <c r="T838" s="164"/>
      <c r="U838" s="164"/>
      <c r="V838" s="35"/>
      <c r="W838" s="35"/>
      <c r="X838" s="35"/>
      <c r="Y838" s="35"/>
      <c r="Z838" s="35"/>
      <c r="AA838" s="35"/>
      <c r="AB838" s="35"/>
      <c r="AC838" s="35"/>
      <c r="AD838" s="35"/>
      <c r="AE838" s="35"/>
      <c r="AF838" s="35"/>
      <c r="AG838" s="35"/>
      <c r="AH838" s="35"/>
    </row>
    <row r="839">
      <c r="A839" s="35"/>
      <c r="B839" s="35"/>
      <c r="C839" s="35"/>
      <c r="D839" s="172"/>
      <c r="E839" s="21"/>
      <c r="F839" s="35"/>
      <c r="G839" s="35"/>
      <c r="H839" s="35"/>
      <c r="I839" s="35"/>
      <c r="J839" s="186"/>
      <c r="K839" s="110"/>
      <c r="L839" s="35"/>
      <c r="M839" s="172"/>
      <c r="N839" s="172"/>
      <c r="O839" s="35"/>
      <c r="P839" s="164"/>
      <c r="Q839" s="164"/>
      <c r="R839" s="164"/>
      <c r="S839" s="164"/>
      <c r="T839" s="164"/>
      <c r="U839" s="164"/>
      <c r="V839" s="35"/>
      <c r="W839" s="35"/>
      <c r="X839" s="35"/>
      <c r="Y839" s="35"/>
      <c r="Z839" s="35"/>
      <c r="AA839" s="35"/>
      <c r="AB839" s="35"/>
      <c r="AC839" s="35"/>
      <c r="AD839" s="35"/>
      <c r="AE839" s="35"/>
      <c r="AF839" s="35"/>
      <c r="AG839" s="35"/>
      <c r="AH839" s="35"/>
    </row>
    <row r="840">
      <c r="A840" s="35"/>
      <c r="B840" s="35"/>
      <c r="C840" s="35"/>
      <c r="D840" s="172"/>
      <c r="E840" s="21"/>
      <c r="F840" s="35"/>
      <c r="G840" s="35"/>
      <c r="H840" s="35"/>
      <c r="I840" s="35"/>
      <c r="J840" s="186"/>
      <c r="K840" s="110"/>
      <c r="L840" s="35"/>
      <c r="M840" s="172"/>
      <c r="N840" s="172"/>
      <c r="O840" s="35"/>
      <c r="P840" s="164"/>
      <c r="Q840" s="164"/>
      <c r="R840" s="164"/>
      <c r="S840" s="164"/>
      <c r="T840" s="164"/>
      <c r="U840" s="164"/>
      <c r="V840" s="35"/>
      <c r="W840" s="35"/>
      <c r="X840" s="35"/>
      <c r="Y840" s="35"/>
      <c r="Z840" s="35"/>
      <c r="AA840" s="35"/>
      <c r="AB840" s="35"/>
      <c r="AC840" s="35"/>
      <c r="AD840" s="35"/>
      <c r="AE840" s="35"/>
      <c r="AF840" s="35"/>
      <c r="AG840" s="35"/>
      <c r="AH840" s="35"/>
    </row>
    <row r="841">
      <c r="A841" s="35"/>
      <c r="B841" s="35"/>
      <c r="C841" s="35"/>
      <c r="D841" s="172"/>
      <c r="E841" s="21"/>
      <c r="F841" s="35"/>
      <c r="G841" s="35"/>
      <c r="H841" s="35"/>
      <c r="I841" s="35"/>
      <c r="J841" s="186"/>
      <c r="K841" s="110"/>
      <c r="L841" s="35"/>
      <c r="M841" s="172"/>
      <c r="N841" s="172"/>
      <c r="O841" s="35"/>
      <c r="P841" s="164"/>
      <c r="Q841" s="164"/>
      <c r="R841" s="164"/>
      <c r="S841" s="164"/>
      <c r="T841" s="164"/>
      <c r="U841" s="164"/>
      <c r="V841" s="35"/>
      <c r="W841" s="35"/>
      <c r="X841" s="35"/>
      <c r="Y841" s="35"/>
      <c r="Z841" s="35"/>
      <c r="AA841" s="35"/>
      <c r="AB841" s="35"/>
      <c r="AC841" s="35"/>
      <c r="AD841" s="35"/>
      <c r="AE841" s="35"/>
      <c r="AF841" s="35"/>
      <c r="AG841" s="35"/>
      <c r="AH841" s="35"/>
    </row>
    <row r="842">
      <c r="A842" s="35"/>
      <c r="B842" s="35"/>
      <c r="C842" s="35"/>
      <c r="D842" s="172"/>
      <c r="E842" s="21"/>
      <c r="F842" s="35"/>
      <c r="G842" s="35"/>
      <c r="H842" s="35"/>
      <c r="I842" s="35"/>
      <c r="J842" s="186"/>
      <c r="K842" s="110"/>
      <c r="L842" s="35"/>
      <c r="M842" s="172"/>
      <c r="N842" s="172"/>
      <c r="O842" s="35"/>
      <c r="P842" s="164"/>
      <c r="Q842" s="164"/>
      <c r="R842" s="164"/>
      <c r="S842" s="164"/>
      <c r="T842" s="164"/>
      <c r="U842" s="164"/>
      <c r="V842" s="35"/>
      <c r="W842" s="35"/>
      <c r="X842" s="35"/>
      <c r="Y842" s="35"/>
      <c r="Z842" s="35"/>
      <c r="AA842" s="35"/>
      <c r="AB842" s="35"/>
      <c r="AC842" s="35"/>
      <c r="AD842" s="35"/>
      <c r="AE842" s="35"/>
      <c r="AF842" s="35"/>
      <c r="AG842" s="35"/>
      <c r="AH842" s="35"/>
    </row>
    <row r="843">
      <c r="A843" s="35"/>
      <c r="B843" s="35"/>
      <c r="C843" s="35"/>
      <c r="D843" s="172"/>
      <c r="E843" s="21"/>
      <c r="F843" s="35"/>
      <c r="G843" s="35"/>
      <c r="H843" s="35"/>
      <c r="I843" s="35"/>
      <c r="J843" s="186"/>
      <c r="K843" s="110"/>
      <c r="L843" s="35"/>
      <c r="M843" s="172"/>
      <c r="N843" s="172"/>
      <c r="O843" s="35"/>
      <c r="P843" s="164"/>
      <c r="Q843" s="164"/>
      <c r="R843" s="164"/>
      <c r="S843" s="164"/>
      <c r="T843" s="164"/>
      <c r="U843" s="164"/>
      <c r="V843" s="35"/>
      <c r="W843" s="35"/>
      <c r="X843" s="35"/>
      <c r="Y843" s="35"/>
      <c r="Z843" s="35"/>
      <c r="AA843" s="35"/>
      <c r="AB843" s="35"/>
      <c r="AC843" s="35"/>
      <c r="AD843" s="35"/>
      <c r="AE843" s="35"/>
      <c r="AF843" s="35"/>
      <c r="AG843" s="35"/>
      <c r="AH843" s="35"/>
    </row>
    <row r="844">
      <c r="A844" s="35"/>
      <c r="B844" s="35"/>
      <c r="C844" s="35"/>
      <c r="D844" s="172"/>
      <c r="E844" s="21"/>
      <c r="F844" s="35"/>
      <c r="G844" s="35"/>
      <c r="H844" s="35"/>
      <c r="I844" s="35"/>
      <c r="J844" s="186"/>
      <c r="K844" s="110"/>
      <c r="L844" s="35"/>
      <c r="M844" s="172"/>
      <c r="N844" s="172"/>
      <c r="O844" s="35"/>
      <c r="P844" s="164"/>
      <c r="Q844" s="164"/>
      <c r="R844" s="164"/>
      <c r="S844" s="164"/>
      <c r="T844" s="164"/>
      <c r="U844" s="164"/>
      <c r="V844" s="35"/>
      <c r="W844" s="35"/>
      <c r="X844" s="35"/>
      <c r="Y844" s="35"/>
      <c r="Z844" s="35"/>
      <c r="AA844" s="35"/>
      <c r="AB844" s="35"/>
      <c r="AC844" s="35"/>
      <c r="AD844" s="35"/>
      <c r="AE844" s="35"/>
      <c r="AF844" s="35"/>
      <c r="AG844" s="35"/>
      <c r="AH844" s="35"/>
    </row>
    <row r="845">
      <c r="A845" s="35"/>
      <c r="B845" s="35"/>
      <c r="C845" s="35"/>
      <c r="D845" s="172"/>
      <c r="E845" s="21"/>
      <c r="F845" s="35"/>
      <c r="G845" s="35"/>
      <c r="H845" s="35"/>
      <c r="I845" s="35"/>
      <c r="J845" s="186"/>
      <c r="K845" s="110"/>
      <c r="L845" s="35"/>
      <c r="M845" s="172"/>
      <c r="N845" s="172"/>
      <c r="O845" s="35"/>
      <c r="P845" s="164"/>
      <c r="Q845" s="164"/>
      <c r="R845" s="164"/>
      <c r="S845" s="164"/>
      <c r="T845" s="164"/>
      <c r="U845" s="164"/>
      <c r="V845" s="35"/>
      <c r="W845" s="35"/>
      <c r="X845" s="35"/>
      <c r="Y845" s="35"/>
      <c r="Z845" s="35"/>
      <c r="AA845" s="35"/>
      <c r="AB845" s="35"/>
      <c r="AC845" s="35"/>
      <c r="AD845" s="35"/>
      <c r="AE845" s="35"/>
      <c r="AF845" s="35"/>
      <c r="AG845" s="35"/>
      <c r="AH845" s="35"/>
    </row>
    <row r="846">
      <c r="A846" s="35"/>
      <c r="B846" s="35"/>
      <c r="C846" s="35"/>
      <c r="D846" s="172"/>
      <c r="E846" s="21"/>
      <c r="F846" s="35"/>
      <c r="G846" s="35"/>
      <c r="H846" s="35"/>
      <c r="I846" s="35"/>
      <c r="J846" s="186"/>
      <c r="K846" s="110"/>
      <c r="L846" s="35"/>
      <c r="M846" s="172"/>
      <c r="N846" s="172"/>
      <c r="O846" s="35"/>
      <c r="P846" s="164"/>
      <c r="Q846" s="164"/>
      <c r="R846" s="164"/>
      <c r="S846" s="164"/>
      <c r="T846" s="164"/>
      <c r="U846" s="164"/>
      <c r="V846" s="35"/>
      <c r="W846" s="35"/>
      <c r="X846" s="35"/>
      <c r="Y846" s="35"/>
      <c r="Z846" s="35"/>
      <c r="AA846" s="35"/>
      <c r="AB846" s="35"/>
      <c r="AC846" s="35"/>
      <c r="AD846" s="35"/>
      <c r="AE846" s="35"/>
      <c r="AF846" s="35"/>
      <c r="AG846" s="35"/>
      <c r="AH846" s="35"/>
    </row>
    <row r="847">
      <c r="A847" s="35"/>
      <c r="B847" s="35"/>
      <c r="C847" s="35"/>
      <c r="D847" s="172"/>
      <c r="E847" s="21"/>
      <c r="F847" s="35"/>
      <c r="G847" s="35"/>
      <c r="H847" s="35"/>
      <c r="I847" s="35"/>
      <c r="J847" s="186"/>
      <c r="K847" s="110"/>
      <c r="L847" s="35"/>
      <c r="M847" s="172"/>
      <c r="N847" s="172"/>
      <c r="O847" s="35"/>
      <c r="P847" s="164"/>
      <c r="Q847" s="164"/>
      <c r="R847" s="164"/>
      <c r="S847" s="164"/>
      <c r="T847" s="164"/>
      <c r="U847" s="164"/>
      <c r="V847" s="35"/>
      <c r="W847" s="35"/>
      <c r="X847" s="35"/>
      <c r="Y847" s="35"/>
      <c r="Z847" s="35"/>
      <c r="AA847" s="35"/>
      <c r="AB847" s="35"/>
      <c r="AC847" s="35"/>
      <c r="AD847" s="35"/>
      <c r="AE847" s="35"/>
      <c r="AF847" s="35"/>
      <c r="AG847" s="35"/>
      <c r="AH847" s="35"/>
    </row>
    <row r="848">
      <c r="A848" s="35"/>
      <c r="B848" s="35"/>
      <c r="C848" s="35"/>
      <c r="D848" s="172"/>
      <c r="E848" s="21"/>
      <c r="F848" s="35"/>
      <c r="G848" s="35"/>
      <c r="H848" s="35"/>
      <c r="I848" s="35"/>
      <c r="J848" s="186"/>
      <c r="K848" s="110"/>
      <c r="L848" s="35"/>
      <c r="M848" s="172"/>
      <c r="N848" s="172"/>
      <c r="O848" s="35"/>
      <c r="P848" s="164"/>
      <c r="Q848" s="164"/>
      <c r="R848" s="164"/>
      <c r="S848" s="164"/>
      <c r="T848" s="164"/>
      <c r="U848" s="164"/>
      <c r="V848" s="35"/>
      <c r="W848" s="35"/>
      <c r="X848" s="35"/>
      <c r="Y848" s="35"/>
      <c r="Z848" s="35"/>
      <c r="AA848" s="35"/>
      <c r="AB848" s="35"/>
      <c r="AC848" s="35"/>
      <c r="AD848" s="35"/>
      <c r="AE848" s="35"/>
      <c r="AF848" s="35"/>
      <c r="AG848" s="35"/>
      <c r="AH848" s="35"/>
    </row>
    <row r="849">
      <c r="A849" s="35"/>
      <c r="B849" s="35"/>
      <c r="C849" s="35"/>
      <c r="D849" s="172"/>
      <c r="E849" s="21"/>
      <c r="F849" s="35"/>
      <c r="G849" s="35"/>
      <c r="H849" s="35"/>
      <c r="I849" s="35"/>
      <c r="J849" s="186"/>
      <c r="K849" s="110"/>
      <c r="L849" s="35"/>
      <c r="M849" s="172"/>
      <c r="N849" s="172"/>
      <c r="O849" s="35"/>
      <c r="P849" s="164"/>
      <c r="Q849" s="164"/>
      <c r="R849" s="164"/>
      <c r="S849" s="164"/>
      <c r="T849" s="164"/>
      <c r="U849" s="164"/>
      <c r="V849" s="35"/>
      <c r="W849" s="35"/>
      <c r="X849" s="35"/>
      <c r="Y849" s="35"/>
      <c r="Z849" s="35"/>
      <c r="AA849" s="35"/>
      <c r="AB849" s="35"/>
      <c r="AC849" s="35"/>
      <c r="AD849" s="35"/>
      <c r="AE849" s="35"/>
      <c r="AF849" s="35"/>
      <c r="AG849" s="35"/>
      <c r="AH849" s="35"/>
    </row>
    <row r="850">
      <c r="A850" s="35"/>
      <c r="B850" s="35"/>
      <c r="C850" s="35"/>
      <c r="D850" s="172"/>
      <c r="E850" s="21"/>
      <c r="F850" s="35"/>
      <c r="G850" s="35"/>
      <c r="H850" s="35"/>
      <c r="I850" s="35"/>
      <c r="J850" s="186"/>
      <c r="K850" s="110"/>
      <c r="L850" s="35"/>
      <c r="M850" s="172"/>
      <c r="N850" s="172"/>
      <c r="O850" s="35"/>
      <c r="P850" s="164"/>
      <c r="Q850" s="164"/>
      <c r="R850" s="164"/>
      <c r="S850" s="164"/>
      <c r="T850" s="164"/>
      <c r="U850" s="164"/>
      <c r="V850" s="35"/>
      <c r="W850" s="35"/>
      <c r="X850" s="35"/>
      <c r="Y850" s="35"/>
      <c r="Z850" s="35"/>
      <c r="AA850" s="35"/>
      <c r="AB850" s="35"/>
      <c r="AC850" s="35"/>
      <c r="AD850" s="35"/>
      <c r="AE850" s="35"/>
      <c r="AF850" s="35"/>
      <c r="AG850" s="35"/>
      <c r="AH850" s="35"/>
    </row>
    <row r="851">
      <c r="A851" s="35"/>
      <c r="B851" s="35"/>
      <c r="C851" s="35"/>
      <c r="D851" s="172"/>
      <c r="E851" s="21"/>
      <c r="F851" s="35"/>
      <c r="G851" s="35"/>
      <c r="H851" s="35"/>
      <c r="I851" s="35"/>
      <c r="J851" s="186"/>
      <c r="K851" s="110"/>
      <c r="L851" s="35"/>
      <c r="M851" s="172"/>
      <c r="N851" s="172"/>
      <c r="O851" s="35"/>
      <c r="P851" s="164"/>
      <c r="Q851" s="164"/>
      <c r="R851" s="164"/>
      <c r="S851" s="164"/>
      <c r="T851" s="164"/>
      <c r="U851" s="164"/>
      <c r="V851" s="35"/>
      <c r="W851" s="35"/>
      <c r="X851" s="35"/>
      <c r="Y851" s="35"/>
      <c r="Z851" s="35"/>
      <c r="AA851" s="35"/>
      <c r="AB851" s="35"/>
      <c r="AC851" s="35"/>
      <c r="AD851" s="35"/>
      <c r="AE851" s="35"/>
      <c r="AF851" s="35"/>
      <c r="AG851" s="35"/>
      <c r="AH851" s="35"/>
    </row>
    <row r="852">
      <c r="A852" s="35"/>
      <c r="B852" s="35"/>
      <c r="C852" s="35"/>
      <c r="D852" s="172"/>
      <c r="E852" s="21"/>
      <c r="F852" s="35"/>
      <c r="G852" s="35"/>
      <c r="H852" s="35"/>
      <c r="I852" s="35"/>
      <c r="J852" s="186"/>
      <c r="K852" s="110"/>
      <c r="L852" s="35"/>
      <c r="M852" s="172"/>
      <c r="N852" s="172"/>
      <c r="O852" s="35"/>
      <c r="P852" s="164"/>
      <c r="Q852" s="164"/>
      <c r="R852" s="164"/>
      <c r="S852" s="164"/>
      <c r="T852" s="164"/>
      <c r="U852" s="164"/>
      <c r="V852" s="35"/>
      <c r="W852" s="35"/>
      <c r="X852" s="35"/>
      <c r="Y852" s="35"/>
      <c r="Z852" s="35"/>
      <c r="AA852" s="35"/>
      <c r="AB852" s="35"/>
      <c r="AC852" s="35"/>
      <c r="AD852" s="35"/>
      <c r="AE852" s="35"/>
      <c r="AF852" s="35"/>
      <c r="AG852" s="35"/>
      <c r="AH852" s="35"/>
    </row>
    <row r="853">
      <c r="A853" s="35"/>
      <c r="B853" s="35"/>
      <c r="C853" s="35"/>
      <c r="D853" s="172"/>
      <c r="E853" s="21"/>
      <c r="F853" s="35"/>
      <c r="G853" s="35"/>
      <c r="H853" s="35"/>
      <c r="I853" s="35"/>
      <c r="J853" s="186"/>
      <c r="K853" s="110"/>
      <c r="L853" s="35"/>
      <c r="M853" s="172"/>
      <c r="N853" s="172"/>
      <c r="O853" s="35"/>
      <c r="P853" s="164"/>
      <c r="Q853" s="164"/>
      <c r="R853" s="164"/>
      <c r="S853" s="164"/>
      <c r="T853" s="164"/>
      <c r="U853" s="164"/>
      <c r="V853" s="35"/>
      <c r="W853" s="35"/>
      <c r="X853" s="35"/>
      <c r="Y853" s="35"/>
      <c r="Z853" s="35"/>
      <c r="AA853" s="35"/>
      <c r="AB853" s="35"/>
      <c r="AC853" s="35"/>
      <c r="AD853" s="35"/>
      <c r="AE853" s="35"/>
      <c r="AF853" s="35"/>
      <c r="AG853" s="35"/>
      <c r="AH853" s="35"/>
    </row>
    <row r="854">
      <c r="A854" s="35"/>
      <c r="B854" s="35"/>
      <c r="C854" s="35"/>
      <c r="D854" s="172"/>
      <c r="E854" s="21"/>
      <c r="F854" s="35"/>
      <c r="G854" s="35"/>
      <c r="H854" s="35"/>
      <c r="I854" s="35"/>
      <c r="J854" s="186"/>
      <c r="K854" s="110"/>
      <c r="L854" s="35"/>
      <c r="M854" s="172"/>
      <c r="N854" s="172"/>
      <c r="O854" s="35"/>
      <c r="P854" s="164"/>
      <c r="Q854" s="164"/>
      <c r="R854" s="164"/>
      <c r="S854" s="164"/>
      <c r="T854" s="164"/>
      <c r="U854" s="164"/>
      <c r="V854" s="35"/>
      <c r="W854" s="35"/>
      <c r="X854" s="35"/>
      <c r="Y854" s="35"/>
      <c r="Z854" s="35"/>
      <c r="AA854" s="35"/>
      <c r="AB854" s="35"/>
      <c r="AC854" s="35"/>
      <c r="AD854" s="35"/>
      <c r="AE854" s="35"/>
      <c r="AF854" s="35"/>
      <c r="AG854" s="35"/>
      <c r="AH854" s="35"/>
    </row>
    <row r="855">
      <c r="A855" s="35"/>
      <c r="B855" s="35"/>
      <c r="C855" s="35"/>
      <c r="D855" s="172"/>
      <c r="E855" s="21"/>
      <c r="F855" s="35"/>
      <c r="G855" s="35"/>
      <c r="H855" s="35"/>
      <c r="I855" s="35"/>
      <c r="J855" s="186"/>
      <c r="K855" s="110"/>
      <c r="L855" s="35"/>
      <c r="M855" s="172"/>
      <c r="N855" s="172"/>
      <c r="O855" s="35"/>
      <c r="P855" s="164"/>
      <c r="Q855" s="164"/>
      <c r="R855" s="164"/>
      <c r="S855" s="164"/>
      <c r="T855" s="164"/>
      <c r="U855" s="164"/>
      <c r="V855" s="35"/>
      <c r="W855" s="35"/>
      <c r="X855" s="35"/>
      <c r="Y855" s="35"/>
      <c r="Z855" s="35"/>
      <c r="AA855" s="35"/>
      <c r="AB855" s="35"/>
      <c r="AC855" s="35"/>
      <c r="AD855" s="35"/>
      <c r="AE855" s="35"/>
      <c r="AF855" s="35"/>
      <c r="AG855" s="35"/>
      <c r="AH855" s="35"/>
    </row>
    <row r="856">
      <c r="A856" s="35"/>
      <c r="B856" s="35"/>
      <c r="C856" s="35"/>
      <c r="D856" s="172"/>
      <c r="E856" s="21"/>
      <c r="F856" s="35"/>
      <c r="G856" s="35"/>
      <c r="H856" s="35"/>
      <c r="I856" s="35"/>
      <c r="J856" s="186"/>
      <c r="K856" s="110"/>
      <c r="L856" s="35"/>
      <c r="M856" s="172"/>
      <c r="N856" s="172"/>
      <c r="O856" s="35"/>
      <c r="P856" s="164"/>
      <c r="Q856" s="164"/>
      <c r="R856" s="164"/>
      <c r="S856" s="164"/>
      <c r="T856" s="164"/>
      <c r="U856" s="164"/>
      <c r="V856" s="35"/>
      <c r="W856" s="35"/>
      <c r="X856" s="35"/>
      <c r="Y856" s="35"/>
      <c r="Z856" s="35"/>
      <c r="AA856" s="35"/>
      <c r="AB856" s="35"/>
      <c r="AC856" s="35"/>
      <c r="AD856" s="35"/>
      <c r="AE856" s="35"/>
      <c r="AF856" s="35"/>
      <c r="AG856" s="35"/>
      <c r="AH856" s="35"/>
    </row>
    <row r="857">
      <c r="A857" s="35"/>
      <c r="B857" s="35"/>
      <c r="C857" s="35"/>
      <c r="D857" s="172"/>
      <c r="E857" s="21"/>
      <c r="F857" s="35"/>
      <c r="G857" s="35"/>
      <c r="H857" s="35"/>
      <c r="I857" s="35"/>
      <c r="J857" s="186"/>
      <c r="K857" s="110"/>
      <c r="L857" s="35"/>
      <c r="M857" s="172"/>
      <c r="N857" s="172"/>
      <c r="O857" s="35"/>
      <c r="P857" s="164"/>
      <c r="Q857" s="164"/>
      <c r="R857" s="164"/>
      <c r="S857" s="164"/>
      <c r="T857" s="164"/>
      <c r="U857" s="164"/>
      <c r="V857" s="35"/>
      <c r="W857" s="35"/>
      <c r="X857" s="35"/>
      <c r="Y857" s="35"/>
      <c r="Z857" s="35"/>
      <c r="AA857" s="35"/>
      <c r="AB857" s="35"/>
      <c r="AC857" s="35"/>
      <c r="AD857" s="35"/>
      <c r="AE857" s="35"/>
      <c r="AF857" s="35"/>
      <c r="AG857" s="35"/>
      <c r="AH857" s="35"/>
    </row>
    <row r="858">
      <c r="A858" s="35"/>
      <c r="B858" s="35"/>
      <c r="C858" s="35"/>
      <c r="D858" s="172"/>
      <c r="E858" s="21"/>
      <c r="F858" s="35"/>
      <c r="G858" s="35"/>
      <c r="H858" s="35"/>
      <c r="I858" s="35"/>
      <c r="J858" s="186"/>
      <c r="K858" s="110"/>
      <c r="L858" s="35"/>
      <c r="M858" s="172"/>
      <c r="N858" s="172"/>
      <c r="O858" s="35"/>
      <c r="P858" s="164"/>
      <c r="Q858" s="164"/>
      <c r="R858" s="164"/>
      <c r="S858" s="164"/>
      <c r="T858" s="164"/>
      <c r="U858" s="164"/>
      <c r="V858" s="35"/>
      <c r="W858" s="35"/>
      <c r="X858" s="35"/>
      <c r="Y858" s="35"/>
      <c r="Z858" s="35"/>
      <c r="AA858" s="35"/>
      <c r="AB858" s="35"/>
      <c r="AC858" s="35"/>
      <c r="AD858" s="35"/>
      <c r="AE858" s="35"/>
      <c r="AF858" s="35"/>
      <c r="AG858" s="35"/>
      <c r="AH858" s="35"/>
    </row>
    <row r="859">
      <c r="A859" s="35"/>
      <c r="B859" s="35"/>
      <c r="C859" s="35"/>
      <c r="D859" s="172"/>
      <c r="E859" s="21"/>
      <c r="F859" s="35"/>
      <c r="G859" s="35"/>
      <c r="H859" s="35"/>
      <c r="I859" s="35"/>
      <c r="J859" s="186"/>
      <c r="K859" s="110"/>
      <c r="L859" s="35"/>
      <c r="M859" s="172"/>
      <c r="N859" s="172"/>
      <c r="O859" s="35"/>
      <c r="P859" s="164"/>
      <c r="Q859" s="164"/>
      <c r="R859" s="164"/>
      <c r="S859" s="164"/>
      <c r="T859" s="164"/>
      <c r="U859" s="164"/>
      <c r="V859" s="35"/>
      <c r="W859" s="35"/>
      <c r="X859" s="35"/>
      <c r="Y859" s="35"/>
      <c r="Z859" s="35"/>
      <c r="AA859" s="35"/>
      <c r="AB859" s="35"/>
      <c r="AC859" s="35"/>
      <c r="AD859" s="35"/>
      <c r="AE859" s="35"/>
      <c r="AF859" s="35"/>
      <c r="AG859" s="35"/>
      <c r="AH859" s="35"/>
    </row>
    <row r="860">
      <c r="A860" s="35"/>
      <c r="B860" s="35"/>
      <c r="C860" s="35"/>
      <c r="D860" s="172"/>
      <c r="E860" s="21"/>
      <c r="F860" s="35"/>
      <c r="G860" s="35"/>
      <c r="H860" s="35"/>
      <c r="I860" s="35"/>
      <c r="J860" s="186"/>
      <c r="K860" s="110"/>
      <c r="L860" s="35"/>
      <c r="M860" s="172"/>
      <c r="N860" s="172"/>
      <c r="O860" s="35"/>
      <c r="P860" s="164"/>
      <c r="Q860" s="164"/>
      <c r="R860" s="164"/>
      <c r="S860" s="164"/>
      <c r="T860" s="164"/>
      <c r="U860" s="164"/>
      <c r="V860" s="35"/>
      <c r="W860" s="35"/>
      <c r="X860" s="35"/>
      <c r="Y860" s="35"/>
      <c r="Z860" s="35"/>
      <c r="AA860" s="35"/>
      <c r="AB860" s="35"/>
      <c r="AC860" s="35"/>
      <c r="AD860" s="35"/>
      <c r="AE860" s="35"/>
      <c r="AF860" s="35"/>
      <c r="AG860" s="35"/>
      <c r="AH860" s="35"/>
    </row>
    <row r="861">
      <c r="A861" s="35"/>
      <c r="B861" s="35"/>
      <c r="C861" s="35"/>
      <c r="D861" s="172"/>
      <c r="E861" s="21"/>
      <c r="F861" s="35"/>
      <c r="G861" s="35"/>
      <c r="H861" s="35"/>
      <c r="I861" s="35"/>
      <c r="J861" s="186"/>
      <c r="K861" s="110"/>
      <c r="L861" s="35"/>
      <c r="M861" s="172"/>
      <c r="N861" s="172"/>
      <c r="O861" s="35"/>
      <c r="P861" s="164"/>
      <c r="Q861" s="164"/>
      <c r="R861" s="164"/>
      <c r="S861" s="164"/>
      <c r="T861" s="164"/>
      <c r="U861" s="164"/>
      <c r="V861" s="35"/>
      <c r="W861" s="35"/>
      <c r="X861" s="35"/>
      <c r="Y861" s="35"/>
      <c r="Z861" s="35"/>
      <c r="AA861" s="35"/>
      <c r="AB861" s="35"/>
      <c r="AC861" s="35"/>
      <c r="AD861" s="35"/>
      <c r="AE861" s="35"/>
      <c r="AF861" s="35"/>
      <c r="AG861" s="35"/>
      <c r="AH861" s="35"/>
    </row>
    <row r="862">
      <c r="A862" s="35"/>
      <c r="B862" s="35"/>
      <c r="C862" s="35"/>
      <c r="D862" s="172"/>
      <c r="E862" s="21"/>
      <c r="F862" s="35"/>
      <c r="G862" s="35"/>
      <c r="H862" s="35"/>
      <c r="I862" s="35"/>
      <c r="J862" s="186"/>
      <c r="K862" s="110"/>
      <c r="L862" s="35"/>
      <c r="M862" s="172"/>
      <c r="N862" s="172"/>
      <c r="O862" s="35"/>
      <c r="P862" s="164"/>
      <c r="Q862" s="164"/>
      <c r="R862" s="164"/>
      <c r="S862" s="164"/>
      <c r="T862" s="164"/>
      <c r="U862" s="164"/>
      <c r="V862" s="35"/>
      <c r="W862" s="35"/>
      <c r="X862" s="35"/>
      <c r="Y862" s="35"/>
      <c r="Z862" s="35"/>
      <c r="AA862" s="35"/>
      <c r="AB862" s="35"/>
      <c r="AC862" s="35"/>
      <c r="AD862" s="35"/>
      <c r="AE862" s="35"/>
      <c r="AF862" s="35"/>
      <c r="AG862" s="35"/>
      <c r="AH862" s="35"/>
    </row>
    <row r="863">
      <c r="A863" s="35"/>
      <c r="B863" s="35"/>
      <c r="C863" s="35"/>
      <c r="D863" s="172"/>
      <c r="E863" s="21"/>
      <c r="F863" s="35"/>
      <c r="G863" s="35"/>
      <c r="H863" s="35"/>
      <c r="I863" s="35"/>
      <c r="J863" s="186"/>
      <c r="K863" s="110"/>
      <c r="L863" s="35"/>
      <c r="M863" s="172"/>
      <c r="N863" s="172"/>
      <c r="O863" s="35"/>
      <c r="P863" s="164"/>
      <c r="Q863" s="164"/>
      <c r="R863" s="164"/>
      <c r="S863" s="164"/>
      <c r="T863" s="164"/>
      <c r="U863" s="164"/>
      <c r="V863" s="35"/>
      <c r="W863" s="35"/>
      <c r="X863" s="35"/>
      <c r="Y863" s="35"/>
      <c r="Z863" s="35"/>
      <c r="AA863" s="35"/>
      <c r="AB863" s="35"/>
      <c r="AC863" s="35"/>
      <c r="AD863" s="35"/>
      <c r="AE863" s="35"/>
      <c r="AF863" s="35"/>
      <c r="AG863" s="35"/>
      <c r="AH863" s="35"/>
    </row>
    <row r="864">
      <c r="A864" s="35"/>
      <c r="B864" s="35"/>
      <c r="C864" s="35"/>
      <c r="D864" s="172"/>
      <c r="E864" s="21"/>
      <c r="F864" s="35"/>
      <c r="G864" s="35"/>
      <c r="H864" s="35"/>
      <c r="I864" s="35"/>
      <c r="J864" s="186"/>
      <c r="K864" s="110"/>
      <c r="L864" s="35"/>
      <c r="M864" s="172"/>
      <c r="N864" s="172"/>
      <c r="O864" s="35"/>
      <c r="P864" s="164"/>
      <c r="Q864" s="164"/>
      <c r="R864" s="164"/>
      <c r="S864" s="164"/>
      <c r="T864" s="164"/>
      <c r="U864" s="164"/>
      <c r="V864" s="35"/>
      <c r="W864" s="35"/>
      <c r="X864" s="35"/>
      <c r="Y864" s="35"/>
      <c r="Z864" s="35"/>
      <c r="AA864" s="35"/>
      <c r="AB864" s="35"/>
      <c r="AC864" s="35"/>
      <c r="AD864" s="35"/>
      <c r="AE864" s="35"/>
      <c r="AF864" s="35"/>
      <c r="AG864" s="35"/>
      <c r="AH864" s="35"/>
    </row>
    <row r="865">
      <c r="A865" s="35"/>
      <c r="B865" s="35"/>
      <c r="C865" s="35"/>
      <c r="D865" s="172"/>
      <c r="E865" s="21"/>
      <c r="F865" s="35"/>
      <c r="G865" s="35"/>
      <c r="H865" s="35"/>
      <c r="I865" s="35"/>
      <c r="J865" s="186"/>
      <c r="K865" s="110"/>
      <c r="L865" s="35"/>
      <c r="M865" s="172"/>
      <c r="N865" s="172"/>
      <c r="O865" s="35"/>
      <c r="P865" s="164"/>
      <c r="Q865" s="164"/>
      <c r="R865" s="164"/>
      <c r="S865" s="164"/>
      <c r="T865" s="164"/>
      <c r="U865" s="164"/>
      <c r="V865" s="35"/>
      <c r="W865" s="35"/>
      <c r="X865" s="35"/>
      <c r="Y865" s="35"/>
      <c r="Z865" s="35"/>
      <c r="AA865" s="35"/>
      <c r="AB865" s="35"/>
      <c r="AC865" s="35"/>
      <c r="AD865" s="35"/>
      <c r="AE865" s="35"/>
      <c r="AF865" s="35"/>
      <c r="AG865" s="35"/>
      <c r="AH865" s="35"/>
    </row>
    <row r="866">
      <c r="A866" s="35"/>
      <c r="B866" s="35"/>
      <c r="C866" s="35"/>
      <c r="D866" s="172"/>
      <c r="E866" s="21"/>
      <c r="F866" s="35"/>
      <c r="G866" s="35"/>
      <c r="H866" s="35"/>
      <c r="I866" s="35"/>
      <c r="J866" s="186"/>
      <c r="K866" s="110"/>
      <c r="L866" s="35"/>
      <c r="M866" s="172"/>
      <c r="N866" s="172"/>
      <c r="O866" s="35"/>
      <c r="P866" s="164"/>
      <c r="Q866" s="164"/>
      <c r="R866" s="164"/>
      <c r="S866" s="164"/>
      <c r="T866" s="164"/>
      <c r="U866" s="164"/>
      <c r="V866" s="35"/>
      <c r="W866" s="35"/>
      <c r="X866" s="35"/>
      <c r="Y866" s="35"/>
      <c r="Z866" s="35"/>
      <c r="AA866" s="35"/>
      <c r="AB866" s="35"/>
      <c r="AC866" s="35"/>
      <c r="AD866" s="35"/>
      <c r="AE866" s="35"/>
      <c r="AF866" s="35"/>
      <c r="AG866" s="35"/>
      <c r="AH866" s="35"/>
    </row>
    <row r="867">
      <c r="A867" s="35"/>
      <c r="B867" s="35"/>
      <c r="C867" s="35"/>
      <c r="D867" s="172"/>
      <c r="E867" s="21"/>
      <c r="F867" s="35"/>
      <c r="G867" s="35"/>
      <c r="H867" s="35"/>
      <c r="I867" s="35"/>
      <c r="J867" s="186"/>
      <c r="K867" s="110"/>
      <c r="L867" s="35"/>
      <c r="M867" s="172"/>
      <c r="N867" s="172"/>
      <c r="O867" s="35"/>
      <c r="P867" s="164"/>
      <c r="Q867" s="164"/>
      <c r="R867" s="164"/>
      <c r="S867" s="164"/>
      <c r="T867" s="164"/>
      <c r="U867" s="164"/>
      <c r="V867" s="35"/>
      <c r="W867" s="35"/>
      <c r="X867" s="35"/>
      <c r="Y867" s="35"/>
      <c r="Z867" s="35"/>
      <c r="AA867" s="35"/>
      <c r="AB867" s="35"/>
      <c r="AC867" s="35"/>
      <c r="AD867" s="35"/>
      <c r="AE867" s="35"/>
      <c r="AF867" s="35"/>
      <c r="AG867" s="35"/>
      <c r="AH867" s="35"/>
    </row>
    <row r="868">
      <c r="A868" s="35"/>
      <c r="B868" s="35"/>
      <c r="C868" s="35"/>
      <c r="D868" s="172"/>
      <c r="E868" s="21"/>
      <c r="F868" s="35"/>
      <c r="G868" s="35"/>
      <c r="H868" s="35"/>
      <c r="I868" s="35"/>
      <c r="J868" s="186"/>
      <c r="K868" s="110"/>
      <c r="L868" s="35"/>
      <c r="M868" s="172"/>
      <c r="N868" s="172"/>
      <c r="O868" s="35"/>
      <c r="P868" s="164"/>
      <c r="Q868" s="164"/>
      <c r="R868" s="164"/>
      <c r="S868" s="164"/>
      <c r="T868" s="164"/>
      <c r="U868" s="164"/>
      <c r="V868" s="35"/>
      <c r="W868" s="35"/>
      <c r="X868" s="35"/>
      <c r="Y868" s="35"/>
      <c r="Z868" s="35"/>
      <c r="AA868" s="35"/>
      <c r="AB868" s="35"/>
      <c r="AC868" s="35"/>
      <c r="AD868" s="35"/>
      <c r="AE868" s="35"/>
      <c r="AF868" s="35"/>
      <c r="AG868" s="35"/>
      <c r="AH868" s="35"/>
    </row>
    <row r="869">
      <c r="A869" s="35"/>
      <c r="B869" s="35"/>
      <c r="C869" s="35"/>
      <c r="D869" s="172"/>
      <c r="E869" s="21"/>
      <c r="F869" s="35"/>
      <c r="G869" s="35"/>
      <c r="H869" s="35"/>
      <c r="I869" s="35"/>
      <c r="J869" s="186"/>
      <c r="K869" s="110"/>
      <c r="L869" s="35"/>
      <c r="M869" s="172"/>
      <c r="N869" s="172"/>
      <c r="O869" s="35"/>
      <c r="P869" s="164"/>
      <c r="Q869" s="164"/>
      <c r="R869" s="164"/>
      <c r="S869" s="164"/>
      <c r="T869" s="164"/>
      <c r="U869" s="164"/>
      <c r="V869" s="35"/>
      <c r="W869" s="35"/>
      <c r="X869" s="35"/>
      <c r="Y869" s="35"/>
      <c r="Z869" s="35"/>
      <c r="AA869" s="35"/>
      <c r="AB869" s="35"/>
      <c r="AC869" s="35"/>
      <c r="AD869" s="35"/>
      <c r="AE869" s="35"/>
      <c r="AF869" s="35"/>
      <c r="AG869" s="35"/>
      <c r="AH869" s="35"/>
    </row>
    <row r="870">
      <c r="A870" s="35"/>
      <c r="B870" s="35"/>
      <c r="C870" s="35"/>
      <c r="D870" s="172"/>
      <c r="E870" s="21"/>
      <c r="F870" s="35"/>
      <c r="G870" s="35"/>
      <c r="H870" s="35"/>
      <c r="I870" s="35"/>
      <c r="J870" s="186"/>
      <c r="K870" s="110"/>
      <c r="L870" s="35"/>
      <c r="M870" s="172"/>
      <c r="N870" s="172"/>
      <c r="O870" s="35"/>
      <c r="P870" s="164"/>
      <c r="Q870" s="164"/>
      <c r="R870" s="164"/>
      <c r="S870" s="164"/>
      <c r="T870" s="164"/>
      <c r="U870" s="164"/>
      <c r="V870" s="35"/>
      <c r="W870" s="35"/>
      <c r="X870" s="35"/>
      <c r="Y870" s="35"/>
      <c r="Z870" s="35"/>
      <c r="AA870" s="35"/>
      <c r="AB870" s="35"/>
      <c r="AC870" s="35"/>
      <c r="AD870" s="35"/>
      <c r="AE870" s="35"/>
      <c r="AF870" s="35"/>
      <c r="AG870" s="35"/>
      <c r="AH870" s="35"/>
    </row>
    <row r="871">
      <c r="A871" s="35"/>
      <c r="B871" s="35"/>
      <c r="C871" s="35"/>
      <c r="D871" s="172"/>
      <c r="E871" s="21"/>
      <c r="F871" s="35"/>
      <c r="G871" s="35"/>
      <c r="H871" s="35"/>
      <c r="I871" s="35"/>
      <c r="J871" s="186"/>
      <c r="K871" s="110"/>
      <c r="L871" s="35"/>
      <c r="M871" s="172"/>
      <c r="N871" s="172"/>
      <c r="O871" s="35"/>
      <c r="P871" s="164"/>
      <c r="Q871" s="164"/>
      <c r="R871" s="164"/>
      <c r="S871" s="164"/>
      <c r="T871" s="164"/>
      <c r="U871" s="164"/>
      <c r="V871" s="35"/>
      <c r="W871" s="35"/>
      <c r="X871" s="35"/>
      <c r="Y871" s="35"/>
      <c r="Z871" s="35"/>
      <c r="AA871" s="35"/>
      <c r="AB871" s="35"/>
      <c r="AC871" s="35"/>
      <c r="AD871" s="35"/>
      <c r="AE871" s="35"/>
      <c r="AF871" s="35"/>
      <c r="AG871" s="35"/>
      <c r="AH871" s="35"/>
    </row>
    <row r="872">
      <c r="A872" s="35"/>
      <c r="B872" s="35"/>
      <c r="C872" s="35"/>
      <c r="D872" s="172"/>
      <c r="E872" s="21"/>
      <c r="F872" s="35"/>
      <c r="G872" s="35"/>
      <c r="H872" s="35"/>
      <c r="I872" s="35"/>
      <c r="J872" s="186"/>
      <c r="K872" s="110"/>
      <c r="L872" s="35"/>
      <c r="M872" s="172"/>
      <c r="N872" s="172"/>
      <c r="O872" s="35"/>
      <c r="P872" s="164"/>
      <c r="Q872" s="164"/>
      <c r="R872" s="164"/>
      <c r="S872" s="164"/>
      <c r="T872" s="164"/>
      <c r="U872" s="164"/>
      <c r="V872" s="35"/>
      <c r="W872" s="35"/>
      <c r="X872" s="35"/>
      <c r="Y872" s="35"/>
      <c r="Z872" s="35"/>
      <c r="AA872" s="35"/>
      <c r="AB872" s="35"/>
      <c r="AC872" s="35"/>
      <c r="AD872" s="35"/>
      <c r="AE872" s="35"/>
      <c r="AF872" s="35"/>
      <c r="AG872" s="35"/>
      <c r="AH872" s="35"/>
    </row>
    <row r="873">
      <c r="A873" s="35"/>
      <c r="B873" s="35"/>
      <c r="C873" s="35"/>
      <c r="D873" s="172"/>
      <c r="E873" s="21"/>
      <c r="F873" s="35"/>
      <c r="G873" s="35"/>
      <c r="H873" s="35"/>
      <c r="I873" s="35"/>
      <c r="J873" s="186"/>
      <c r="K873" s="110"/>
      <c r="L873" s="35"/>
      <c r="M873" s="172"/>
      <c r="N873" s="172"/>
      <c r="O873" s="35"/>
      <c r="P873" s="164"/>
      <c r="Q873" s="164"/>
      <c r="R873" s="164"/>
      <c r="S873" s="164"/>
      <c r="T873" s="164"/>
      <c r="U873" s="164"/>
      <c r="V873" s="35"/>
      <c r="W873" s="35"/>
      <c r="X873" s="35"/>
      <c r="Y873" s="35"/>
      <c r="Z873" s="35"/>
      <c r="AA873" s="35"/>
      <c r="AB873" s="35"/>
      <c r="AC873" s="35"/>
      <c r="AD873" s="35"/>
      <c r="AE873" s="35"/>
      <c r="AF873" s="35"/>
      <c r="AG873" s="35"/>
      <c r="AH873" s="35"/>
    </row>
    <row r="874">
      <c r="A874" s="35"/>
      <c r="B874" s="35"/>
      <c r="C874" s="35"/>
      <c r="D874" s="172"/>
      <c r="E874" s="21"/>
      <c r="F874" s="35"/>
      <c r="G874" s="35"/>
      <c r="H874" s="35"/>
      <c r="I874" s="35"/>
      <c r="J874" s="186"/>
      <c r="K874" s="110"/>
      <c r="L874" s="35"/>
      <c r="M874" s="172"/>
      <c r="N874" s="172"/>
      <c r="O874" s="35"/>
      <c r="P874" s="164"/>
      <c r="Q874" s="164"/>
      <c r="R874" s="164"/>
      <c r="S874" s="164"/>
      <c r="T874" s="164"/>
      <c r="U874" s="164"/>
      <c r="V874" s="35"/>
      <c r="W874" s="35"/>
      <c r="X874" s="35"/>
      <c r="Y874" s="35"/>
      <c r="Z874" s="35"/>
      <c r="AA874" s="35"/>
      <c r="AB874" s="35"/>
      <c r="AC874" s="35"/>
      <c r="AD874" s="35"/>
      <c r="AE874" s="35"/>
      <c r="AF874" s="35"/>
      <c r="AG874" s="35"/>
      <c r="AH874" s="35"/>
    </row>
    <row r="875">
      <c r="A875" s="35"/>
      <c r="B875" s="35"/>
      <c r="C875" s="35"/>
      <c r="D875" s="172"/>
      <c r="E875" s="21"/>
      <c r="F875" s="35"/>
      <c r="G875" s="35"/>
      <c r="H875" s="35"/>
      <c r="I875" s="35"/>
      <c r="J875" s="186"/>
      <c r="K875" s="110"/>
      <c r="L875" s="35"/>
      <c r="M875" s="172"/>
      <c r="N875" s="172"/>
      <c r="O875" s="35"/>
      <c r="P875" s="164"/>
      <c r="Q875" s="164"/>
      <c r="R875" s="164"/>
      <c r="S875" s="164"/>
      <c r="T875" s="164"/>
      <c r="U875" s="164"/>
      <c r="V875" s="35"/>
      <c r="W875" s="35"/>
      <c r="X875" s="35"/>
      <c r="Y875" s="35"/>
      <c r="Z875" s="35"/>
      <c r="AA875" s="35"/>
      <c r="AB875" s="35"/>
      <c r="AC875" s="35"/>
      <c r="AD875" s="35"/>
      <c r="AE875" s="35"/>
      <c r="AF875" s="35"/>
      <c r="AG875" s="35"/>
      <c r="AH875" s="35"/>
    </row>
    <row r="876">
      <c r="A876" s="35"/>
      <c r="B876" s="35"/>
      <c r="C876" s="35"/>
      <c r="D876" s="172"/>
      <c r="E876" s="21"/>
      <c r="F876" s="35"/>
      <c r="G876" s="35"/>
      <c r="H876" s="35"/>
      <c r="I876" s="35"/>
      <c r="J876" s="186"/>
      <c r="K876" s="110"/>
      <c r="L876" s="35"/>
      <c r="M876" s="172"/>
      <c r="N876" s="172"/>
      <c r="O876" s="35"/>
      <c r="P876" s="164"/>
      <c r="Q876" s="164"/>
      <c r="R876" s="164"/>
      <c r="S876" s="164"/>
      <c r="T876" s="164"/>
      <c r="U876" s="164"/>
      <c r="V876" s="35"/>
      <c r="W876" s="35"/>
      <c r="X876" s="35"/>
      <c r="Y876" s="35"/>
      <c r="Z876" s="35"/>
      <c r="AA876" s="35"/>
      <c r="AB876" s="35"/>
      <c r="AC876" s="35"/>
      <c r="AD876" s="35"/>
      <c r="AE876" s="35"/>
      <c r="AF876" s="35"/>
      <c r="AG876" s="35"/>
      <c r="AH876" s="35"/>
    </row>
    <row r="877">
      <c r="A877" s="35"/>
      <c r="B877" s="35"/>
      <c r="C877" s="35"/>
      <c r="D877" s="172"/>
      <c r="E877" s="21"/>
      <c r="F877" s="35"/>
      <c r="G877" s="35"/>
      <c r="H877" s="35"/>
      <c r="I877" s="35"/>
      <c r="J877" s="186"/>
      <c r="K877" s="110"/>
      <c r="L877" s="35"/>
      <c r="M877" s="172"/>
      <c r="N877" s="172"/>
      <c r="O877" s="35"/>
      <c r="P877" s="164"/>
      <c r="Q877" s="164"/>
      <c r="R877" s="164"/>
      <c r="S877" s="164"/>
      <c r="T877" s="164"/>
      <c r="U877" s="164"/>
      <c r="V877" s="35"/>
      <c r="W877" s="35"/>
      <c r="X877" s="35"/>
      <c r="Y877" s="35"/>
      <c r="Z877" s="35"/>
      <c r="AA877" s="35"/>
      <c r="AB877" s="35"/>
      <c r="AC877" s="35"/>
      <c r="AD877" s="35"/>
      <c r="AE877" s="35"/>
      <c r="AF877" s="35"/>
      <c r="AG877" s="35"/>
      <c r="AH877" s="35"/>
    </row>
    <row r="878">
      <c r="A878" s="35"/>
      <c r="B878" s="35"/>
      <c r="C878" s="35"/>
      <c r="D878" s="172"/>
      <c r="E878" s="21"/>
      <c r="F878" s="35"/>
      <c r="G878" s="35"/>
      <c r="H878" s="35"/>
      <c r="I878" s="35"/>
      <c r="J878" s="186"/>
      <c r="K878" s="110"/>
      <c r="L878" s="35"/>
      <c r="M878" s="172"/>
      <c r="N878" s="172"/>
      <c r="O878" s="35"/>
      <c r="P878" s="164"/>
      <c r="Q878" s="164"/>
      <c r="R878" s="164"/>
      <c r="S878" s="164"/>
      <c r="T878" s="164"/>
      <c r="U878" s="164"/>
      <c r="V878" s="35"/>
      <c r="W878" s="35"/>
      <c r="X878" s="35"/>
      <c r="Y878" s="35"/>
      <c r="Z878" s="35"/>
      <c r="AA878" s="35"/>
      <c r="AB878" s="35"/>
      <c r="AC878" s="35"/>
      <c r="AD878" s="35"/>
      <c r="AE878" s="35"/>
      <c r="AF878" s="35"/>
      <c r="AG878" s="35"/>
      <c r="AH878" s="35"/>
    </row>
    <row r="879">
      <c r="A879" s="35"/>
      <c r="B879" s="35"/>
      <c r="C879" s="35"/>
      <c r="D879" s="172"/>
      <c r="E879" s="21"/>
      <c r="F879" s="35"/>
      <c r="G879" s="35"/>
      <c r="H879" s="35"/>
      <c r="I879" s="35"/>
      <c r="J879" s="186"/>
      <c r="K879" s="110"/>
      <c r="L879" s="35"/>
      <c r="M879" s="172"/>
      <c r="N879" s="172"/>
      <c r="O879" s="35"/>
      <c r="P879" s="164"/>
      <c r="Q879" s="164"/>
      <c r="R879" s="164"/>
      <c r="S879" s="164"/>
      <c r="T879" s="164"/>
      <c r="U879" s="164"/>
      <c r="V879" s="35"/>
      <c r="W879" s="35"/>
      <c r="X879" s="35"/>
      <c r="Y879" s="35"/>
      <c r="Z879" s="35"/>
      <c r="AA879" s="35"/>
      <c r="AB879" s="35"/>
      <c r="AC879" s="35"/>
      <c r="AD879" s="35"/>
      <c r="AE879" s="35"/>
      <c r="AF879" s="35"/>
      <c r="AG879" s="35"/>
      <c r="AH879" s="35"/>
    </row>
    <row r="880">
      <c r="A880" s="35"/>
      <c r="B880" s="35"/>
      <c r="C880" s="35"/>
      <c r="D880" s="172"/>
      <c r="E880" s="21"/>
      <c r="F880" s="35"/>
      <c r="G880" s="35"/>
      <c r="H880" s="35"/>
      <c r="I880" s="35"/>
      <c r="J880" s="186"/>
      <c r="K880" s="110"/>
      <c r="L880" s="35"/>
      <c r="M880" s="172"/>
      <c r="N880" s="172"/>
      <c r="O880" s="35"/>
      <c r="P880" s="164"/>
      <c r="Q880" s="164"/>
      <c r="R880" s="164"/>
      <c r="S880" s="164"/>
      <c r="T880" s="164"/>
      <c r="U880" s="164"/>
      <c r="V880" s="35"/>
      <c r="W880" s="35"/>
      <c r="X880" s="35"/>
      <c r="Y880" s="35"/>
      <c r="Z880" s="35"/>
      <c r="AA880" s="35"/>
      <c r="AB880" s="35"/>
      <c r="AC880" s="35"/>
      <c r="AD880" s="35"/>
      <c r="AE880" s="35"/>
      <c r="AF880" s="35"/>
      <c r="AG880" s="35"/>
      <c r="AH880" s="35"/>
    </row>
    <row r="881">
      <c r="A881" s="35"/>
      <c r="B881" s="35"/>
      <c r="C881" s="35"/>
      <c r="D881" s="172"/>
      <c r="E881" s="21"/>
      <c r="F881" s="35"/>
      <c r="G881" s="35"/>
      <c r="H881" s="35"/>
      <c r="I881" s="35"/>
      <c r="J881" s="186"/>
      <c r="K881" s="110"/>
      <c r="L881" s="35"/>
      <c r="M881" s="172"/>
      <c r="N881" s="172"/>
      <c r="O881" s="35"/>
      <c r="P881" s="164"/>
      <c r="Q881" s="164"/>
      <c r="R881" s="164"/>
      <c r="S881" s="164"/>
      <c r="T881" s="164"/>
      <c r="U881" s="164"/>
      <c r="V881" s="35"/>
      <c r="W881" s="35"/>
      <c r="X881" s="35"/>
      <c r="Y881" s="35"/>
      <c r="Z881" s="35"/>
      <c r="AA881" s="35"/>
      <c r="AB881" s="35"/>
      <c r="AC881" s="35"/>
      <c r="AD881" s="35"/>
      <c r="AE881" s="35"/>
      <c r="AF881" s="35"/>
      <c r="AG881" s="35"/>
      <c r="AH881" s="35"/>
    </row>
    <row r="882">
      <c r="A882" s="35"/>
      <c r="B882" s="35"/>
      <c r="C882" s="35"/>
      <c r="D882" s="172"/>
      <c r="E882" s="21"/>
      <c r="F882" s="35"/>
      <c r="G882" s="35"/>
      <c r="H882" s="35"/>
      <c r="I882" s="35"/>
      <c r="J882" s="186"/>
      <c r="K882" s="110"/>
      <c r="L882" s="35"/>
      <c r="M882" s="172"/>
      <c r="N882" s="172"/>
      <c r="O882" s="35"/>
      <c r="P882" s="164"/>
      <c r="Q882" s="164"/>
      <c r="R882" s="164"/>
      <c r="S882" s="164"/>
      <c r="T882" s="164"/>
      <c r="U882" s="164"/>
      <c r="V882" s="35"/>
      <c r="W882" s="35"/>
      <c r="X882" s="35"/>
      <c r="Y882" s="35"/>
      <c r="Z882" s="35"/>
      <c r="AA882" s="35"/>
      <c r="AB882" s="35"/>
      <c r="AC882" s="35"/>
      <c r="AD882" s="35"/>
      <c r="AE882" s="35"/>
      <c r="AF882" s="35"/>
      <c r="AG882" s="35"/>
      <c r="AH882" s="35"/>
    </row>
    <row r="883">
      <c r="A883" s="35"/>
      <c r="B883" s="35"/>
      <c r="C883" s="35"/>
      <c r="D883" s="172"/>
      <c r="E883" s="21"/>
      <c r="F883" s="35"/>
      <c r="G883" s="35"/>
      <c r="H883" s="35"/>
      <c r="I883" s="35"/>
      <c r="J883" s="186"/>
      <c r="K883" s="110"/>
      <c r="L883" s="35"/>
      <c r="M883" s="172"/>
      <c r="N883" s="172"/>
      <c r="O883" s="35"/>
      <c r="P883" s="164"/>
      <c r="Q883" s="164"/>
      <c r="R883" s="164"/>
      <c r="S883" s="164"/>
      <c r="T883" s="164"/>
      <c r="U883" s="164"/>
      <c r="V883" s="35"/>
      <c r="W883" s="35"/>
      <c r="X883" s="35"/>
      <c r="Y883" s="35"/>
      <c r="Z883" s="35"/>
      <c r="AA883" s="35"/>
      <c r="AB883" s="35"/>
      <c r="AC883" s="35"/>
      <c r="AD883" s="35"/>
      <c r="AE883" s="35"/>
      <c r="AF883" s="35"/>
      <c r="AG883" s="35"/>
      <c r="AH883" s="35"/>
    </row>
    <row r="884">
      <c r="A884" s="35"/>
      <c r="B884" s="35"/>
      <c r="C884" s="35"/>
      <c r="D884" s="172"/>
      <c r="E884" s="21"/>
      <c r="F884" s="35"/>
      <c r="G884" s="35"/>
      <c r="H884" s="35"/>
      <c r="I884" s="35"/>
      <c r="J884" s="186"/>
      <c r="K884" s="110"/>
      <c r="L884" s="35"/>
      <c r="M884" s="172"/>
      <c r="N884" s="172"/>
      <c r="O884" s="35"/>
      <c r="P884" s="164"/>
      <c r="Q884" s="164"/>
      <c r="R884" s="164"/>
      <c r="S884" s="164"/>
      <c r="T884" s="164"/>
      <c r="U884" s="164"/>
      <c r="V884" s="35"/>
      <c r="W884" s="35"/>
      <c r="X884" s="35"/>
      <c r="Y884" s="35"/>
      <c r="Z884" s="35"/>
      <c r="AA884" s="35"/>
      <c r="AB884" s="35"/>
      <c r="AC884" s="35"/>
      <c r="AD884" s="35"/>
      <c r="AE884" s="35"/>
      <c r="AF884" s="35"/>
      <c r="AG884" s="35"/>
      <c r="AH884" s="35"/>
    </row>
    <row r="885">
      <c r="A885" s="35"/>
      <c r="B885" s="35"/>
      <c r="C885" s="35"/>
      <c r="D885" s="172"/>
      <c r="E885" s="21"/>
      <c r="F885" s="35"/>
      <c r="G885" s="35"/>
      <c r="H885" s="35"/>
      <c r="I885" s="35"/>
      <c r="J885" s="186"/>
      <c r="K885" s="110"/>
      <c r="L885" s="35"/>
      <c r="M885" s="172"/>
      <c r="N885" s="172"/>
      <c r="O885" s="35"/>
      <c r="P885" s="164"/>
      <c r="Q885" s="164"/>
      <c r="R885" s="164"/>
      <c r="S885" s="164"/>
      <c r="T885" s="164"/>
      <c r="U885" s="164"/>
      <c r="V885" s="35"/>
      <c r="W885" s="35"/>
      <c r="X885" s="35"/>
      <c r="Y885" s="35"/>
      <c r="Z885" s="35"/>
      <c r="AA885" s="35"/>
      <c r="AB885" s="35"/>
      <c r="AC885" s="35"/>
      <c r="AD885" s="35"/>
      <c r="AE885" s="35"/>
      <c r="AF885" s="35"/>
      <c r="AG885" s="35"/>
      <c r="AH885" s="35"/>
    </row>
    <row r="886">
      <c r="A886" s="35"/>
      <c r="B886" s="35"/>
      <c r="C886" s="35"/>
      <c r="D886" s="172"/>
      <c r="E886" s="21"/>
      <c r="F886" s="35"/>
      <c r="G886" s="35"/>
      <c r="H886" s="35"/>
      <c r="I886" s="35"/>
      <c r="J886" s="186"/>
      <c r="K886" s="110"/>
      <c r="L886" s="35"/>
      <c r="M886" s="172"/>
      <c r="N886" s="172"/>
      <c r="O886" s="35"/>
      <c r="P886" s="164"/>
      <c r="Q886" s="164"/>
      <c r="R886" s="164"/>
      <c r="S886" s="164"/>
      <c r="T886" s="164"/>
      <c r="U886" s="164"/>
      <c r="V886" s="35"/>
      <c r="W886" s="35"/>
      <c r="X886" s="35"/>
      <c r="Y886" s="35"/>
      <c r="Z886" s="35"/>
      <c r="AA886" s="35"/>
      <c r="AB886" s="35"/>
      <c r="AC886" s="35"/>
      <c r="AD886" s="35"/>
      <c r="AE886" s="35"/>
      <c r="AF886" s="35"/>
      <c r="AG886" s="35"/>
      <c r="AH886" s="35"/>
    </row>
    <row r="887">
      <c r="A887" s="35"/>
      <c r="B887" s="35"/>
      <c r="C887" s="35"/>
      <c r="D887" s="172"/>
      <c r="E887" s="21"/>
      <c r="F887" s="35"/>
      <c r="G887" s="35"/>
      <c r="H887" s="35"/>
      <c r="I887" s="35"/>
      <c r="J887" s="186"/>
      <c r="K887" s="110"/>
      <c r="L887" s="35"/>
      <c r="M887" s="172"/>
      <c r="N887" s="172"/>
      <c r="O887" s="35"/>
      <c r="P887" s="164"/>
      <c r="Q887" s="164"/>
      <c r="R887" s="164"/>
      <c r="S887" s="164"/>
      <c r="T887" s="164"/>
      <c r="U887" s="164"/>
      <c r="V887" s="35"/>
      <c r="W887" s="35"/>
      <c r="X887" s="35"/>
      <c r="Y887" s="35"/>
      <c r="Z887" s="35"/>
      <c r="AA887" s="35"/>
      <c r="AB887" s="35"/>
      <c r="AC887" s="35"/>
      <c r="AD887" s="35"/>
      <c r="AE887" s="35"/>
      <c r="AF887" s="35"/>
      <c r="AG887" s="35"/>
      <c r="AH887" s="35"/>
    </row>
    <row r="888">
      <c r="A888" s="35"/>
      <c r="B888" s="35"/>
      <c r="C888" s="35"/>
      <c r="D888" s="172"/>
      <c r="E888" s="21"/>
      <c r="F888" s="35"/>
      <c r="G888" s="35"/>
      <c r="H888" s="35"/>
      <c r="I888" s="35"/>
      <c r="J888" s="186"/>
      <c r="K888" s="110"/>
      <c r="L888" s="35"/>
      <c r="M888" s="172"/>
      <c r="N888" s="172"/>
      <c r="O888" s="35"/>
      <c r="P888" s="164"/>
      <c r="Q888" s="164"/>
      <c r="R888" s="164"/>
      <c r="S888" s="164"/>
      <c r="T888" s="164"/>
      <c r="U888" s="164"/>
      <c r="V888" s="35"/>
      <c r="W888" s="35"/>
      <c r="X888" s="35"/>
      <c r="Y888" s="35"/>
      <c r="Z888" s="35"/>
      <c r="AA888" s="35"/>
      <c r="AB888" s="35"/>
      <c r="AC888" s="35"/>
      <c r="AD888" s="35"/>
      <c r="AE888" s="35"/>
      <c r="AF888" s="35"/>
      <c r="AG888" s="35"/>
      <c r="AH888" s="35"/>
    </row>
    <row r="889">
      <c r="A889" s="35"/>
      <c r="B889" s="35"/>
      <c r="C889" s="35"/>
      <c r="D889" s="172"/>
      <c r="E889" s="21"/>
      <c r="F889" s="35"/>
      <c r="G889" s="35"/>
      <c r="H889" s="35"/>
      <c r="I889" s="35"/>
      <c r="J889" s="186"/>
      <c r="K889" s="110"/>
      <c r="L889" s="35"/>
      <c r="M889" s="172"/>
      <c r="N889" s="172"/>
      <c r="O889" s="35"/>
      <c r="P889" s="164"/>
      <c r="Q889" s="164"/>
      <c r="R889" s="164"/>
      <c r="S889" s="164"/>
      <c r="T889" s="164"/>
      <c r="U889" s="164"/>
      <c r="V889" s="35"/>
      <c r="W889" s="35"/>
      <c r="X889" s="35"/>
      <c r="Y889" s="35"/>
      <c r="Z889" s="35"/>
      <c r="AA889" s="35"/>
      <c r="AB889" s="35"/>
      <c r="AC889" s="35"/>
      <c r="AD889" s="35"/>
      <c r="AE889" s="35"/>
      <c r="AF889" s="35"/>
      <c r="AG889" s="35"/>
      <c r="AH889" s="35"/>
    </row>
    <row r="890">
      <c r="A890" s="35"/>
      <c r="B890" s="35"/>
      <c r="C890" s="35"/>
      <c r="D890" s="172"/>
      <c r="E890" s="21"/>
      <c r="F890" s="35"/>
      <c r="G890" s="35"/>
      <c r="H890" s="35"/>
      <c r="I890" s="35"/>
      <c r="J890" s="186"/>
      <c r="K890" s="110"/>
      <c r="L890" s="35"/>
      <c r="M890" s="172"/>
      <c r="N890" s="172"/>
      <c r="O890" s="35"/>
      <c r="P890" s="164"/>
      <c r="Q890" s="164"/>
      <c r="R890" s="164"/>
      <c r="S890" s="164"/>
      <c r="T890" s="164"/>
      <c r="U890" s="164"/>
      <c r="V890" s="35"/>
      <c r="W890" s="35"/>
      <c r="X890" s="35"/>
      <c r="Y890" s="35"/>
      <c r="Z890" s="35"/>
      <c r="AA890" s="35"/>
      <c r="AB890" s="35"/>
      <c r="AC890" s="35"/>
      <c r="AD890" s="35"/>
      <c r="AE890" s="35"/>
      <c r="AF890" s="35"/>
      <c r="AG890" s="35"/>
      <c r="AH890" s="35"/>
    </row>
    <row r="891">
      <c r="A891" s="35"/>
      <c r="B891" s="35"/>
      <c r="C891" s="35"/>
      <c r="D891" s="172"/>
      <c r="E891" s="21"/>
      <c r="F891" s="35"/>
      <c r="G891" s="35"/>
      <c r="H891" s="35"/>
      <c r="I891" s="35"/>
      <c r="J891" s="186"/>
      <c r="K891" s="110"/>
      <c r="L891" s="35"/>
      <c r="M891" s="172"/>
      <c r="N891" s="172"/>
      <c r="O891" s="35"/>
      <c r="P891" s="164"/>
      <c r="Q891" s="164"/>
      <c r="R891" s="164"/>
      <c r="S891" s="164"/>
      <c r="T891" s="164"/>
      <c r="U891" s="164"/>
      <c r="V891" s="35"/>
      <c r="W891" s="35"/>
      <c r="X891" s="35"/>
      <c r="Y891" s="35"/>
      <c r="Z891" s="35"/>
      <c r="AA891" s="35"/>
      <c r="AB891" s="35"/>
      <c r="AC891" s="35"/>
      <c r="AD891" s="35"/>
      <c r="AE891" s="35"/>
      <c r="AF891" s="35"/>
      <c r="AG891" s="35"/>
      <c r="AH891" s="35"/>
    </row>
    <row r="892">
      <c r="A892" s="35"/>
      <c r="B892" s="35"/>
      <c r="C892" s="35"/>
      <c r="D892" s="172"/>
      <c r="E892" s="21"/>
      <c r="F892" s="35"/>
      <c r="G892" s="35"/>
      <c r="H892" s="35"/>
      <c r="I892" s="35"/>
      <c r="J892" s="186"/>
      <c r="K892" s="110"/>
      <c r="L892" s="35"/>
      <c r="M892" s="172"/>
      <c r="N892" s="172"/>
      <c r="O892" s="35"/>
      <c r="P892" s="164"/>
      <c r="Q892" s="164"/>
      <c r="R892" s="164"/>
      <c r="S892" s="164"/>
      <c r="T892" s="164"/>
      <c r="U892" s="164"/>
      <c r="V892" s="35"/>
      <c r="W892" s="35"/>
      <c r="X892" s="35"/>
      <c r="Y892" s="35"/>
      <c r="Z892" s="35"/>
      <c r="AA892" s="35"/>
      <c r="AB892" s="35"/>
      <c r="AC892" s="35"/>
      <c r="AD892" s="35"/>
      <c r="AE892" s="35"/>
      <c r="AF892" s="35"/>
      <c r="AG892" s="35"/>
      <c r="AH892" s="35"/>
    </row>
    <row r="893">
      <c r="A893" s="35"/>
      <c r="B893" s="35"/>
      <c r="C893" s="35"/>
      <c r="D893" s="172"/>
      <c r="E893" s="21"/>
      <c r="F893" s="35"/>
      <c r="G893" s="35"/>
      <c r="H893" s="35"/>
      <c r="I893" s="35"/>
      <c r="J893" s="186"/>
      <c r="K893" s="110"/>
      <c r="L893" s="35"/>
      <c r="M893" s="172"/>
      <c r="N893" s="172"/>
      <c r="O893" s="35"/>
      <c r="P893" s="164"/>
      <c r="Q893" s="164"/>
      <c r="R893" s="164"/>
      <c r="S893" s="164"/>
      <c r="T893" s="164"/>
      <c r="U893" s="164"/>
      <c r="V893" s="35"/>
      <c r="W893" s="35"/>
      <c r="X893" s="35"/>
      <c r="Y893" s="35"/>
      <c r="Z893" s="35"/>
      <c r="AA893" s="35"/>
      <c r="AB893" s="35"/>
      <c r="AC893" s="35"/>
      <c r="AD893" s="35"/>
      <c r="AE893" s="35"/>
      <c r="AF893" s="35"/>
      <c r="AG893" s="35"/>
      <c r="AH893" s="35"/>
    </row>
    <row r="894">
      <c r="A894" s="35"/>
      <c r="B894" s="35"/>
      <c r="C894" s="35"/>
      <c r="D894" s="172"/>
      <c r="E894" s="21"/>
      <c r="F894" s="35"/>
      <c r="G894" s="35"/>
      <c r="H894" s="35"/>
      <c r="I894" s="35"/>
      <c r="J894" s="186"/>
      <c r="K894" s="110"/>
      <c r="L894" s="35"/>
      <c r="M894" s="172"/>
      <c r="N894" s="172"/>
      <c r="O894" s="35"/>
      <c r="P894" s="164"/>
      <c r="Q894" s="164"/>
      <c r="R894" s="164"/>
      <c r="S894" s="164"/>
      <c r="T894" s="164"/>
      <c r="U894" s="164"/>
      <c r="V894" s="35"/>
      <c r="W894" s="35"/>
      <c r="X894" s="35"/>
      <c r="Y894" s="35"/>
      <c r="Z894" s="35"/>
      <c r="AA894" s="35"/>
      <c r="AB894" s="35"/>
      <c r="AC894" s="35"/>
      <c r="AD894" s="35"/>
      <c r="AE894" s="35"/>
      <c r="AF894" s="35"/>
      <c r="AG894" s="35"/>
      <c r="AH894" s="35"/>
    </row>
    <row r="895">
      <c r="A895" s="35"/>
      <c r="B895" s="35"/>
      <c r="C895" s="35"/>
      <c r="D895" s="172"/>
      <c r="E895" s="21"/>
      <c r="F895" s="35"/>
      <c r="G895" s="35"/>
      <c r="H895" s="35"/>
      <c r="I895" s="35"/>
      <c r="J895" s="186"/>
      <c r="K895" s="110"/>
      <c r="L895" s="35"/>
      <c r="M895" s="172"/>
      <c r="N895" s="172"/>
      <c r="O895" s="35"/>
      <c r="P895" s="164"/>
      <c r="Q895" s="164"/>
      <c r="R895" s="164"/>
      <c r="S895" s="164"/>
      <c r="T895" s="164"/>
      <c r="U895" s="164"/>
      <c r="V895" s="35"/>
      <c r="W895" s="35"/>
      <c r="X895" s="35"/>
      <c r="Y895" s="35"/>
      <c r="Z895" s="35"/>
      <c r="AA895" s="35"/>
      <c r="AB895" s="35"/>
      <c r="AC895" s="35"/>
      <c r="AD895" s="35"/>
      <c r="AE895" s="35"/>
      <c r="AF895" s="35"/>
      <c r="AG895" s="35"/>
      <c r="AH895" s="35"/>
    </row>
    <row r="896">
      <c r="A896" s="35"/>
      <c r="B896" s="35"/>
      <c r="C896" s="35"/>
      <c r="D896" s="172"/>
      <c r="E896" s="21"/>
      <c r="F896" s="35"/>
      <c r="G896" s="35"/>
      <c r="H896" s="35"/>
      <c r="I896" s="35"/>
      <c r="J896" s="186"/>
      <c r="K896" s="110"/>
      <c r="L896" s="35"/>
      <c r="M896" s="172"/>
      <c r="N896" s="172"/>
      <c r="O896" s="35"/>
      <c r="P896" s="164"/>
      <c r="Q896" s="164"/>
      <c r="R896" s="164"/>
      <c r="S896" s="164"/>
      <c r="T896" s="164"/>
      <c r="U896" s="164"/>
      <c r="V896" s="35"/>
      <c r="W896" s="35"/>
      <c r="X896" s="35"/>
      <c r="Y896" s="35"/>
      <c r="Z896" s="35"/>
      <c r="AA896" s="35"/>
      <c r="AB896" s="35"/>
      <c r="AC896" s="35"/>
      <c r="AD896" s="35"/>
      <c r="AE896" s="35"/>
      <c r="AF896" s="35"/>
      <c r="AG896" s="35"/>
      <c r="AH896" s="35"/>
    </row>
    <row r="897">
      <c r="A897" s="35"/>
      <c r="B897" s="35"/>
      <c r="C897" s="35"/>
      <c r="D897" s="172"/>
      <c r="E897" s="21"/>
      <c r="F897" s="35"/>
      <c r="G897" s="35"/>
      <c r="H897" s="35"/>
      <c r="I897" s="35"/>
      <c r="J897" s="186"/>
      <c r="K897" s="110"/>
      <c r="L897" s="35"/>
      <c r="M897" s="172"/>
      <c r="N897" s="172"/>
      <c r="O897" s="35"/>
      <c r="P897" s="164"/>
      <c r="Q897" s="164"/>
      <c r="R897" s="164"/>
      <c r="S897" s="164"/>
      <c r="T897" s="164"/>
      <c r="U897" s="164"/>
      <c r="V897" s="35"/>
      <c r="W897" s="35"/>
      <c r="X897" s="35"/>
      <c r="Y897" s="35"/>
      <c r="Z897" s="35"/>
      <c r="AA897" s="35"/>
      <c r="AB897" s="35"/>
      <c r="AC897" s="35"/>
      <c r="AD897" s="35"/>
      <c r="AE897" s="35"/>
      <c r="AF897" s="35"/>
      <c r="AG897" s="35"/>
      <c r="AH897" s="35"/>
    </row>
    <row r="898">
      <c r="A898" s="35"/>
      <c r="B898" s="35"/>
      <c r="C898" s="35"/>
      <c r="D898" s="172"/>
      <c r="E898" s="21"/>
      <c r="F898" s="35"/>
      <c r="G898" s="35"/>
      <c r="H898" s="35"/>
      <c r="I898" s="35"/>
      <c r="J898" s="186"/>
      <c r="K898" s="110"/>
      <c r="L898" s="35"/>
      <c r="M898" s="172"/>
      <c r="N898" s="172"/>
      <c r="O898" s="35"/>
      <c r="P898" s="164"/>
      <c r="Q898" s="164"/>
      <c r="R898" s="164"/>
      <c r="S898" s="164"/>
      <c r="T898" s="164"/>
      <c r="U898" s="164"/>
      <c r="V898" s="35"/>
      <c r="W898" s="35"/>
      <c r="X898" s="35"/>
      <c r="Y898" s="35"/>
      <c r="Z898" s="35"/>
      <c r="AA898" s="35"/>
      <c r="AB898" s="35"/>
      <c r="AC898" s="35"/>
      <c r="AD898" s="35"/>
      <c r="AE898" s="35"/>
      <c r="AF898" s="35"/>
      <c r="AG898" s="35"/>
      <c r="AH898" s="35"/>
    </row>
    <row r="899">
      <c r="A899" s="35"/>
      <c r="B899" s="35"/>
      <c r="C899" s="35"/>
      <c r="D899" s="172"/>
      <c r="E899" s="21"/>
      <c r="F899" s="35"/>
      <c r="G899" s="35"/>
      <c r="H899" s="35"/>
      <c r="I899" s="35"/>
      <c r="J899" s="186"/>
      <c r="K899" s="110"/>
      <c r="L899" s="35"/>
      <c r="M899" s="172"/>
      <c r="N899" s="172"/>
      <c r="O899" s="35"/>
      <c r="P899" s="164"/>
      <c r="Q899" s="164"/>
      <c r="R899" s="164"/>
      <c r="S899" s="164"/>
      <c r="T899" s="164"/>
      <c r="U899" s="164"/>
      <c r="V899" s="35"/>
      <c r="W899" s="35"/>
      <c r="X899" s="35"/>
      <c r="Y899" s="35"/>
      <c r="Z899" s="35"/>
      <c r="AA899" s="35"/>
      <c r="AB899" s="35"/>
      <c r="AC899" s="35"/>
      <c r="AD899" s="35"/>
      <c r="AE899" s="35"/>
      <c r="AF899" s="35"/>
      <c r="AG899" s="35"/>
      <c r="AH899" s="35"/>
    </row>
    <row r="900">
      <c r="A900" s="35"/>
      <c r="B900" s="35"/>
      <c r="C900" s="35"/>
      <c r="D900" s="172"/>
      <c r="E900" s="21"/>
      <c r="F900" s="35"/>
      <c r="G900" s="35"/>
      <c r="H900" s="35"/>
      <c r="I900" s="35"/>
      <c r="J900" s="186"/>
      <c r="K900" s="110"/>
      <c r="L900" s="35"/>
      <c r="M900" s="172"/>
      <c r="N900" s="172"/>
      <c r="O900" s="35"/>
      <c r="P900" s="164"/>
      <c r="Q900" s="164"/>
      <c r="R900" s="164"/>
      <c r="S900" s="164"/>
      <c r="T900" s="164"/>
      <c r="U900" s="164"/>
      <c r="V900" s="35"/>
      <c r="W900" s="35"/>
      <c r="X900" s="35"/>
      <c r="Y900" s="35"/>
      <c r="Z900" s="35"/>
      <c r="AA900" s="35"/>
      <c r="AB900" s="35"/>
      <c r="AC900" s="35"/>
      <c r="AD900" s="35"/>
      <c r="AE900" s="35"/>
      <c r="AF900" s="35"/>
      <c r="AG900" s="35"/>
      <c r="AH900" s="35"/>
    </row>
    <row r="901">
      <c r="A901" s="35"/>
      <c r="B901" s="35"/>
      <c r="C901" s="35"/>
      <c r="D901" s="172"/>
      <c r="E901" s="21"/>
      <c r="F901" s="35"/>
      <c r="G901" s="35"/>
      <c r="H901" s="35"/>
      <c r="I901" s="35"/>
      <c r="J901" s="186"/>
      <c r="K901" s="110"/>
      <c r="L901" s="35"/>
      <c r="M901" s="172"/>
      <c r="N901" s="172"/>
      <c r="O901" s="35"/>
      <c r="P901" s="164"/>
      <c r="Q901" s="164"/>
      <c r="R901" s="164"/>
      <c r="S901" s="164"/>
      <c r="T901" s="164"/>
      <c r="U901" s="164"/>
      <c r="V901" s="35"/>
      <c r="W901" s="35"/>
      <c r="X901" s="35"/>
      <c r="Y901" s="35"/>
      <c r="Z901" s="35"/>
      <c r="AA901" s="35"/>
      <c r="AB901" s="35"/>
      <c r="AC901" s="35"/>
      <c r="AD901" s="35"/>
      <c r="AE901" s="35"/>
      <c r="AF901" s="35"/>
      <c r="AG901" s="35"/>
      <c r="AH901" s="35"/>
    </row>
    <row r="902">
      <c r="A902" s="35"/>
      <c r="B902" s="35"/>
      <c r="C902" s="35"/>
      <c r="D902" s="172"/>
      <c r="E902" s="21"/>
      <c r="F902" s="35"/>
      <c r="G902" s="35"/>
      <c r="H902" s="35"/>
      <c r="I902" s="35"/>
      <c r="J902" s="186"/>
      <c r="K902" s="110"/>
      <c r="L902" s="35"/>
      <c r="M902" s="172"/>
      <c r="N902" s="172"/>
      <c r="O902" s="35"/>
      <c r="P902" s="164"/>
      <c r="Q902" s="164"/>
      <c r="R902" s="164"/>
      <c r="S902" s="164"/>
      <c r="T902" s="164"/>
      <c r="U902" s="164"/>
      <c r="V902" s="35"/>
      <c r="W902" s="35"/>
      <c r="X902" s="35"/>
      <c r="Y902" s="35"/>
      <c r="Z902" s="35"/>
      <c r="AA902" s="35"/>
      <c r="AB902" s="35"/>
      <c r="AC902" s="35"/>
      <c r="AD902" s="35"/>
      <c r="AE902" s="35"/>
      <c r="AF902" s="35"/>
      <c r="AG902" s="35"/>
      <c r="AH902" s="35"/>
    </row>
    <row r="903">
      <c r="A903" s="35"/>
      <c r="B903" s="35"/>
      <c r="C903" s="35"/>
      <c r="D903" s="172"/>
      <c r="E903" s="21"/>
      <c r="F903" s="35"/>
      <c r="G903" s="35"/>
      <c r="H903" s="35"/>
      <c r="I903" s="35"/>
      <c r="J903" s="186"/>
      <c r="K903" s="110"/>
      <c r="L903" s="35"/>
      <c r="M903" s="172"/>
      <c r="N903" s="172"/>
      <c r="O903" s="35"/>
      <c r="P903" s="164"/>
      <c r="Q903" s="164"/>
      <c r="R903" s="164"/>
      <c r="S903" s="164"/>
      <c r="T903" s="164"/>
      <c r="U903" s="164"/>
      <c r="V903" s="35"/>
      <c r="W903" s="35"/>
      <c r="X903" s="35"/>
      <c r="Y903" s="35"/>
      <c r="Z903" s="35"/>
      <c r="AA903" s="35"/>
      <c r="AB903" s="35"/>
      <c r="AC903" s="35"/>
      <c r="AD903" s="35"/>
      <c r="AE903" s="35"/>
      <c r="AF903" s="35"/>
      <c r="AG903" s="35"/>
      <c r="AH903" s="35"/>
    </row>
    <row r="904">
      <c r="A904" s="35"/>
      <c r="B904" s="35"/>
      <c r="C904" s="35"/>
      <c r="D904" s="172"/>
      <c r="E904" s="21"/>
      <c r="F904" s="35"/>
      <c r="G904" s="35"/>
      <c r="H904" s="35"/>
      <c r="I904" s="35"/>
      <c r="J904" s="186"/>
      <c r="K904" s="110"/>
      <c r="L904" s="35"/>
      <c r="M904" s="172"/>
      <c r="N904" s="172"/>
      <c r="O904" s="35"/>
      <c r="P904" s="164"/>
      <c r="Q904" s="164"/>
      <c r="R904" s="164"/>
      <c r="S904" s="164"/>
      <c r="T904" s="164"/>
      <c r="U904" s="164"/>
      <c r="V904" s="35"/>
      <c r="W904" s="35"/>
      <c r="X904" s="35"/>
      <c r="Y904" s="35"/>
      <c r="Z904" s="35"/>
      <c r="AA904" s="35"/>
      <c r="AB904" s="35"/>
      <c r="AC904" s="35"/>
      <c r="AD904" s="35"/>
      <c r="AE904" s="35"/>
      <c r="AF904" s="35"/>
      <c r="AG904" s="35"/>
      <c r="AH904" s="35"/>
    </row>
    <row r="905">
      <c r="A905" s="35"/>
      <c r="B905" s="35"/>
      <c r="C905" s="35"/>
      <c r="D905" s="172"/>
      <c r="E905" s="21"/>
      <c r="F905" s="35"/>
      <c r="G905" s="35"/>
      <c r="H905" s="35"/>
      <c r="I905" s="35"/>
      <c r="J905" s="186"/>
      <c r="K905" s="110"/>
      <c r="L905" s="35"/>
      <c r="M905" s="172"/>
      <c r="N905" s="172"/>
      <c r="O905" s="35"/>
      <c r="P905" s="164"/>
      <c r="Q905" s="164"/>
      <c r="R905" s="164"/>
      <c r="S905" s="164"/>
      <c r="T905" s="164"/>
      <c r="U905" s="164"/>
      <c r="V905" s="35"/>
      <c r="W905" s="35"/>
      <c r="X905" s="35"/>
      <c r="Y905" s="35"/>
      <c r="Z905" s="35"/>
      <c r="AA905" s="35"/>
      <c r="AB905" s="35"/>
      <c r="AC905" s="35"/>
      <c r="AD905" s="35"/>
      <c r="AE905" s="35"/>
      <c r="AF905" s="35"/>
      <c r="AG905" s="35"/>
      <c r="AH905" s="35"/>
    </row>
    <row r="906">
      <c r="A906" s="35"/>
      <c r="B906" s="35"/>
      <c r="C906" s="35"/>
      <c r="D906" s="172"/>
      <c r="E906" s="21"/>
      <c r="F906" s="35"/>
      <c r="G906" s="35"/>
      <c r="H906" s="35"/>
      <c r="I906" s="35"/>
      <c r="J906" s="186"/>
      <c r="K906" s="110"/>
      <c r="L906" s="35"/>
      <c r="M906" s="172"/>
      <c r="N906" s="172"/>
      <c r="O906" s="35"/>
      <c r="P906" s="164"/>
      <c r="Q906" s="164"/>
      <c r="R906" s="164"/>
      <c r="S906" s="164"/>
      <c r="T906" s="164"/>
      <c r="U906" s="164"/>
      <c r="V906" s="35"/>
      <c r="W906" s="35"/>
      <c r="X906" s="35"/>
      <c r="Y906" s="35"/>
      <c r="Z906" s="35"/>
      <c r="AA906" s="35"/>
      <c r="AB906" s="35"/>
      <c r="AC906" s="35"/>
      <c r="AD906" s="35"/>
      <c r="AE906" s="35"/>
      <c r="AF906" s="35"/>
      <c r="AG906" s="35"/>
      <c r="AH906" s="35"/>
    </row>
    <row r="907">
      <c r="A907" s="35"/>
      <c r="B907" s="35"/>
      <c r="C907" s="35"/>
      <c r="D907" s="172"/>
      <c r="E907" s="21"/>
      <c r="F907" s="35"/>
      <c r="G907" s="35"/>
      <c r="H907" s="35"/>
      <c r="I907" s="35"/>
      <c r="J907" s="186"/>
      <c r="K907" s="110"/>
      <c r="L907" s="35"/>
      <c r="M907" s="172"/>
      <c r="N907" s="172"/>
      <c r="O907" s="35"/>
      <c r="P907" s="164"/>
      <c r="Q907" s="164"/>
      <c r="R907" s="164"/>
      <c r="S907" s="164"/>
      <c r="T907" s="164"/>
      <c r="U907" s="164"/>
      <c r="V907" s="35"/>
      <c r="W907" s="35"/>
      <c r="X907" s="35"/>
      <c r="Y907" s="35"/>
      <c r="Z907" s="35"/>
      <c r="AA907" s="35"/>
      <c r="AB907" s="35"/>
      <c r="AC907" s="35"/>
      <c r="AD907" s="35"/>
      <c r="AE907" s="35"/>
      <c r="AF907" s="35"/>
      <c r="AG907" s="35"/>
      <c r="AH907" s="35"/>
    </row>
    <row r="908">
      <c r="A908" s="35"/>
      <c r="B908" s="35"/>
      <c r="C908" s="35"/>
      <c r="D908" s="172"/>
      <c r="E908" s="21"/>
      <c r="F908" s="35"/>
      <c r="G908" s="35"/>
      <c r="H908" s="35"/>
      <c r="I908" s="35"/>
      <c r="J908" s="186"/>
      <c r="K908" s="110"/>
      <c r="L908" s="35"/>
      <c r="M908" s="172"/>
      <c r="N908" s="172"/>
      <c r="O908" s="35"/>
      <c r="P908" s="164"/>
      <c r="Q908" s="164"/>
      <c r="R908" s="164"/>
      <c r="S908" s="164"/>
      <c r="T908" s="164"/>
      <c r="U908" s="164"/>
      <c r="V908" s="35"/>
      <c r="W908" s="35"/>
      <c r="X908" s="35"/>
      <c r="Y908" s="35"/>
      <c r="Z908" s="35"/>
      <c r="AA908" s="35"/>
      <c r="AB908" s="35"/>
      <c r="AC908" s="35"/>
      <c r="AD908" s="35"/>
      <c r="AE908" s="35"/>
      <c r="AF908" s="35"/>
      <c r="AG908" s="35"/>
      <c r="AH908" s="35"/>
    </row>
    <row r="909">
      <c r="A909" s="35"/>
      <c r="B909" s="35"/>
      <c r="C909" s="35"/>
      <c r="D909" s="172"/>
      <c r="E909" s="21"/>
      <c r="F909" s="35"/>
      <c r="G909" s="35"/>
      <c r="H909" s="35"/>
      <c r="I909" s="35"/>
      <c r="J909" s="186"/>
      <c r="K909" s="110"/>
      <c r="L909" s="35"/>
      <c r="M909" s="172"/>
      <c r="N909" s="172"/>
      <c r="O909" s="35"/>
      <c r="P909" s="164"/>
      <c r="Q909" s="164"/>
      <c r="R909" s="164"/>
      <c r="S909" s="164"/>
      <c r="T909" s="164"/>
      <c r="U909" s="164"/>
      <c r="V909" s="35"/>
      <c r="W909" s="35"/>
      <c r="X909" s="35"/>
      <c r="Y909" s="35"/>
      <c r="Z909" s="35"/>
      <c r="AA909" s="35"/>
      <c r="AB909" s="35"/>
      <c r="AC909" s="35"/>
      <c r="AD909" s="35"/>
      <c r="AE909" s="35"/>
      <c r="AF909" s="35"/>
      <c r="AG909" s="35"/>
      <c r="AH909" s="35"/>
    </row>
    <row r="910">
      <c r="A910" s="35"/>
      <c r="B910" s="35"/>
      <c r="C910" s="35"/>
      <c r="D910" s="172"/>
      <c r="E910" s="21"/>
      <c r="F910" s="35"/>
      <c r="G910" s="35"/>
      <c r="H910" s="35"/>
      <c r="I910" s="35"/>
      <c r="J910" s="186"/>
      <c r="K910" s="110"/>
      <c r="L910" s="35"/>
      <c r="M910" s="172"/>
      <c r="N910" s="172"/>
      <c r="O910" s="35"/>
      <c r="P910" s="164"/>
      <c r="Q910" s="164"/>
      <c r="R910" s="164"/>
      <c r="S910" s="164"/>
      <c r="T910" s="164"/>
      <c r="U910" s="164"/>
      <c r="V910" s="35"/>
      <c r="W910" s="35"/>
      <c r="X910" s="35"/>
      <c r="Y910" s="35"/>
      <c r="Z910" s="35"/>
      <c r="AA910" s="35"/>
      <c r="AB910" s="35"/>
      <c r="AC910" s="35"/>
      <c r="AD910" s="35"/>
      <c r="AE910" s="35"/>
      <c r="AF910" s="35"/>
      <c r="AG910" s="35"/>
      <c r="AH910" s="35"/>
    </row>
    <row r="911">
      <c r="A911" s="35"/>
      <c r="B911" s="35"/>
      <c r="C911" s="35"/>
      <c r="D911" s="172"/>
      <c r="E911" s="21"/>
      <c r="F911" s="35"/>
      <c r="G911" s="35"/>
      <c r="H911" s="35"/>
      <c r="I911" s="35"/>
      <c r="J911" s="186"/>
      <c r="K911" s="110"/>
      <c r="L911" s="35"/>
      <c r="M911" s="172"/>
      <c r="N911" s="172"/>
      <c r="O911" s="35"/>
      <c r="P911" s="164"/>
      <c r="Q911" s="164"/>
      <c r="R911" s="164"/>
      <c r="S911" s="164"/>
      <c r="T911" s="164"/>
      <c r="U911" s="164"/>
      <c r="V911" s="35"/>
      <c r="W911" s="35"/>
      <c r="X911" s="35"/>
      <c r="Y911" s="35"/>
      <c r="Z911" s="35"/>
      <c r="AA911" s="35"/>
      <c r="AB911" s="35"/>
      <c r="AC911" s="35"/>
      <c r="AD911" s="35"/>
      <c r="AE911" s="35"/>
      <c r="AF911" s="35"/>
      <c r="AG911" s="35"/>
      <c r="AH911" s="35"/>
    </row>
    <row r="912">
      <c r="A912" s="35"/>
      <c r="B912" s="35"/>
      <c r="C912" s="35"/>
      <c r="D912" s="172"/>
      <c r="E912" s="21"/>
      <c r="F912" s="35"/>
      <c r="G912" s="35"/>
      <c r="H912" s="35"/>
      <c r="I912" s="35"/>
      <c r="J912" s="186"/>
      <c r="K912" s="110"/>
      <c r="L912" s="35"/>
      <c r="M912" s="172"/>
      <c r="N912" s="172"/>
      <c r="O912" s="35"/>
      <c r="P912" s="164"/>
      <c r="Q912" s="164"/>
      <c r="R912" s="164"/>
      <c r="S912" s="164"/>
      <c r="T912" s="164"/>
      <c r="U912" s="164"/>
      <c r="V912" s="35"/>
      <c r="W912" s="35"/>
      <c r="X912" s="35"/>
      <c r="Y912" s="35"/>
      <c r="Z912" s="35"/>
      <c r="AA912" s="35"/>
      <c r="AB912" s="35"/>
      <c r="AC912" s="35"/>
      <c r="AD912" s="35"/>
      <c r="AE912" s="35"/>
      <c r="AF912" s="35"/>
      <c r="AG912" s="35"/>
      <c r="AH912" s="35"/>
    </row>
    <row r="913">
      <c r="A913" s="35"/>
      <c r="B913" s="35"/>
      <c r="C913" s="35"/>
      <c r="D913" s="172"/>
      <c r="E913" s="21"/>
      <c r="F913" s="35"/>
      <c r="G913" s="35"/>
      <c r="H913" s="35"/>
      <c r="I913" s="35"/>
      <c r="J913" s="186"/>
      <c r="K913" s="110"/>
      <c r="L913" s="35"/>
      <c r="M913" s="172"/>
      <c r="N913" s="172"/>
      <c r="O913" s="35"/>
      <c r="P913" s="164"/>
      <c r="Q913" s="164"/>
      <c r="R913" s="164"/>
      <c r="S913" s="164"/>
      <c r="T913" s="164"/>
      <c r="U913" s="164"/>
      <c r="V913" s="35"/>
      <c r="W913" s="35"/>
      <c r="X913" s="35"/>
      <c r="Y913" s="35"/>
      <c r="Z913" s="35"/>
      <c r="AA913" s="35"/>
      <c r="AB913" s="35"/>
      <c r="AC913" s="35"/>
      <c r="AD913" s="35"/>
      <c r="AE913" s="35"/>
      <c r="AF913" s="35"/>
      <c r="AG913" s="35"/>
      <c r="AH913" s="35"/>
    </row>
    <row r="914">
      <c r="A914" s="35"/>
      <c r="B914" s="35"/>
      <c r="C914" s="35"/>
      <c r="D914" s="172"/>
      <c r="E914" s="21"/>
      <c r="F914" s="35"/>
      <c r="G914" s="35"/>
      <c r="H914" s="35"/>
      <c r="I914" s="35"/>
      <c r="J914" s="186"/>
      <c r="K914" s="110"/>
      <c r="L914" s="35"/>
      <c r="M914" s="172"/>
      <c r="N914" s="172"/>
      <c r="O914" s="35"/>
      <c r="P914" s="164"/>
      <c r="Q914" s="164"/>
      <c r="R914" s="164"/>
      <c r="S914" s="164"/>
      <c r="T914" s="164"/>
      <c r="U914" s="164"/>
      <c r="V914" s="35"/>
      <c r="W914" s="35"/>
      <c r="X914" s="35"/>
      <c r="Y914" s="35"/>
      <c r="Z914" s="35"/>
      <c r="AA914" s="35"/>
      <c r="AB914" s="35"/>
      <c r="AC914" s="35"/>
      <c r="AD914" s="35"/>
      <c r="AE914" s="35"/>
      <c r="AF914" s="35"/>
      <c r="AG914" s="35"/>
      <c r="AH914" s="35"/>
    </row>
    <row r="915">
      <c r="A915" s="35"/>
      <c r="B915" s="35"/>
      <c r="C915" s="35"/>
      <c r="D915" s="172"/>
      <c r="E915" s="21"/>
      <c r="F915" s="35"/>
      <c r="G915" s="35"/>
      <c r="H915" s="35"/>
      <c r="I915" s="35"/>
      <c r="J915" s="186"/>
      <c r="K915" s="110"/>
      <c r="L915" s="35"/>
      <c r="M915" s="172"/>
      <c r="N915" s="172"/>
      <c r="O915" s="35"/>
      <c r="P915" s="164"/>
      <c r="Q915" s="164"/>
      <c r="R915" s="164"/>
      <c r="S915" s="164"/>
      <c r="T915" s="164"/>
      <c r="U915" s="164"/>
      <c r="V915" s="35"/>
      <c r="W915" s="35"/>
      <c r="X915" s="35"/>
      <c r="Y915" s="35"/>
      <c r="Z915" s="35"/>
      <c r="AA915" s="35"/>
      <c r="AB915" s="35"/>
      <c r="AC915" s="35"/>
      <c r="AD915" s="35"/>
      <c r="AE915" s="35"/>
      <c r="AF915" s="35"/>
      <c r="AG915" s="35"/>
      <c r="AH915" s="35"/>
    </row>
    <row r="916">
      <c r="A916" s="35"/>
      <c r="B916" s="35"/>
      <c r="C916" s="35"/>
      <c r="D916" s="172"/>
      <c r="E916" s="21"/>
      <c r="F916" s="35"/>
      <c r="G916" s="35"/>
      <c r="H916" s="35"/>
      <c r="I916" s="35"/>
      <c r="J916" s="186"/>
      <c r="K916" s="110"/>
      <c r="L916" s="35"/>
      <c r="M916" s="172"/>
      <c r="N916" s="172"/>
      <c r="O916" s="35"/>
      <c r="P916" s="164"/>
      <c r="Q916" s="164"/>
      <c r="R916" s="164"/>
      <c r="S916" s="164"/>
      <c r="T916" s="164"/>
      <c r="U916" s="164"/>
      <c r="V916" s="35"/>
      <c r="W916" s="35"/>
      <c r="X916" s="35"/>
      <c r="Y916" s="35"/>
      <c r="Z916" s="35"/>
      <c r="AA916" s="35"/>
      <c r="AB916" s="35"/>
      <c r="AC916" s="35"/>
      <c r="AD916" s="35"/>
      <c r="AE916" s="35"/>
      <c r="AF916" s="35"/>
      <c r="AG916" s="35"/>
      <c r="AH916" s="35"/>
    </row>
    <row r="917">
      <c r="A917" s="35"/>
      <c r="B917" s="35"/>
      <c r="C917" s="35"/>
      <c r="D917" s="172"/>
      <c r="E917" s="21"/>
      <c r="F917" s="35"/>
      <c r="G917" s="35"/>
      <c r="H917" s="35"/>
      <c r="I917" s="35"/>
      <c r="J917" s="186"/>
      <c r="K917" s="110"/>
      <c r="L917" s="35"/>
      <c r="M917" s="172"/>
      <c r="N917" s="172"/>
      <c r="O917" s="35"/>
      <c r="P917" s="164"/>
      <c r="Q917" s="164"/>
      <c r="R917" s="164"/>
      <c r="S917" s="164"/>
      <c r="T917" s="164"/>
      <c r="U917" s="164"/>
      <c r="V917" s="35"/>
      <c r="W917" s="35"/>
      <c r="X917" s="35"/>
      <c r="Y917" s="35"/>
      <c r="Z917" s="35"/>
      <c r="AA917" s="35"/>
      <c r="AB917" s="35"/>
      <c r="AC917" s="35"/>
      <c r="AD917" s="35"/>
      <c r="AE917" s="35"/>
      <c r="AF917" s="35"/>
      <c r="AG917" s="35"/>
      <c r="AH917" s="35"/>
    </row>
    <row r="918">
      <c r="A918" s="35"/>
      <c r="B918" s="35"/>
      <c r="C918" s="35"/>
      <c r="D918" s="172"/>
      <c r="E918" s="21"/>
      <c r="F918" s="35"/>
      <c r="G918" s="35"/>
      <c r="H918" s="35"/>
      <c r="I918" s="35"/>
      <c r="J918" s="186"/>
      <c r="K918" s="110"/>
      <c r="L918" s="35"/>
      <c r="M918" s="172"/>
      <c r="N918" s="172"/>
      <c r="O918" s="35"/>
      <c r="P918" s="164"/>
      <c r="Q918" s="164"/>
      <c r="R918" s="164"/>
      <c r="S918" s="164"/>
      <c r="T918" s="164"/>
      <c r="U918" s="164"/>
      <c r="V918" s="35"/>
      <c r="W918" s="35"/>
      <c r="X918" s="35"/>
      <c r="Y918" s="35"/>
      <c r="Z918" s="35"/>
      <c r="AA918" s="35"/>
      <c r="AB918" s="35"/>
      <c r="AC918" s="35"/>
      <c r="AD918" s="35"/>
      <c r="AE918" s="35"/>
      <c r="AF918" s="35"/>
      <c r="AG918" s="35"/>
      <c r="AH918" s="35"/>
    </row>
    <row r="919">
      <c r="A919" s="35"/>
      <c r="B919" s="35"/>
      <c r="C919" s="35"/>
      <c r="D919" s="172"/>
      <c r="E919" s="21"/>
      <c r="F919" s="35"/>
      <c r="G919" s="35"/>
      <c r="H919" s="35"/>
      <c r="I919" s="35"/>
      <c r="J919" s="186"/>
      <c r="K919" s="110"/>
      <c r="L919" s="35"/>
      <c r="M919" s="172"/>
      <c r="N919" s="172"/>
      <c r="O919" s="35"/>
      <c r="P919" s="164"/>
      <c r="Q919" s="164"/>
      <c r="R919" s="164"/>
      <c r="S919" s="164"/>
      <c r="T919" s="164"/>
      <c r="U919" s="164"/>
      <c r="V919" s="35"/>
      <c r="W919" s="35"/>
      <c r="X919" s="35"/>
      <c r="Y919" s="35"/>
      <c r="Z919" s="35"/>
      <c r="AA919" s="35"/>
      <c r="AB919" s="35"/>
      <c r="AC919" s="35"/>
      <c r="AD919" s="35"/>
      <c r="AE919" s="35"/>
      <c r="AF919" s="35"/>
      <c r="AG919" s="35"/>
      <c r="AH919" s="35"/>
    </row>
    <row r="920">
      <c r="A920" s="35"/>
      <c r="B920" s="35"/>
      <c r="C920" s="35"/>
      <c r="D920" s="172"/>
      <c r="E920" s="21"/>
      <c r="F920" s="35"/>
      <c r="G920" s="35"/>
      <c r="H920" s="35"/>
      <c r="I920" s="35"/>
      <c r="J920" s="186"/>
      <c r="K920" s="110"/>
      <c r="L920" s="35"/>
      <c r="M920" s="172"/>
      <c r="N920" s="172"/>
      <c r="O920" s="35"/>
      <c r="P920" s="164"/>
      <c r="Q920" s="164"/>
      <c r="R920" s="164"/>
      <c r="S920" s="164"/>
      <c r="T920" s="164"/>
      <c r="U920" s="164"/>
      <c r="V920" s="35"/>
      <c r="W920" s="35"/>
      <c r="X920" s="35"/>
      <c r="Y920" s="35"/>
      <c r="Z920" s="35"/>
      <c r="AA920" s="35"/>
      <c r="AB920" s="35"/>
      <c r="AC920" s="35"/>
      <c r="AD920" s="35"/>
      <c r="AE920" s="35"/>
      <c r="AF920" s="35"/>
      <c r="AG920" s="35"/>
      <c r="AH920" s="35"/>
    </row>
    <row r="921">
      <c r="A921" s="35"/>
      <c r="B921" s="35"/>
      <c r="C921" s="35"/>
      <c r="D921" s="172"/>
      <c r="E921" s="21"/>
      <c r="F921" s="35"/>
      <c r="G921" s="35"/>
      <c r="H921" s="35"/>
      <c r="I921" s="35"/>
      <c r="J921" s="186"/>
      <c r="K921" s="110"/>
      <c r="L921" s="35"/>
      <c r="M921" s="172"/>
      <c r="N921" s="172"/>
      <c r="O921" s="35"/>
      <c r="P921" s="164"/>
      <c r="Q921" s="164"/>
      <c r="R921" s="164"/>
      <c r="S921" s="164"/>
      <c r="T921" s="164"/>
      <c r="U921" s="164"/>
      <c r="V921" s="35"/>
      <c r="W921" s="35"/>
      <c r="X921" s="35"/>
      <c r="Y921" s="35"/>
      <c r="Z921" s="35"/>
      <c r="AA921" s="35"/>
      <c r="AB921" s="35"/>
      <c r="AC921" s="35"/>
      <c r="AD921" s="35"/>
      <c r="AE921" s="35"/>
      <c r="AF921" s="35"/>
      <c r="AG921" s="35"/>
      <c r="AH921" s="35"/>
    </row>
    <row r="922">
      <c r="A922" s="35"/>
      <c r="B922" s="35"/>
      <c r="C922" s="35"/>
      <c r="D922" s="172"/>
      <c r="E922" s="21"/>
      <c r="F922" s="35"/>
      <c r="G922" s="35"/>
      <c r="H922" s="35"/>
      <c r="I922" s="35"/>
      <c r="J922" s="186"/>
      <c r="K922" s="110"/>
      <c r="L922" s="35"/>
      <c r="M922" s="172"/>
      <c r="N922" s="172"/>
      <c r="O922" s="35"/>
      <c r="P922" s="164"/>
      <c r="Q922" s="164"/>
      <c r="R922" s="164"/>
      <c r="S922" s="164"/>
      <c r="T922" s="164"/>
      <c r="U922" s="164"/>
      <c r="V922" s="35"/>
      <c r="W922" s="35"/>
      <c r="X922" s="35"/>
      <c r="Y922" s="35"/>
      <c r="Z922" s="35"/>
      <c r="AA922" s="35"/>
      <c r="AB922" s="35"/>
      <c r="AC922" s="35"/>
      <c r="AD922" s="35"/>
      <c r="AE922" s="35"/>
      <c r="AF922" s="35"/>
      <c r="AG922" s="35"/>
      <c r="AH922" s="35"/>
    </row>
    <row r="923">
      <c r="A923" s="35"/>
      <c r="B923" s="35"/>
      <c r="C923" s="35"/>
      <c r="D923" s="172"/>
      <c r="E923" s="21"/>
      <c r="F923" s="35"/>
      <c r="G923" s="35"/>
      <c r="H923" s="35"/>
      <c r="I923" s="35"/>
      <c r="J923" s="186"/>
      <c r="K923" s="110"/>
      <c r="L923" s="35"/>
      <c r="M923" s="172"/>
      <c r="N923" s="172"/>
      <c r="O923" s="35"/>
      <c r="P923" s="164"/>
      <c r="Q923" s="164"/>
      <c r="R923" s="164"/>
      <c r="S923" s="164"/>
      <c r="T923" s="164"/>
      <c r="U923" s="164"/>
      <c r="V923" s="35"/>
      <c r="W923" s="35"/>
      <c r="X923" s="35"/>
      <c r="Y923" s="35"/>
      <c r="Z923" s="35"/>
      <c r="AA923" s="35"/>
      <c r="AB923" s="35"/>
      <c r="AC923" s="35"/>
      <c r="AD923" s="35"/>
      <c r="AE923" s="35"/>
      <c r="AF923" s="35"/>
      <c r="AG923" s="35"/>
      <c r="AH923" s="35"/>
    </row>
    <row r="924">
      <c r="A924" s="35"/>
      <c r="B924" s="35"/>
      <c r="C924" s="35"/>
      <c r="D924" s="172"/>
      <c r="E924" s="21"/>
      <c r="F924" s="35"/>
      <c r="G924" s="35"/>
      <c r="H924" s="35"/>
      <c r="I924" s="35"/>
      <c r="J924" s="186"/>
      <c r="K924" s="110"/>
      <c r="L924" s="35"/>
      <c r="M924" s="172"/>
      <c r="N924" s="172"/>
      <c r="O924" s="35"/>
      <c r="P924" s="164"/>
      <c r="Q924" s="164"/>
      <c r="R924" s="164"/>
      <c r="S924" s="164"/>
      <c r="T924" s="164"/>
      <c r="U924" s="164"/>
      <c r="V924" s="35"/>
      <c r="W924" s="35"/>
      <c r="X924" s="35"/>
      <c r="Y924" s="35"/>
      <c r="Z924" s="35"/>
      <c r="AA924" s="35"/>
      <c r="AB924" s="35"/>
      <c r="AC924" s="35"/>
      <c r="AD924" s="35"/>
      <c r="AE924" s="35"/>
      <c r="AF924" s="35"/>
      <c r="AG924" s="35"/>
      <c r="AH924" s="35"/>
    </row>
    <row r="925">
      <c r="A925" s="35"/>
      <c r="B925" s="35"/>
      <c r="C925" s="35"/>
      <c r="D925" s="172"/>
      <c r="E925" s="21"/>
      <c r="F925" s="35"/>
      <c r="G925" s="35"/>
      <c r="H925" s="35"/>
      <c r="I925" s="35"/>
      <c r="J925" s="186"/>
      <c r="K925" s="110"/>
      <c r="L925" s="35"/>
      <c r="M925" s="172"/>
      <c r="N925" s="172"/>
      <c r="O925" s="35"/>
      <c r="P925" s="164"/>
      <c r="Q925" s="164"/>
      <c r="R925" s="164"/>
      <c r="S925" s="164"/>
      <c r="T925" s="164"/>
      <c r="U925" s="164"/>
      <c r="V925" s="35"/>
      <c r="W925" s="35"/>
      <c r="X925" s="35"/>
      <c r="Y925" s="35"/>
      <c r="Z925" s="35"/>
      <c r="AA925" s="35"/>
      <c r="AB925" s="35"/>
      <c r="AC925" s="35"/>
      <c r="AD925" s="35"/>
      <c r="AE925" s="35"/>
      <c r="AF925" s="35"/>
      <c r="AG925" s="35"/>
      <c r="AH925" s="35"/>
    </row>
    <row r="926">
      <c r="A926" s="35"/>
      <c r="B926" s="35"/>
      <c r="C926" s="35"/>
      <c r="D926" s="172"/>
      <c r="E926" s="21"/>
      <c r="F926" s="35"/>
      <c r="G926" s="35"/>
      <c r="H926" s="35"/>
      <c r="I926" s="35"/>
      <c r="J926" s="186"/>
      <c r="K926" s="110"/>
      <c r="L926" s="35"/>
      <c r="M926" s="172"/>
      <c r="N926" s="172"/>
      <c r="O926" s="35"/>
      <c r="P926" s="164"/>
      <c r="Q926" s="164"/>
      <c r="R926" s="164"/>
      <c r="S926" s="164"/>
      <c r="T926" s="164"/>
      <c r="U926" s="164"/>
      <c r="V926" s="35"/>
      <c r="W926" s="35"/>
      <c r="X926" s="35"/>
      <c r="Y926" s="35"/>
      <c r="Z926" s="35"/>
      <c r="AA926" s="35"/>
      <c r="AB926" s="35"/>
      <c r="AC926" s="35"/>
      <c r="AD926" s="35"/>
      <c r="AE926" s="35"/>
      <c r="AF926" s="35"/>
      <c r="AG926" s="35"/>
      <c r="AH926" s="35"/>
    </row>
    <row r="927">
      <c r="A927" s="35"/>
      <c r="B927" s="35"/>
      <c r="C927" s="35"/>
      <c r="D927" s="172"/>
      <c r="E927" s="21"/>
      <c r="F927" s="35"/>
      <c r="G927" s="35"/>
      <c r="H927" s="35"/>
      <c r="I927" s="35"/>
      <c r="J927" s="186"/>
      <c r="K927" s="110"/>
      <c r="L927" s="35"/>
      <c r="M927" s="172"/>
      <c r="N927" s="172"/>
      <c r="O927" s="35"/>
      <c r="P927" s="164"/>
      <c r="Q927" s="164"/>
      <c r="R927" s="164"/>
      <c r="S927" s="164"/>
      <c r="T927" s="164"/>
      <c r="U927" s="164"/>
      <c r="V927" s="35"/>
      <c r="W927" s="35"/>
      <c r="X927" s="35"/>
      <c r="Y927" s="35"/>
      <c r="Z927" s="35"/>
      <c r="AA927" s="35"/>
      <c r="AB927" s="35"/>
      <c r="AC927" s="35"/>
      <c r="AD927" s="35"/>
      <c r="AE927" s="35"/>
      <c r="AF927" s="35"/>
      <c r="AG927" s="35"/>
      <c r="AH927" s="35"/>
    </row>
    <row r="928">
      <c r="A928" s="35"/>
      <c r="B928" s="35"/>
      <c r="C928" s="35"/>
      <c r="D928" s="172"/>
      <c r="E928" s="21"/>
      <c r="F928" s="35"/>
      <c r="G928" s="35"/>
      <c r="H928" s="35"/>
      <c r="I928" s="35"/>
      <c r="J928" s="186"/>
      <c r="K928" s="110"/>
      <c r="L928" s="35"/>
      <c r="M928" s="172"/>
      <c r="N928" s="172"/>
      <c r="O928" s="35"/>
      <c r="P928" s="164"/>
      <c r="Q928" s="164"/>
      <c r="R928" s="164"/>
      <c r="S928" s="164"/>
      <c r="T928" s="164"/>
      <c r="U928" s="164"/>
      <c r="V928" s="35"/>
      <c r="W928" s="35"/>
      <c r="X928" s="35"/>
      <c r="Y928" s="35"/>
      <c r="Z928" s="35"/>
      <c r="AA928" s="35"/>
      <c r="AB928" s="35"/>
      <c r="AC928" s="35"/>
      <c r="AD928" s="35"/>
      <c r="AE928" s="35"/>
      <c r="AF928" s="35"/>
      <c r="AG928" s="35"/>
      <c r="AH928" s="35"/>
    </row>
    <row r="929">
      <c r="A929" s="35"/>
      <c r="B929" s="35"/>
      <c r="C929" s="35"/>
      <c r="D929" s="172"/>
      <c r="E929" s="21"/>
      <c r="F929" s="35"/>
      <c r="G929" s="35"/>
      <c r="H929" s="35"/>
      <c r="I929" s="35"/>
      <c r="J929" s="186"/>
      <c r="K929" s="110"/>
      <c r="L929" s="35"/>
      <c r="M929" s="172"/>
      <c r="N929" s="172"/>
      <c r="O929" s="35"/>
      <c r="P929" s="164"/>
      <c r="Q929" s="164"/>
      <c r="R929" s="164"/>
      <c r="S929" s="164"/>
      <c r="T929" s="164"/>
      <c r="U929" s="164"/>
      <c r="V929" s="35"/>
      <c r="W929" s="35"/>
      <c r="X929" s="35"/>
      <c r="Y929" s="35"/>
      <c r="Z929" s="35"/>
      <c r="AA929" s="35"/>
      <c r="AB929" s="35"/>
      <c r="AC929" s="35"/>
      <c r="AD929" s="35"/>
      <c r="AE929" s="35"/>
      <c r="AF929" s="35"/>
      <c r="AG929" s="35"/>
      <c r="AH929" s="35"/>
    </row>
    <row r="930">
      <c r="A930" s="35"/>
      <c r="B930" s="35"/>
      <c r="C930" s="35"/>
      <c r="D930" s="172"/>
      <c r="E930" s="21"/>
      <c r="F930" s="35"/>
      <c r="G930" s="35"/>
      <c r="H930" s="35"/>
      <c r="I930" s="35"/>
      <c r="J930" s="186"/>
      <c r="K930" s="110"/>
      <c r="L930" s="35"/>
      <c r="M930" s="172"/>
      <c r="N930" s="172"/>
      <c r="O930" s="35"/>
      <c r="P930" s="164"/>
      <c r="Q930" s="164"/>
      <c r="R930" s="164"/>
      <c r="S930" s="164"/>
      <c r="T930" s="164"/>
      <c r="U930" s="164"/>
      <c r="V930" s="35"/>
      <c r="W930" s="35"/>
      <c r="X930" s="35"/>
      <c r="Y930" s="35"/>
      <c r="Z930" s="35"/>
      <c r="AA930" s="35"/>
      <c r="AB930" s="35"/>
      <c r="AC930" s="35"/>
      <c r="AD930" s="35"/>
      <c r="AE930" s="35"/>
      <c r="AF930" s="35"/>
      <c r="AG930" s="35"/>
      <c r="AH930" s="35"/>
    </row>
    <row r="931">
      <c r="A931" s="35"/>
      <c r="B931" s="35"/>
      <c r="C931" s="35"/>
      <c r="D931" s="172"/>
      <c r="E931" s="21"/>
      <c r="F931" s="35"/>
      <c r="G931" s="35"/>
      <c r="H931" s="35"/>
      <c r="I931" s="35"/>
      <c r="J931" s="186"/>
      <c r="K931" s="110"/>
      <c r="L931" s="35"/>
      <c r="M931" s="172"/>
      <c r="N931" s="172"/>
      <c r="O931" s="35"/>
      <c r="P931" s="164"/>
      <c r="Q931" s="164"/>
      <c r="R931" s="164"/>
      <c r="S931" s="164"/>
      <c r="T931" s="164"/>
      <c r="U931" s="164"/>
      <c r="V931" s="35"/>
      <c r="W931" s="35"/>
      <c r="X931" s="35"/>
      <c r="Y931" s="35"/>
      <c r="Z931" s="35"/>
      <c r="AA931" s="35"/>
      <c r="AB931" s="35"/>
      <c r="AC931" s="35"/>
      <c r="AD931" s="35"/>
      <c r="AE931" s="35"/>
      <c r="AF931" s="35"/>
      <c r="AG931" s="35"/>
      <c r="AH931" s="35"/>
    </row>
    <row r="932">
      <c r="A932" s="35"/>
      <c r="B932" s="35"/>
      <c r="C932" s="35"/>
      <c r="D932" s="172"/>
      <c r="E932" s="21"/>
      <c r="F932" s="35"/>
      <c r="G932" s="35"/>
      <c r="H932" s="35"/>
      <c r="I932" s="35"/>
      <c r="J932" s="186"/>
      <c r="K932" s="110"/>
      <c r="L932" s="35"/>
      <c r="M932" s="172"/>
      <c r="N932" s="172"/>
      <c r="O932" s="35"/>
      <c r="P932" s="164"/>
      <c r="Q932" s="164"/>
      <c r="R932" s="164"/>
      <c r="S932" s="164"/>
      <c r="T932" s="164"/>
      <c r="U932" s="164"/>
      <c r="V932" s="35"/>
      <c r="W932" s="35"/>
      <c r="X932" s="35"/>
      <c r="Y932" s="35"/>
      <c r="Z932" s="35"/>
      <c r="AA932" s="35"/>
      <c r="AB932" s="35"/>
      <c r="AC932" s="35"/>
      <c r="AD932" s="35"/>
      <c r="AE932" s="35"/>
      <c r="AF932" s="35"/>
      <c r="AG932" s="35"/>
      <c r="AH932" s="35"/>
    </row>
    <row r="933">
      <c r="A933" s="35"/>
      <c r="B933" s="35"/>
      <c r="C933" s="35"/>
      <c r="D933" s="172"/>
      <c r="E933" s="21"/>
      <c r="F933" s="35"/>
      <c r="G933" s="35"/>
      <c r="H933" s="35"/>
      <c r="I933" s="35"/>
      <c r="J933" s="186"/>
      <c r="K933" s="110"/>
      <c r="L933" s="35"/>
      <c r="M933" s="172"/>
      <c r="N933" s="172"/>
      <c r="O933" s="35"/>
      <c r="P933" s="164"/>
      <c r="Q933" s="164"/>
      <c r="R933" s="164"/>
      <c r="S933" s="164"/>
      <c r="T933" s="164"/>
      <c r="U933" s="164"/>
      <c r="V933" s="35"/>
      <c r="W933" s="35"/>
      <c r="X933" s="35"/>
      <c r="Y933" s="35"/>
      <c r="Z933" s="35"/>
      <c r="AA933" s="35"/>
      <c r="AB933" s="35"/>
      <c r="AC933" s="35"/>
      <c r="AD933" s="35"/>
      <c r="AE933" s="35"/>
      <c r="AF933" s="35"/>
      <c r="AG933" s="35"/>
      <c r="AH933" s="35"/>
    </row>
    <row r="934">
      <c r="A934" s="35"/>
      <c r="B934" s="35"/>
      <c r="C934" s="35"/>
      <c r="D934" s="172"/>
      <c r="E934" s="21"/>
      <c r="F934" s="35"/>
      <c r="G934" s="35"/>
      <c r="H934" s="35"/>
      <c r="I934" s="35"/>
      <c r="J934" s="186"/>
      <c r="K934" s="110"/>
      <c r="L934" s="35"/>
      <c r="M934" s="172"/>
      <c r="N934" s="172"/>
      <c r="O934" s="35"/>
      <c r="P934" s="164"/>
      <c r="Q934" s="164"/>
      <c r="R934" s="164"/>
      <c r="S934" s="164"/>
      <c r="T934" s="164"/>
      <c r="U934" s="164"/>
      <c r="V934" s="35"/>
      <c r="W934" s="35"/>
      <c r="X934" s="35"/>
      <c r="Y934" s="35"/>
      <c r="Z934" s="35"/>
      <c r="AA934" s="35"/>
      <c r="AB934" s="35"/>
      <c r="AC934" s="35"/>
      <c r="AD934" s="35"/>
      <c r="AE934" s="35"/>
      <c r="AF934" s="35"/>
      <c r="AG934" s="35"/>
      <c r="AH934" s="35"/>
    </row>
    <row r="935">
      <c r="A935" s="35"/>
      <c r="B935" s="35"/>
      <c r="C935" s="35"/>
      <c r="D935" s="172"/>
      <c r="E935" s="21"/>
      <c r="F935" s="35"/>
      <c r="G935" s="35"/>
      <c r="H935" s="35"/>
      <c r="I935" s="35"/>
      <c r="J935" s="186"/>
      <c r="K935" s="110"/>
      <c r="L935" s="35"/>
      <c r="M935" s="172"/>
      <c r="N935" s="172"/>
      <c r="O935" s="35"/>
      <c r="P935" s="164"/>
      <c r="Q935" s="164"/>
      <c r="R935" s="164"/>
      <c r="S935" s="164"/>
      <c r="T935" s="164"/>
      <c r="U935" s="164"/>
      <c r="V935" s="35"/>
      <c r="W935" s="35"/>
      <c r="X935" s="35"/>
      <c r="Y935" s="35"/>
      <c r="Z935" s="35"/>
      <c r="AA935" s="35"/>
      <c r="AB935" s="35"/>
      <c r="AC935" s="35"/>
      <c r="AD935" s="35"/>
      <c r="AE935" s="35"/>
      <c r="AF935" s="35"/>
      <c r="AG935" s="35"/>
      <c r="AH935" s="35"/>
    </row>
    <row r="936">
      <c r="A936" s="35"/>
      <c r="B936" s="35"/>
      <c r="C936" s="35"/>
      <c r="D936" s="172"/>
      <c r="E936" s="21"/>
      <c r="F936" s="35"/>
      <c r="G936" s="35"/>
      <c r="H936" s="35"/>
      <c r="I936" s="35"/>
      <c r="J936" s="186"/>
      <c r="K936" s="110"/>
      <c r="L936" s="35"/>
      <c r="M936" s="172"/>
      <c r="N936" s="172"/>
      <c r="O936" s="35"/>
      <c r="P936" s="164"/>
      <c r="Q936" s="164"/>
      <c r="R936" s="164"/>
      <c r="S936" s="164"/>
      <c r="T936" s="164"/>
      <c r="U936" s="164"/>
      <c r="V936" s="35"/>
      <c r="W936" s="35"/>
      <c r="X936" s="35"/>
      <c r="Y936" s="35"/>
      <c r="Z936" s="35"/>
      <c r="AA936" s="35"/>
      <c r="AB936" s="35"/>
      <c r="AC936" s="35"/>
      <c r="AD936" s="35"/>
      <c r="AE936" s="35"/>
      <c r="AF936" s="35"/>
      <c r="AG936" s="35"/>
      <c r="AH936" s="35"/>
    </row>
    <row r="937">
      <c r="A937" s="35"/>
      <c r="B937" s="35"/>
      <c r="C937" s="35"/>
      <c r="D937" s="172"/>
      <c r="E937" s="21"/>
      <c r="F937" s="35"/>
      <c r="G937" s="35"/>
      <c r="H937" s="35"/>
      <c r="I937" s="35"/>
      <c r="J937" s="186"/>
      <c r="K937" s="110"/>
      <c r="L937" s="35"/>
      <c r="M937" s="172"/>
      <c r="N937" s="172"/>
      <c r="O937" s="35"/>
      <c r="P937" s="164"/>
      <c r="Q937" s="164"/>
      <c r="R937" s="164"/>
      <c r="S937" s="164"/>
      <c r="T937" s="164"/>
      <c r="U937" s="164"/>
      <c r="V937" s="35"/>
      <c r="W937" s="35"/>
      <c r="X937" s="35"/>
      <c r="Y937" s="35"/>
      <c r="Z937" s="35"/>
      <c r="AA937" s="35"/>
      <c r="AB937" s="35"/>
      <c r="AC937" s="35"/>
      <c r="AD937" s="35"/>
      <c r="AE937" s="35"/>
      <c r="AF937" s="35"/>
      <c r="AG937" s="35"/>
      <c r="AH937" s="35"/>
    </row>
    <row r="938">
      <c r="A938" s="35"/>
      <c r="B938" s="35"/>
      <c r="C938" s="35"/>
      <c r="D938" s="172"/>
      <c r="E938" s="21"/>
      <c r="F938" s="35"/>
      <c r="G938" s="35"/>
      <c r="H938" s="35"/>
      <c r="I938" s="35"/>
      <c r="J938" s="186"/>
      <c r="K938" s="110"/>
      <c r="L938" s="35"/>
      <c r="M938" s="172"/>
      <c r="N938" s="172"/>
      <c r="O938" s="35"/>
      <c r="P938" s="164"/>
      <c r="Q938" s="164"/>
      <c r="R938" s="164"/>
      <c r="S938" s="164"/>
      <c r="T938" s="164"/>
      <c r="U938" s="164"/>
      <c r="V938" s="35"/>
      <c r="W938" s="35"/>
      <c r="X938" s="35"/>
      <c r="Y938" s="35"/>
      <c r="Z938" s="35"/>
      <c r="AA938" s="35"/>
      <c r="AB938" s="35"/>
      <c r="AC938" s="35"/>
      <c r="AD938" s="35"/>
      <c r="AE938" s="35"/>
      <c r="AF938" s="35"/>
      <c r="AG938" s="35"/>
      <c r="AH938" s="35"/>
    </row>
    <row r="939">
      <c r="A939" s="35"/>
      <c r="B939" s="35"/>
      <c r="C939" s="35"/>
      <c r="D939" s="172"/>
      <c r="E939" s="21"/>
      <c r="F939" s="35"/>
      <c r="G939" s="35"/>
      <c r="H939" s="35"/>
      <c r="I939" s="35"/>
      <c r="J939" s="186"/>
      <c r="K939" s="110"/>
      <c r="L939" s="35"/>
      <c r="M939" s="172"/>
      <c r="N939" s="172"/>
      <c r="O939" s="35"/>
      <c r="P939" s="164"/>
      <c r="Q939" s="164"/>
      <c r="R939" s="164"/>
      <c r="S939" s="164"/>
      <c r="T939" s="164"/>
      <c r="U939" s="164"/>
      <c r="V939" s="35"/>
      <c r="W939" s="35"/>
      <c r="X939" s="35"/>
      <c r="Y939" s="35"/>
      <c r="Z939" s="35"/>
      <c r="AA939" s="35"/>
      <c r="AB939" s="35"/>
      <c r="AC939" s="35"/>
      <c r="AD939" s="35"/>
      <c r="AE939" s="35"/>
      <c r="AF939" s="35"/>
      <c r="AG939" s="35"/>
      <c r="AH939" s="35"/>
    </row>
    <row r="940">
      <c r="A940" s="35"/>
      <c r="B940" s="35"/>
      <c r="C940" s="35"/>
      <c r="D940" s="172"/>
      <c r="E940" s="21"/>
      <c r="F940" s="35"/>
      <c r="G940" s="35"/>
      <c r="H940" s="35"/>
      <c r="I940" s="35"/>
      <c r="J940" s="186"/>
      <c r="K940" s="110"/>
      <c r="L940" s="35"/>
      <c r="M940" s="172"/>
      <c r="N940" s="172"/>
      <c r="O940" s="35"/>
      <c r="P940" s="164"/>
      <c r="Q940" s="164"/>
      <c r="R940" s="164"/>
      <c r="S940" s="164"/>
      <c r="T940" s="164"/>
      <c r="U940" s="164"/>
      <c r="V940" s="35"/>
      <c r="W940" s="35"/>
      <c r="X940" s="35"/>
      <c r="Y940" s="35"/>
      <c r="Z940" s="35"/>
      <c r="AA940" s="35"/>
      <c r="AB940" s="35"/>
      <c r="AC940" s="35"/>
      <c r="AD940" s="35"/>
      <c r="AE940" s="35"/>
      <c r="AF940" s="35"/>
      <c r="AG940" s="35"/>
      <c r="AH940" s="35"/>
    </row>
    <row r="941">
      <c r="A941" s="35"/>
      <c r="B941" s="35"/>
      <c r="C941" s="35"/>
      <c r="D941" s="172"/>
      <c r="E941" s="21"/>
      <c r="F941" s="35"/>
      <c r="G941" s="35"/>
      <c r="H941" s="35"/>
      <c r="I941" s="35"/>
      <c r="J941" s="186"/>
      <c r="K941" s="110"/>
      <c r="L941" s="35"/>
      <c r="M941" s="172"/>
      <c r="N941" s="172"/>
      <c r="O941" s="35"/>
      <c r="P941" s="164"/>
      <c r="Q941" s="164"/>
      <c r="R941" s="164"/>
      <c r="S941" s="164"/>
      <c r="T941" s="164"/>
      <c r="U941" s="164"/>
      <c r="V941" s="35"/>
      <c r="W941" s="35"/>
      <c r="X941" s="35"/>
      <c r="Y941" s="35"/>
      <c r="Z941" s="35"/>
      <c r="AA941" s="35"/>
      <c r="AB941" s="35"/>
      <c r="AC941" s="35"/>
      <c r="AD941" s="35"/>
      <c r="AE941" s="35"/>
      <c r="AF941" s="35"/>
      <c r="AG941" s="35"/>
      <c r="AH941" s="35"/>
    </row>
    <row r="942">
      <c r="A942" s="35"/>
      <c r="B942" s="35"/>
      <c r="C942" s="35"/>
      <c r="D942" s="172"/>
      <c r="E942" s="21"/>
      <c r="F942" s="35"/>
      <c r="G942" s="35"/>
      <c r="H942" s="35"/>
      <c r="I942" s="35"/>
      <c r="J942" s="186"/>
      <c r="K942" s="110"/>
      <c r="L942" s="35"/>
      <c r="M942" s="172"/>
      <c r="N942" s="172"/>
      <c r="O942" s="35"/>
      <c r="P942" s="164"/>
      <c r="Q942" s="164"/>
      <c r="R942" s="164"/>
      <c r="S942" s="164"/>
      <c r="T942" s="164"/>
      <c r="U942" s="164"/>
      <c r="V942" s="35"/>
      <c r="W942" s="35"/>
      <c r="X942" s="35"/>
      <c r="Y942" s="35"/>
      <c r="Z942" s="35"/>
      <c r="AA942" s="35"/>
      <c r="AB942" s="35"/>
      <c r="AC942" s="35"/>
      <c r="AD942" s="35"/>
      <c r="AE942" s="35"/>
      <c r="AF942" s="35"/>
      <c r="AG942" s="35"/>
      <c r="AH942" s="35"/>
    </row>
    <row r="943">
      <c r="A943" s="35"/>
      <c r="B943" s="35"/>
      <c r="C943" s="35"/>
      <c r="D943" s="172"/>
      <c r="E943" s="21"/>
      <c r="F943" s="35"/>
      <c r="G943" s="35"/>
      <c r="H943" s="35"/>
      <c r="I943" s="35"/>
      <c r="J943" s="186"/>
      <c r="K943" s="110"/>
      <c r="L943" s="35"/>
      <c r="M943" s="172"/>
      <c r="N943" s="172"/>
      <c r="O943" s="35"/>
      <c r="P943" s="164"/>
      <c r="Q943" s="164"/>
      <c r="R943" s="164"/>
      <c r="S943" s="164"/>
      <c r="T943" s="164"/>
      <c r="U943" s="164"/>
      <c r="V943" s="35"/>
      <c r="W943" s="35"/>
      <c r="X943" s="35"/>
      <c r="Y943" s="35"/>
      <c r="Z943" s="35"/>
      <c r="AA943" s="35"/>
      <c r="AB943" s="35"/>
      <c r="AC943" s="35"/>
      <c r="AD943" s="35"/>
      <c r="AE943" s="35"/>
      <c r="AF943" s="35"/>
      <c r="AG943" s="35"/>
      <c r="AH943" s="35"/>
    </row>
    <row r="944">
      <c r="A944" s="35"/>
      <c r="B944" s="35"/>
      <c r="C944" s="35"/>
      <c r="D944" s="172"/>
      <c r="E944" s="21"/>
      <c r="F944" s="35"/>
      <c r="G944" s="35"/>
      <c r="H944" s="35"/>
      <c r="I944" s="35"/>
      <c r="J944" s="186"/>
      <c r="K944" s="110"/>
      <c r="L944" s="35"/>
      <c r="M944" s="172"/>
      <c r="N944" s="172"/>
      <c r="O944" s="35"/>
      <c r="P944" s="164"/>
      <c r="Q944" s="164"/>
      <c r="R944" s="164"/>
      <c r="S944" s="164"/>
      <c r="T944" s="164"/>
      <c r="U944" s="164"/>
      <c r="V944" s="35"/>
      <c r="W944" s="35"/>
      <c r="X944" s="35"/>
      <c r="Y944" s="35"/>
      <c r="Z944" s="35"/>
      <c r="AA944" s="35"/>
      <c r="AB944" s="35"/>
      <c r="AC944" s="35"/>
      <c r="AD944" s="35"/>
      <c r="AE944" s="35"/>
      <c r="AF944" s="35"/>
      <c r="AG944" s="35"/>
      <c r="AH944" s="35"/>
    </row>
    <row r="945">
      <c r="A945" s="35"/>
      <c r="B945" s="35"/>
      <c r="C945" s="35"/>
      <c r="D945" s="172"/>
      <c r="E945" s="21"/>
      <c r="F945" s="35"/>
      <c r="G945" s="35"/>
      <c r="H945" s="35"/>
      <c r="I945" s="35"/>
      <c r="J945" s="186"/>
      <c r="K945" s="110"/>
      <c r="L945" s="35"/>
      <c r="M945" s="172"/>
      <c r="N945" s="172"/>
      <c r="O945" s="35"/>
      <c r="P945" s="164"/>
      <c r="Q945" s="164"/>
      <c r="R945" s="164"/>
      <c r="S945" s="164"/>
      <c r="T945" s="164"/>
      <c r="U945" s="164"/>
      <c r="V945" s="35"/>
      <c r="W945" s="35"/>
      <c r="X945" s="35"/>
      <c r="Y945" s="35"/>
      <c r="Z945" s="35"/>
      <c r="AA945" s="35"/>
      <c r="AB945" s="35"/>
      <c r="AC945" s="35"/>
      <c r="AD945" s="35"/>
      <c r="AE945" s="35"/>
      <c r="AF945" s="35"/>
      <c r="AG945" s="35"/>
      <c r="AH945" s="35"/>
    </row>
    <row r="946">
      <c r="A946" s="35"/>
      <c r="B946" s="35"/>
      <c r="C946" s="35"/>
      <c r="D946" s="172"/>
      <c r="E946" s="21"/>
      <c r="F946" s="35"/>
      <c r="G946" s="35"/>
      <c r="H946" s="35"/>
      <c r="I946" s="35"/>
      <c r="J946" s="186"/>
      <c r="K946" s="110"/>
      <c r="L946" s="35"/>
      <c r="M946" s="172"/>
      <c r="N946" s="172"/>
      <c r="O946" s="35"/>
      <c r="P946" s="164"/>
      <c r="Q946" s="164"/>
      <c r="R946" s="164"/>
      <c r="S946" s="164"/>
      <c r="T946" s="164"/>
      <c r="U946" s="164"/>
      <c r="V946" s="35"/>
      <c r="W946" s="35"/>
      <c r="X946" s="35"/>
      <c r="Y946" s="35"/>
      <c r="Z946" s="35"/>
      <c r="AA946" s="35"/>
      <c r="AB946" s="35"/>
      <c r="AC946" s="35"/>
      <c r="AD946" s="35"/>
      <c r="AE946" s="35"/>
      <c r="AF946" s="35"/>
      <c r="AG946" s="35"/>
      <c r="AH946" s="35"/>
    </row>
    <row r="947">
      <c r="A947" s="35"/>
      <c r="B947" s="35"/>
      <c r="C947" s="35"/>
      <c r="D947" s="172"/>
      <c r="E947" s="21"/>
      <c r="F947" s="35"/>
      <c r="G947" s="35"/>
      <c r="H947" s="35"/>
      <c r="I947" s="35"/>
      <c r="J947" s="186"/>
      <c r="K947" s="110"/>
      <c r="L947" s="35"/>
      <c r="M947" s="172"/>
      <c r="N947" s="172"/>
      <c r="O947" s="35"/>
      <c r="P947" s="164"/>
      <c r="Q947" s="164"/>
      <c r="R947" s="164"/>
      <c r="S947" s="164"/>
      <c r="T947" s="164"/>
      <c r="U947" s="164"/>
      <c r="V947" s="35"/>
      <c r="W947" s="35"/>
      <c r="X947" s="35"/>
      <c r="Y947" s="35"/>
      <c r="Z947" s="35"/>
      <c r="AA947" s="35"/>
      <c r="AB947" s="35"/>
      <c r="AC947" s="35"/>
      <c r="AD947" s="35"/>
      <c r="AE947" s="35"/>
      <c r="AF947" s="35"/>
      <c r="AG947" s="35"/>
      <c r="AH947" s="35"/>
    </row>
    <row r="948">
      <c r="A948" s="35"/>
      <c r="B948" s="35"/>
      <c r="C948" s="35"/>
      <c r="D948" s="172"/>
      <c r="E948" s="21"/>
      <c r="F948" s="35"/>
      <c r="G948" s="35"/>
      <c r="H948" s="35"/>
      <c r="I948" s="35"/>
      <c r="J948" s="186"/>
      <c r="K948" s="110"/>
      <c r="L948" s="35"/>
      <c r="M948" s="172"/>
      <c r="N948" s="172"/>
      <c r="O948" s="35"/>
      <c r="P948" s="164"/>
      <c r="Q948" s="164"/>
      <c r="R948" s="164"/>
      <c r="S948" s="164"/>
      <c r="T948" s="164"/>
      <c r="U948" s="164"/>
      <c r="V948" s="35"/>
      <c r="W948" s="35"/>
      <c r="X948" s="35"/>
      <c r="Y948" s="35"/>
      <c r="Z948" s="35"/>
      <c r="AA948" s="35"/>
      <c r="AB948" s="35"/>
      <c r="AC948" s="35"/>
      <c r="AD948" s="35"/>
      <c r="AE948" s="35"/>
      <c r="AF948" s="35"/>
      <c r="AG948" s="35"/>
      <c r="AH948" s="35"/>
    </row>
    <row r="949">
      <c r="A949" s="35"/>
      <c r="B949" s="35"/>
      <c r="C949" s="35"/>
      <c r="D949" s="172"/>
      <c r="E949" s="21"/>
      <c r="F949" s="35"/>
      <c r="G949" s="35"/>
      <c r="H949" s="35"/>
      <c r="I949" s="35"/>
      <c r="J949" s="186"/>
      <c r="K949" s="110"/>
      <c r="L949" s="35"/>
      <c r="M949" s="172"/>
      <c r="N949" s="172"/>
      <c r="O949" s="35"/>
      <c r="P949" s="164"/>
      <c r="Q949" s="164"/>
      <c r="R949" s="164"/>
      <c r="S949" s="164"/>
      <c r="T949" s="164"/>
      <c r="U949" s="164"/>
      <c r="V949" s="35"/>
      <c r="W949" s="35"/>
      <c r="X949" s="35"/>
      <c r="Y949" s="35"/>
      <c r="Z949" s="35"/>
      <c r="AA949" s="35"/>
      <c r="AB949" s="35"/>
      <c r="AC949" s="35"/>
      <c r="AD949" s="35"/>
      <c r="AE949" s="35"/>
      <c r="AF949" s="35"/>
      <c r="AG949" s="35"/>
      <c r="AH949" s="35"/>
    </row>
    <row r="950">
      <c r="A950" s="35"/>
      <c r="B950" s="35"/>
      <c r="C950" s="35"/>
      <c r="D950" s="172"/>
      <c r="E950" s="21"/>
      <c r="F950" s="35"/>
      <c r="G950" s="35"/>
      <c r="H950" s="35"/>
      <c r="I950" s="35"/>
      <c r="J950" s="186"/>
      <c r="K950" s="110"/>
      <c r="L950" s="35"/>
      <c r="M950" s="172"/>
      <c r="N950" s="172"/>
      <c r="O950" s="35"/>
      <c r="P950" s="164"/>
      <c r="Q950" s="164"/>
      <c r="R950" s="164"/>
      <c r="S950" s="164"/>
      <c r="T950" s="164"/>
      <c r="U950" s="164"/>
      <c r="V950" s="35"/>
      <c r="W950" s="35"/>
      <c r="X950" s="35"/>
      <c r="Y950" s="35"/>
      <c r="Z950" s="35"/>
      <c r="AA950" s="35"/>
      <c r="AB950" s="35"/>
      <c r="AC950" s="35"/>
      <c r="AD950" s="35"/>
      <c r="AE950" s="35"/>
      <c r="AF950" s="35"/>
      <c r="AG950" s="35"/>
      <c r="AH950" s="35"/>
    </row>
    <row r="951">
      <c r="A951" s="35"/>
      <c r="B951" s="35"/>
      <c r="C951" s="35"/>
      <c r="D951" s="172"/>
      <c r="E951" s="21"/>
      <c r="F951" s="35"/>
      <c r="G951" s="35"/>
      <c r="H951" s="35"/>
      <c r="I951" s="35"/>
      <c r="J951" s="186"/>
      <c r="K951" s="110"/>
      <c r="L951" s="35"/>
      <c r="M951" s="172"/>
      <c r="N951" s="172"/>
      <c r="O951" s="35"/>
      <c r="P951" s="164"/>
      <c r="Q951" s="164"/>
      <c r="R951" s="164"/>
      <c r="S951" s="164"/>
      <c r="T951" s="164"/>
      <c r="U951" s="164"/>
      <c r="V951" s="35"/>
      <c r="W951" s="35"/>
      <c r="X951" s="35"/>
      <c r="Y951" s="35"/>
      <c r="Z951" s="35"/>
      <c r="AA951" s="35"/>
      <c r="AB951" s="35"/>
      <c r="AC951" s="35"/>
      <c r="AD951" s="35"/>
      <c r="AE951" s="35"/>
      <c r="AF951" s="35"/>
      <c r="AG951" s="35"/>
      <c r="AH951" s="35"/>
    </row>
    <row r="952">
      <c r="A952" s="35"/>
      <c r="B952" s="35"/>
      <c r="C952" s="35"/>
      <c r="D952" s="172"/>
      <c r="E952" s="21"/>
      <c r="F952" s="35"/>
      <c r="G952" s="35"/>
      <c r="H952" s="35"/>
      <c r="I952" s="35"/>
      <c r="J952" s="186"/>
      <c r="K952" s="110"/>
      <c r="L952" s="35"/>
      <c r="M952" s="172"/>
      <c r="N952" s="172"/>
      <c r="O952" s="35"/>
      <c r="P952" s="164"/>
      <c r="Q952" s="164"/>
      <c r="R952" s="164"/>
      <c r="S952" s="164"/>
      <c r="T952" s="164"/>
      <c r="U952" s="164"/>
      <c r="V952" s="35"/>
      <c r="W952" s="35"/>
      <c r="X952" s="35"/>
      <c r="Y952" s="35"/>
      <c r="Z952" s="35"/>
      <c r="AA952" s="35"/>
      <c r="AB952" s="35"/>
      <c r="AC952" s="35"/>
      <c r="AD952" s="35"/>
      <c r="AE952" s="35"/>
      <c r="AF952" s="35"/>
      <c r="AG952" s="35"/>
      <c r="AH952" s="35"/>
    </row>
    <row r="953">
      <c r="A953" s="35"/>
      <c r="B953" s="35"/>
      <c r="C953" s="35"/>
      <c r="D953" s="172"/>
      <c r="E953" s="21"/>
      <c r="F953" s="35"/>
      <c r="G953" s="35"/>
      <c r="H953" s="35"/>
      <c r="I953" s="35"/>
      <c r="J953" s="186"/>
      <c r="K953" s="110"/>
      <c r="L953" s="35"/>
      <c r="M953" s="172"/>
      <c r="N953" s="172"/>
      <c r="O953" s="35"/>
      <c r="P953" s="164"/>
      <c r="Q953" s="164"/>
      <c r="R953" s="164"/>
      <c r="S953" s="164"/>
      <c r="T953" s="164"/>
      <c r="U953" s="164"/>
      <c r="V953" s="35"/>
      <c r="W953" s="35"/>
      <c r="X953" s="35"/>
      <c r="Y953" s="35"/>
      <c r="Z953" s="35"/>
      <c r="AA953" s="35"/>
      <c r="AB953" s="35"/>
      <c r="AC953" s="35"/>
      <c r="AD953" s="35"/>
      <c r="AE953" s="35"/>
      <c r="AF953" s="35"/>
      <c r="AG953" s="35"/>
      <c r="AH953" s="35"/>
    </row>
    <row r="954">
      <c r="A954" s="35"/>
      <c r="B954" s="35"/>
      <c r="C954" s="35"/>
      <c r="D954" s="172"/>
      <c r="E954" s="21"/>
      <c r="F954" s="35"/>
      <c r="G954" s="35"/>
      <c r="H954" s="35"/>
      <c r="I954" s="35"/>
      <c r="J954" s="186"/>
      <c r="K954" s="110"/>
      <c r="L954" s="35"/>
      <c r="M954" s="172"/>
      <c r="N954" s="172"/>
      <c r="O954" s="35"/>
      <c r="P954" s="164"/>
      <c r="Q954" s="164"/>
      <c r="R954" s="164"/>
      <c r="S954" s="164"/>
      <c r="T954" s="164"/>
      <c r="U954" s="164"/>
      <c r="V954" s="35"/>
      <c r="W954" s="35"/>
      <c r="X954" s="35"/>
      <c r="Y954" s="35"/>
      <c r="Z954" s="35"/>
      <c r="AA954" s="35"/>
      <c r="AB954" s="35"/>
      <c r="AC954" s="35"/>
      <c r="AD954" s="35"/>
      <c r="AE954" s="35"/>
      <c r="AF954" s="35"/>
      <c r="AG954" s="35"/>
      <c r="AH954" s="35"/>
    </row>
    <row r="955">
      <c r="A955" s="35"/>
      <c r="B955" s="35"/>
      <c r="C955" s="35"/>
      <c r="D955" s="172"/>
      <c r="E955" s="21"/>
      <c r="F955" s="35"/>
      <c r="G955" s="35"/>
      <c r="H955" s="35"/>
      <c r="I955" s="35"/>
      <c r="J955" s="186"/>
      <c r="K955" s="110"/>
      <c r="L955" s="35"/>
      <c r="M955" s="172"/>
      <c r="N955" s="172"/>
      <c r="O955" s="35"/>
      <c r="P955" s="164"/>
      <c r="Q955" s="164"/>
      <c r="R955" s="164"/>
      <c r="S955" s="164"/>
      <c r="T955" s="164"/>
      <c r="U955" s="164"/>
      <c r="V955" s="35"/>
      <c r="W955" s="35"/>
      <c r="X955" s="35"/>
      <c r="Y955" s="35"/>
      <c r="Z955" s="35"/>
      <c r="AA955" s="35"/>
      <c r="AB955" s="35"/>
      <c r="AC955" s="35"/>
      <c r="AD955" s="35"/>
      <c r="AE955" s="35"/>
      <c r="AF955" s="35"/>
      <c r="AG955" s="35"/>
      <c r="AH955" s="35"/>
    </row>
    <row r="956">
      <c r="A956" s="35"/>
      <c r="B956" s="35"/>
      <c r="C956" s="35"/>
      <c r="D956" s="172"/>
      <c r="E956" s="21"/>
      <c r="F956" s="35"/>
      <c r="G956" s="35"/>
      <c r="H956" s="35"/>
      <c r="I956" s="35"/>
      <c r="J956" s="186"/>
      <c r="K956" s="110"/>
      <c r="L956" s="35"/>
      <c r="M956" s="172"/>
      <c r="N956" s="172"/>
      <c r="O956" s="35"/>
      <c r="P956" s="164"/>
      <c r="Q956" s="164"/>
      <c r="R956" s="164"/>
      <c r="S956" s="164"/>
      <c r="T956" s="164"/>
      <c r="U956" s="164"/>
      <c r="V956" s="35"/>
      <c r="W956" s="35"/>
      <c r="X956" s="35"/>
      <c r="Y956" s="35"/>
      <c r="Z956" s="35"/>
      <c r="AA956" s="35"/>
      <c r="AB956" s="35"/>
      <c r="AC956" s="35"/>
      <c r="AD956" s="35"/>
      <c r="AE956" s="35"/>
      <c r="AF956" s="35"/>
      <c r="AG956" s="35"/>
      <c r="AH956" s="35"/>
    </row>
    <row r="957">
      <c r="A957" s="35"/>
      <c r="B957" s="35"/>
      <c r="C957" s="35"/>
      <c r="D957" s="172"/>
      <c r="E957" s="21"/>
      <c r="F957" s="35"/>
      <c r="G957" s="35"/>
      <c r="H957" s="35"/>
      <c r="I957" s="35"/>
      <c r="J957" s="186"/>
      <c r="K957" s="110"/>
      <c r="L957" s="35"/>
      <c r="M957" s="172"/>
      <c r="N957" s="172"/>
      <c r="O957" s="35"/>
      <c r="P957" s="164"/>
      <c r="Q957" s="164"/>
      <c r="R957" s="164"/>
      <c r="S957" s="164"/>
      <c r="T957" s="164"/>
      <c r="U957" s="164"/>
      <c r="V957" s="35"/>
      <c r="W957" s="35"/>
      <c r="X957" s="35"/>
      <c r="Y957" s="35"/>
      <c r="Z957" s="35"/>
      <c r="AA957" s="35"/>
      <c r="AB957" s="35"/>
      <c r="AC957" s="35"/>
      <c r="AD957" s="35"/>
      <c r="AE957" s="35"/>
      <c r="AF957" s="35"/>
      <c r="AG957" s="35"/>
      <c r="AH957" s="35"/>
    </row>
    <row r="958">
      <c r="A958" s="35"/>
      <c r="B958" s="35"/>
      <c r="C958" s="35"/>
      <c r="D958" s="172"/>
      <c r="E958" s="21"/>
      <c r="F958" s="35"/>
      <c r="G958" s="35"/>
      <c r="H958" s="35"/>
      <c r="I958" s="35"/>
      <c r="J958" s="186"/>
      <c r="K958" s="110"/>
      <c r="L958" s="35"/>
      <c r="M958" s="172"/>
      <c r="N958" s="172"/>
      <c r="O958" s="35"/>
      <c r="P958" s="164"/>
      <c r="Q958" s="164"/>
      <c r="R958" s="164"/>
      <c r="S958" s="164"/>
      <c r="T958" s="164"/>
      <c r="U958" s="164"/>
      <c r="V958" s="35"/>
      <c r="W958" s="35"/>
      <c r="X958" s="35"/>
      <c r="Y958" s="35"/>
      <c r="Z958" s="35"/>
      <c r="AA958" s="35"/>
      <c r="AB958" s="35"/>
      <c r="AC958" s="35"/>
      <c r="AD958" s="35"/>
      <c r="AE958" s="35"/>
      <c r="AF958" s="35"/>
      <c r="AG958" s="35"/>
      <c r="AH958" s="35"/>
    </row>
    <row r="959">
      <c r="A959" s="35"/>
      <c r="B959" s="35"/>
      <c r="C959" s="35"/>
      <c r="D959" s="172"/>
      <c r="E959" s="21"/>
      <c r="F959" s="35"/>
      <c r="G959" s="35"/>
      <c r="H959" s="35"/>
      <c r="I959" s="35"/>
      <c r="J959" s="186"/>
      <c r="K959" s="110"/>
      <c r="L959" s="35"/>
      <c r="M959" s="172"/>
      <c r="N959" s="172"/>
      <c r="O959" s="35"/>
      <c r="P959" s="164"/>
      <c r="Q959" s="164"/>
      <c r="R959" s="164"/>
      <c r="S959" s="164"/>
      <c r="T959" s="164"/>
      <c r="U959" s="164"/>
      <c r="V959" s="35"/>
      <c r="W959" s="35"/>
      <c r="X959" s="35"/>
      <c r="Y959" s="35"/>
      <c r="Z959" s="35"/>
      <c r="AA959" s="35"/>
      <c r="AB959" s="35"/>
      <c r="AC959" s="35"/>
      <c r="AD959" s="35"/>
      <c r="AE959" s="35"/>
      <c r="AF959" s="35"/>
      <c r="AG959" s="35"/>
      <c r="AH959" s="35"/>
    </row>
    <row r="960">
      <c r="A960" s="35"/>
      <c r="B960" s="35"/>
      <c r="C960" s="35"/>
      <c r="D960" s="172"/>
      <c r="E960" s="21"/>
      <c r="F960" s="35"/>
      <c r="G960" s="35"/>
      <c r="H960" s="35"/>
      <c r="I960" s="35"/>
      <c r="J960" s="186"/>
      <c r="K960" s="110"/>
      <c r="L960" s="35"/>
      <c r="M960" s="172"/>
      <c r="N960" s="172"/>
      <c r="O960" s="35"/>
      <c r="P960" s="164"/>
      <c r="Q960" s="164"/>
      <c r="R960" s="164"/>
      <c r="S960" s="164"/>
      <c r="T960" s="164"/>
      <c r="U960" s="164"/>
      <c r="V960" s="35"/>
      <c r="W960" s="35"/>
      <c r="X960" s="35"/>
      <c r="Y960" s="35"/>
      <c r="Z960" s="35"/>
      <c r="AA960" s="35"/>
      <c r="AB960" s="35"/>
      <c r="AC960" s="35"/>
      <c r="AD960" s="35"/>
      <c r="AE960" s="35"/>
      <c r="AF960" s="35"/>
      <c r="AG960" s="35"/>
      <c r="AH960" s="35"/>
    </row>
    <row r="961">
      <c r="A961" s="35"/>
      <c r="B961" s="35"/>
      <c r="C961" s="35"/>
      <c r="D961" s="172"/>
      <c r="E961" s="21"/>
      <c r="F961" s="35"/>
      <c r="G961" s="35"/>
      <c r="H961" s="35"/>
      <c r="I961" s="35"/>
      <c r="J961" s="186"/>
      <c r="K961" s="110"/>
      <c r="L961" s="35"/>
      <c r="M961" s="172"/>
      <c r="N961" s="172"/>
      <c r="O961" s="35"/>
      <c r="P961" s="164"/>
      <c r="Q961" s="164"/>
      <c r="R961" s="164"/>
      <c r="S961" s="164"/>
      <c r="T961" s="164"/>
      <c r="U961" s="164"/>
      <c r="V961" s="35"/>
      <c r="W961" s="35"/>
      <c r="X961" s="35"/>
      <c r="Y961" s="35"/>
      <c r="Z961" s="35"/>
      <c r="AA961" s="35"/>
      <c r="AB961" s="35"/>
      <c r="AC961" s="35"/>
      <c r="AD961" s="35"/>
      <c r="AE961" s="35"/>
      <c r="AF961" s="35"/>
      <c r="AG961" s="35"/>
      <c r="AH961" s="35"/>
    </row>
    <row r="962">
      <c r="A962" s="35"/>
      <c r="B962" s="35"/>
      <c r="C962" s="35"/>
      <c r="D962" s="172"/>
      <c r="E962" s="21"/>
      <c r="F962" s="35"/>
      <c r="G962" s="35"/>
      <c r="H962" s="35"/>
      <c r="I962" s="35"/>
      <c r="J962" s="186"/>
      <c r="K962" s="110"/>
      <c r="L962" s="35"/>
      <c r="M962" s="172"/>
      <c r="N962" s="172"/>
      <c r="O962" s="35"/>
      <c r="P962" s="164"/>
      <c r="Q962" s="164"/>
      <c r="R962" s="164"/>
      <c r="S962" s="164"/>
      <c r="T962" s="164"/>
      <c r="U962" s="164"/>
      <c r="V962" s="35"/>
      <c r="W962" s="35"/>
      <c r="X962" s="35"/>
      <c r="Y962" s="35"/>
      <c r="Z962" s="35"/>
      <c r="AA962" s="35"/>
      <c r="AB962" s="35"/>
      <c r="AC962" s="35"/>
      <c r="AD962" s="35"/>
      <c r="AE962" s="35"/>
      <c r="AF962" s="35"/>
      <c r="AG962" s="35"/>
      <c r="AH962" s="35"/>
    </row>
    <row r="963">
      <c r="A963" s="35"/>
      <c r="B963" s="35"/>
      <c r="C963" s="35"/>
      <c r="D963" s="172"/>
      <c r="E963" s="21"/>
      <c r="F963" s="35"/>
      <c r="G963" s="35"/>
      <c r="H963" s="35"/>
      <c r="I963" s="35"/>
      <c r="J963" s="186"/>
      <c r="K963" s="110"/>
      <c r="L963" s="35"/>
      <c r="M963" s="172"/>
      <c r="N963" s="172"/>
      <c r="O963" s="35"/>
      <c r="P963" s="164"/>
      <c r="Q963" s="164"/>
      <c r="R963" s="164"/>
      <c r="S963" s="164"/>
      <c r="T963" s="164"/>
      <c r="U963" s="164"/>
      <c r="V963" s="35"/>
      <c r="W963" s="35"/>
      <c r="X963" s="35"/>
      <c r="Y963" s="35"/>
      <c r="Z963" s="35"/>
      <c r="AA963" s="35"/>
      <c r="AB963" s="35"/>
      <c r="AC963" s="35"/>
      <c r="AD963" s="35"/>
      <c r="AE963" s="35"/>
      <c r="AF963" s="35"/>
      <c r="AG963" s="35"/>
      <c r="AH963" s="35"/>
    </row>
    <row r="964">
      <c r="A964" s="35"/>
      <c r="B964" s="35"/>
      <c r="C964" s="35"/>
      <c r="D964" s="172"/>
      <c r="E964" s="21"/>
      <c r="F964" s="35"/>
      <c r="G964" s="35"/>
      <c r="H964" s="35"/>
      <c r="I964" s="35"/>
      <c r="J964" s="186"/>
      <c r="K964" s="110"/>
      <c r="L964" s="35"/>
      <c r="M964" s="172"/>
      <c r="N964" s="172"/>
      <c r="O964" s="35"/>
      <c r="P964" s="164"/>
      <c r="Q964" s="164"/>
      <c r="R964" s="164"/>
      <c r="S964" s="164"/>
      <c r="T964" s="164"/>
      <c r="U964" s="164"/>
      <c r="V964" s="35"/>
      <c r="W964" s="35"/>
      <c r="X964" s="35"/>
      <c r="Y964" s="35"/>
      <c r="Z964" s="35"/>
      <c r="AA964" s="35"/>
      <c r="AB964" s="35"/>
      <c r="AC964" s="35"/>
      <c r="AD964" s="35"/>
      <c r="AE964" s="35"/>
      <c r="AF964" s="35"/>
      <c r="AG964" s="35"/>
      <c r="AH964" s="35"/>
    </row>
    <row r="965">
      <c r="A965" s="35"/>
      <c r="B965" s="35"/>
      <c r="C965" s="35"/>
      <c r="D965" s="172"/>
      <c r="E965" s="21"/>
      <c r="F965" s="35"/>
      <c r="G965" s="35"/>
      <c r="H965" s="35"/>
      <c r="I965" s="35"/>
      <c r="J965" s="186"/>
      <c r="K965" s="110"/>
      <c r="L965" s="35"/>
      <c r="M965" s="172"/>
      <c r="N965" s="172"/>
      <c r="O965" s="35"/>
      <c r="P965" s="164"/>
      <c r="Q965" s="164"/>
      <c r="R965" s="164"/>
      <c r="S965" s="164"/>
      <c r="T965" s="164"/>
      <c r="U965" s="164"/>
      <c r="V965" s="35"/>
      <c r="W965" s="35"/>
      <c r="X965" s="35"/>
      <c r="Y965" s="35"/>
      <c r="Z965" s="35"/>
      <c r="AA965" s="35"/>
      <c r="AB965" s="35"/>
      <c r="AC965" s="35"/>
      <c r="AD965" s="35"/>
      <c r="AE965" s="35"/>
      <c r="AF965" s="35"/>
      <c r="AG965" s="35"/>
      <c r="AH965" s="35"/>
    </row>
    <row r="966">
      <c r="A966" s="35"/>
      <c r="B966" s="35"/>
      <c r="C966" s="35"/>
      <c r="D966" s="172"/>
      <c r="E966" s="21"/>
      <c r="F966" s="35"/>
      <c r="G966" s="35"/>
      <c r="H966" s="35"/>
      <c r="I966" s="35"/>
      <c r="J966" s="186"/>
      <c r="K966" s="110"/>
      <c r="L966" s="35"/>
      <c r="M966" s="172"/>
      <c r="N966" s="172"/>
      <c r="O966" s="35"/>
      <c r="P966" s="164"/>
      <c r="Q966" s="164"/>
      <c r="R966" s="164"/>
      <c r="S966" s="164"/>
      <c r="T966" s="164"/>
      <c r="U966" s="164"/>
      <c r="V966" s="35"/>
      <c r="W966" s="35"/>
      <c r="X966" s="35"/>
      <c r="Y966" s="35"/>
      <c r="Z966" s="35"/>
      <c r="AA966" s="35"/>
      <c r="AB966" s="35"/>
      <c r="AC966" s="35"/>
      <c r="AD966" s="35"/>
      <c r="AE966" s="35"/>
      <c r="AF966" s="35"/>
      <c r="AG966" s="35"/>
      <c r="AH966" s="35"/>
    </row>
    <row r="967">
      <c r="A967" s="35"/>
      <c r="B967" s="35"/>
      <c r="C967" s="35"/>
      <c r="D967" s="172"/>
      <c r="E967" s="21"/>
      <c r="F967" s="35"/>
      <c r="G967" s="35"/>
      <c r="H967" s="35"/>
      <c r="I967" s="35"/>
      <c r="J967" s="186"/>
      <c r="K967" s="110"/>
      <c r="L967" s="35"/>
      <c r="M967" s="172"/>
      <c r="N967" s="172"/>
      <c r="O967" s="35"/>
      <c r="P967" s="164"/>
      <c r="Q967" s="164"/>
      <c r="R967" s="164"/>
      <c r="S967" s="164"/>
      <c r="T967" s="164"/>
      <c r="U967" s="164"/>
      <c r="V967" s="35"/>
      <c r="W967" s="35"/>
      <c r="X967" s="35"/>
      <c r="Y967" s="35"/>
      <c r="Z967" s="35"/>
      <c r="AA967" s="35"/>
      <c r="AB967" s="35"/>
      <c r="AC967" s="35"/>
      <c r="AD967" s="35"/>
      <c r="AE967" s="35"/>
      <c r="AF967" s="35"/>
      <c r="AG967" s="35"/>
      <c r="AH967" s="35"/>
    </row>
    <row r="968">
      <c r="A968" s="35"/>
      <c r="B968" s="35"/>
      <c r="C968" s="35"/>
      <c r="D968" s="172"/>
      <c r="E968" s="21"/>
      <c r="F968" s="35"/>
      <c r="G968" s="35"/>
      <c r="H968" s="35"/>
      <c r="I968" s="35"/>
      <c r="J968" s="186"/>
      <c r="K968" s="110"/>
      <c r="L968" s="35"/>
      <c r="M968" s="172"/>
      <c r="N968" s="172"/>
      <c r="O968" s="35"/>
      <c r="P968" s="164"/>
      <c r="Q968" s="164"/>
      <c r="R968" s="164"/>
      <c r="S968" s="164"/>
      <c r="T968" s="164"/>
      <c r="U968" s="164"/>
      <c r="V968" s="35"/>
      <c r="W968" s="35"/>
      <c r="X968" s="35"/>
      <c r="Y968" s="35"/>
      <c r="Z968" s="35"/>
      <c r="AA968" s="35"/>
      <c r="AB968" s="35"/>
      <c r="AC968" s="35"/>
      <c r="AD968" s="35"/>
      <c r="AE968" s="35"/>
      <c r="AF968" s="35"/>
      <c r="AG968" s="35"/>
      <c r="AH968" s="35"/>
    </row>
    <row r="969">
      <c r="A969" s="35"/>
      <c r="B969" s="35"/>
      <c r="C969" s="35"/>
      <c r="D969" s="172"/>
      <c r="E969" s="21"/>
      <c r="F969" s="35"/>
      <c r="G969" s="35"/>
      <c r="H969" s="35"/>
      <c r="I969" s="35"/>
      <c r="J969" s="186"/>
      <c r="K969" s="110"/>
      <c r="L969" s="35"/>
      <c r="M969" s="172"/>
      <c r="N969" s="172"/>
      <c r="O969" s="35"/>
      <c r="P969" s="164"/>
      <c r="Q969" s="164"/>
      <c r="R969" s="164"/>
      <c r="S969" s="164"/>
      <c r="T969" s="164"/>
      <c r="U969" s="164"/>
      <c r="V969" s="35"/>
      <c r="W969" s="35"/>
      <c r="X969" s="35"/>
      <c r="Y969" s="35"/>
      <c r="Z969" s="35"/>
      <c r="AA969" s="35"/>
      <c r="AB969" s="35"/>
      <c r="AC969" s="35"/>
      <c r="AD969" s="35"/>
      <c r="AE969" s="35"/>
      <c r="AF969" s="35"/>
      <c r="AG969" s="35"/>
      <c r="AH969" s="35"/>
    </row>
    <row r="970">
      <c r="A970" s="35"/>
      <c r="B970" s="35"/>
      <c r="C970" s="35"/>
      <c r="D970" s="172"/>
      <c r="E970" s="21"/>
      <c r="F970" s="35"/>
      <c r="G970" s="35"/>
      <c r="H970" s="35"/>
      <c r="I970" s="35"/>
      <c r="J970" s="186"/>
      <c r="K970" s="110"/>
      <c r="L970" s="35"/>
      <c r="M970" s="172"/>
      <c r="N970" s="172"/>
      <c r="O970" s="35"/>
      <c r="P970" s="164"/>
      <c r="Q970" s="164"/>
      <c r="R970" s="164"/>
      <c r="S970" s="164"/>
      <c r="T970" s="164"/>
      <c r="U970" s="164"/>
      <c r="V970" s="35"/>
      <c r="W970" s="35"/>
      <c r="X970" s="35"/>
      <c r="Y970" s="35"/>
      <c r="Z970" s="35"/>
      <c r="AA970" s="35"/>
      <c r="AB970" s="35"/>
      <c r="AC970" s="35"/>
      <c r="AD970" s="35"/>
      <c r="AE970" s="35"/>
      <c r="AF970" s="35"/>
      <c r="AG970" s="35"/>
      <c r="AH970" s="35"/>
    </row>
    <row r="971">
      <c r="A971" s="35"/>
      <c r="B971" s="35"/>
      <c r="C971" s="35"/>
      <c r="D971" s="172"/>
      <c r="E971" s="21"/>
      <c r="F971" s="35"/>
      <c r="G971" s="35"/>
      <c r="H971" s="35"/>
      <c r="I971" s="35"/>
      <c r="J971" s="186"/>
      <c r="K971" s="110"/>
      <c r="L971" s="35"/>
      <c r="M971" s="172"/>
      <c r="N971" s="172"/>
      <c r="O971" s="35"/>
      <c r="P971" s="164"/>
      <c r="Q971" s="164"/>
      <c r="R971" s="164"/>
      <c r="S971" s="164"/>
      <c r="T971" s="164"/>
      <c r="U971" s="164"/>
      <c r="V971" s="35"/>
      <c r="W971" s="35"/>
      <c r="X971" s="35"/>
      <c r="Y971" s="35"/>
      <c r="Z971" s="35"/>
      <c r="AA971" s="35"/>
      <c r="AB971" s="35"/>
      <c r="AC971" s="35"/>
      <c r="AD971" s="35"/>
      <c r="AE971" s="35"/>
      <c r="AF971" s="35"/>
      <c r="AG971" s="35"/>
      <c r="AH971" s="35"/>
    </row>
    <row r="972">
      <c r="A972" s="35"/>
      <c r="B972" s="35"/>
      <c r="C972" s="35"/>
      <c r="D972" s="172"/>
      <c r="E972" s="21"/>
      <c r="F972" s="35"/>
      <c r="G972" s="35"/>
      <c r="H972" s="35"/>
      <c r="I972" s="35"/>
      <c r="J972" s="186"/>
      <c r="K972" s="110"/>
      <c r="L972" s="35"/>
      <c r="M972" s="172"/>
      <c r="N972" s="172"/>
      <c r="O972" s="35"/>
      <c r="P972" s="164"/>
      <c r="Q972" s="164"/>
      <c r="R972" s="164"/>
      <c r="S972" s="164"/>
      <c r="T972" s="164"/>
      <c r="U972" s="164"/>
      <c r="V972" s="35"/>
      <c r="W972" s="35"/>
      <c r="X972" s="35"/>
      <c r="Y972" s="35"/>
      <c r="Z972" s="35"/>
      <c r="AA972" s="35"/>
      <c r="AB972" s="35"/>
      <c r="AC972" s="35"/>
      <c r="AD972" s="35"/>
      <c r="AE972" s="35"/>
      <c r="AF972" s="35"/>
      <c r="AG972" s="35"/>
      <c r="AH972" s="35"/>
    </row>
    <row r="973">
      <c r="A973" s="35"/>
      <c r="B973" s="35"/>
      <c r="C973" s="35"/>
      <c r="D973" s="172"/>
      <c r="E973" s="21"/>
      <c r="F973" s="35"/>
      <c r="G973" s="35"/>
      <c r="H973" s="35"/>
      <c r="I973" s="35"/>
      <c r="J973" s="186"/>
      <c r="K973" s="110"/>
      <c r="L973" s="35"/>
      <c r="M973" s="172"/>
      <c r="N973" s="172"/>
      <c r="O973" s="35"/>
      <c r="P973" s="164"/>
      <c r="Q973" s="164"/>
      <c r="R973" s="164"/>
      <c r="S973" s="164"/>
      <c r="T973" s="164"/>
      <c r="U973" s="164"/>
      <c r="V973" s="35"/>
      <c r="W973" s="35"/>
      <c r="X973" s="35"/>
      <c r="Y973" s="35"/>
      <c r="Z973" s="35"/>
      <c r="AA973" s="35"/>
      <c r="AB973" s="35"/>
      <c r="AC973" s="35"/>
      <c r="AD973" s="35"/>
      <c r="AE973" s="35"/>
      <c r="AF973" s="35"/>
      <c r="AG973" s="35"/>
      <c r="AH973" s="35"/>
    </row>
    <row r="974">
      <c r="A974" s="35"/>
      <c r="B974" s="35"/>
      <c r="C974" s="35"/>
      <c r="D974" s="172"/>
      <c r="E974" s="21"/>
      <c r="F974" s="35"/>
      <c r="G974" s="35"/>
      <c r="H974" s="35"/>
      <c r="I974" s="35"/>
      <c r="J974" s="186"/>
      <c r="K974" s="110"/>
      <c r="L974" s="35"/>
      <c r="M974" s="172"/>
      <c r="N974" s="172"/>
      <c r="O974" s="35"/>
      <c r="P974" s="164"/>
      <c r="Q974" s="164"/>
      <c r="R974" s="164"/>
      <c r="S974" s="164"/>
      <c r="T974" s="164"/>
      <c r="U974" s="164"/>
      <c r="V974" s="35"/>
      <c r="W974" s="35"/>
      <c r="X974" s="35"/>
      <c r="Y974" s="35"/>
      <c r="Z974" s="35"/>
      <c r="AA974" s="35"/>
      <c r="AB974" s="35"/>
      <c r="AC974" s="35"/>
      <c r="AD974" s="35"/>
      <c r="AE974" s="35"/>
      <c r="AF974" s="35"/>
      <c r="AG974" s="35"/>
      <c r="AH974" s="35"/>
    </row>
    <row r="975">
      <c r="A975" s="35"/>
      <c r="B975" s="35"/>
      <c r="C975" s="35"/>
      <c r="D975" s="172"/>
      <c r="E975" s="21"/>
      <c r="F975" s="35"/>
      <c r="G975" s="35"/>
      <c r="H975" s="35"/>
      <c r="I975" s="35"/>
      <c r="J975" s="186"/>
      <c r="K975" s="110"/>
      <c r="L975" s="35"/>
      <c r="M975" s="172"/>
      <c r="N975" s="172"/>
      <c r="O975" s="35"/>
      <c r="P975" s="164"/>
      <c r="Q975" s="164"/>
      <c r="R975" s="164"/>
      <c r="S975" s="164"/>
      <c r="T975" s="164"/>
      <c r="U975" s="164"/>
      <c r="V975" s="35"/>
      <c r="W975" s="35"/>
      <c r="X975" s="35"/>
      <c r="Y975" s="35"/>
      <c r="Z975" s="35"/>
      <c r="AA975" s="35"/>
      <c r="AB975" s="35"/>
      <c r="AC975" s="35"/>
      <c r="AD975" s="35"/>
      <c r="AE975" s="35"/>
      <c r="AF975" s="35"/>
      <c r="AG975" s="35"/>
      <c r="AH975" s="35"/>
    </row>
    <row r="976">
      <c r="A976" s="35"/>
      <c r="B976" s="35"/>
      <c r="C976" s="35"/>
      <c r="D976" s="172"/>
      <c r="E976" s="21"/>
      <c r="F976" s="35"/>
      <c r="G976" s="35"/>
      <c r="H976" s="35"/>
      <c r="I976" s="35"/>
      <c r="J976" s="186"/>
      <c r="K976" s="110"/>
      <c r="L976" s="35"/>
      <c r="M976" s="172"/>
      <c r="N976" s="172"/>
      <c r="O976" s="35"/>
      <c r="P976" s="164"/>
      <c r="Q976" s="164"/>
      <c r="R976" s="164"/>
      <c r="S976" s="164"/>
      <c r="T976" s="164"/>
      <c r="U976" s="164"/>
      <c r="V976" s="35"/>
      <c r="W976" s="35"/>
      <c r="X976" s="35"/>
      <c r="Y976" s="35"/>
      <c r="Z976" s="35"/>
      <c r="AA976" s="35"/>
      <c r="AB976" s="35"/>
      <c r="AC976" s="35"/>
      <c r="AD976" s="35"/>
      <c r="AE976" s="35"/>
      <c r="AF976" s="35"/>
      <c r="AG976" s="35"/>
      <c r="AH976" s="35"/>
    </row>
    <row r="977">
      <c r="A977" s="35"/>
      <c r="B977" s="35"/>
      <c r="C977" s="35"/>
      <c r="D977" s="172"/>
      <c r="E977" s="21"/>
      <c r="F977" s="35"/>
      <c r="G977" s="35"/>
      <c r="H977" s="35"/>
      <c r="I977" s="35"/>
      <c r="J977" s="186"/>
      <c r="K977" s="110"/>
      <c r="L977" s="35"/>
      <c r="M977" s="172"/>
      <c r="N977" s="172"/>
      <c r="O977" s="35"/>
      <c r="P977" s="164"/>
      <c r="Q977" s="164"/>
      <c r="R977" s="164"/>
      <c r="S977" s="164"/>
      <c r="T977" s="164"/>
      <c r="U977" s="164"/>
      <c r="V977" s="35"/>
      <c r="W977" s="35"/>
      <c r="X977" s="35"/>
      <c r="Y977" s="35"/>
      <c r="Z977" s="35"/>
      <c r="AA977" s="35"/>
      <c r="AB977" s="35"/>
      <c r="AC977" s="35"/>
      <c r="AD977" s="35"/>
      <c r="AE977" s="35"/>
      <c r="AF977" s="35"/>
      <c r="AG977" s="35"/>
      <c r="AH977" s="35"/>
    </row>
    <row r="978">
      <c r="A978" s="35"/>
      <c r="B978" s="35"/>
      <c r="C978" s="35"/>
      <c r="D978" s="172"/>
      <c r="E978" s="21"/>
      <c r="F978" s="35"/>
      <c r="G978" s="35"/>
      <c r="H978" s="35"/>
      <c r="I978" s="35"/>
      <c r="J978" s="186"/>
      <c r="K978" s="110"/>
      <c r="L978" s="35"/>
      <c r="M978" s="172"/>
      <c r="N978" s="172"/>
      <c r="O978" s="35"/>
      <c r="P978" s="164"/>
      <c r="Q978" s="164"/>
      <c r="R978" s="164"/>
      <c r="S978" s="164"/>
      <c r="T978" s="164"/>
      <c r="U978" s="164"/>
      <c r="V978" s="35"/>
      <c r="W978" s="35"/>
      <c r="X978" s="35"/>
      <c r="Y978" s="35"/>
      <c r="Z978" s="35"/>
      <c r="AA978" s="35"/>
      <c r="AB978" s="35"/>
      <c r="AC978" s="35"/>
      <c r="AD978" s="35"/>
      <c r="AE978" s="35"/>
      <c r="AF978" s="35"/>
      <c r="AG978" s="35"/>
      <c r="AH978" s="35"/>
    </row>
    <row r="979">
      <c r="A979" s="35"/>
      <c r="B979" s="35"/>
      <c r="C979" s="35"/>
      <c r="D979" s="172"/>
      <c r="E979" s="21"/>
      <c r="F979" s="35"/>
      <c r="G979" s="35"/>
      <c r="H979" s="35"/>
      <c r="I979" s="35"/>
      <c r="J979" s="186"/>
      <c r="K979" s="110"/>
      <c r="L979" s="35"/>
      <c r="M979" s="172"/>
      <c r="N979" s="172"/>
      <c r="O979" s="35"/>
      <c r="P979" s="164"/>
      <c r="Q979" s="164"/>
      <c r="R979" s="164"/>
      <c r="S979" s="164"/>
      <c r="T979" s="164"/>
      <c r="U979" s="164"/>
      <c r="V979" s="35"/>
      <c r="W979" s="35"/>
      <c r="X979" s="35"/>
      <c r="Y979" s="35"/>
      <c r="Z979" s="35"/>
      <c r="AA979" s="35"/>
      <c r="AB979" s="35"/>
      <c r="AC979" s="35"/>
      <c r="AD979" s="35"/>
      <c r="AE979" s="35"/>
      <c r="AF979" s="35"/>
      <c r="AG979" s="35"/>
      <c r="AH979" s="35"/>
    </row>
    <row r="980">
      <c r="A980" s="35"/>
      <c r="B980" s="35"/>
      <c r="C980" s="35"/>
      <c r="D980" s="172"/>
      <c r="E980" s="21"/>
      <c r="F980" s="35"/>
      <c r="G980" s="35"/>
      <c r="H980" s="35"/>
      <c r="I980" s="35"/>
      <c r="J980" s="186"/>
      <c r="K980" s="110"/>
      <c r="L980" s="35"/>
      <c r="M980" s="172"/>
      <c r="N980" s="172"/>
      <c r="O980" s="35"/>
      <c r="P980" s="164"/>
      <c r="Q980" s="164"/>
      <c r="R980" s="164"/>
      <c r="S980" s="164"/>
      <c r="T980" s="164"/>
      <c r="U980" s="164"/>
      <c r="V980" s="35"/>
      <c r="W980" s="35"/>
      <c r="X980" s="35"/>
      <c r="Y980" s="35"/>
      <c r="Z980" s="35"/>
      <c r="AA980" s="35"/>
      <c r="AB980" s="35"/>
      <c r="AC980" s="35"/>
      <c r="AD980" s="35"/>
      <c r="AE980" s="35"/>
      <c r="AF980" s="35"/>
      <c r="AG980" s="35"/>
      <c r="AH980" s="35"/>
    </row>
    <row r="981">
      <c r="A981" s="35"/>
      <c r="B981" s="35"/>
      <c r="C981" s="35"/>
      <c r="D981" s="172"/>
      <c r="E981" s="21"/>
      <c r="F981" s="35"/>
      <c r="G981" s="35"/>
      <c r="H981" s="35"/>
      <c r="I981" s="35"/>
      <c r="J981" s="186"/>
      <c r="K981" s="110"/>
      <c r="L981" s="35"/>
      <c r="M981" s="172"/>
      <c r="N981" s="172"/>
      <c r="O981" s="35"/>
      <c r="P981" s="164"/>
      <c r="Q981" s="164"/>
      <c r="R981" s="164"/>
      <c r="S981" s="164"/>
      <c r="T981" s="164"/>
      <c r="U981" s="164"/>
      <c r="V981" s="35"/>
      <c r="W981" s="35"/>
      <c r="X981" s="35"/>
      <c r="Y981" s="35"/>
      <c r="Z981" s="35"/>
      <c r="AA981" s="35"/>
      <c r="AB981" s="35"/>
      <c r="AC981" s="35"/>
      <c r="AD981" s="35"/>
      <c r="AE981" s="35"/>
      <c r="AF981" s="35"/>
      <c r="AG981" s="35"/>
      <c r="AH981" s="35"/>
    </row>
    <row r="982">
      <c r="A982" s="35"/>
      <c r="B982" s="35"/>
      <c r="C982" s="35"/>
      <c r="D982" s="172"/>
      <c r="E982" s="21"/>
      <c r="F982" s="35"/>
      <c r="G982" s="35"/>
      <c r="H982" s="35"/>
      <c r="I982" s="35"/>
      <c r="J982" s="186"/>
      <c r="K982" s="110"/>
      <c r="L982" s="35"/>
      <c r="M982" s="172"/>
      <c r="N982" s="172"/>
      <c r="O982" s="35"/>
      <c r="P982" s="164"/>
      <c r="Q982" s="164"/>
      <c r="R982" s="164"/>
      <c r="S982" s="164"/>
      <c r="T982" s="164"/>
      <c r="U982" s="164"/>
      <c r="V982" s="35"/>
      <c r="W982" s="35"/>
      <c r="X982" s="35"/>
      <c r="Y982" s="35"/>
      <c r="Z982" s="35"/>
      <c r="AA982" s="35"/>
      <c r="AB982" s="35"/>
      <c r="AC982" s="35"/>
      <c r="AD982" s="35"/>
      <c r="AE982" s="35"/>
      <c r="AF982" s="35"/>
      <c r="AG982" s="35"/>
      <c r="AH982" s="35"/>
    </row>
    <row r="983">
      <c r="A983" s="35"/>
      <c r="B983" s="35"/>
      <c r="C983" s="35"/>
      <c r="D983" s="172"/>
      <c r="E983" s="21"/>
      <c r="F983" s="35"/>
      <c r="G983" s="35"/>
      <c r="H983" s="35"/>
      <c r="I983" s="35"/>
      <c r="J983" s="186"/>
      <c r="K983" s="110"/>
      <c r="L983" s="35"/>
      <c r="M983" s="172"/>
      <c r="N983" s="172"/>
      <c r="O983" s="35"/>
      <c r="P983" s="164"/>
      <c r="Q983" s="164"/>
      <c r="R983" s="164"/>
      <c r="S983" s="164"/>
      <c r="T983" s="164"/>
      <c r="U983" s="164"/>
      <c r="V983" s="35"/>
      <c r="W983" s="35"/>
      <c r="X983" s="35"/>
      <c r="Y983" s="35"/>
      <c r="Z983" s="35"/>
      <c r="AA983" s="35"/>
      <c r="AB983" s="35"/>
      <c r="AC983" s="35"/>
      <c r="AD983" s="35"/>
      <c r="AE983" s="35"/>
      <c r="AF983" s="35"/>
      <c r="AG983" s="35"/>
      <c r="AH983" s="35"/>
    </row>
    <row r="984">
      <c r="A984" s="35"/>
      <c r="B984" s="35"/>
      <c r="C984" s="35"/>
      <c r="D984" s="172"/>
      <c r="E984" s="21"/>
      <c r="F984" s="35"/>
      <c r="G984" s="35"/>
      <c r="H984" s="35"/>
      <c r="I984" s="35"/>
      <c r="J984" s="186"/>
      <c r="K984" s="110"/>
      <c r="L984" s="35"/>
      <c r="M984" s="172"/>
      <c r="N984" s="172"/>
      <c r="O984" s="35"/>
      <c r="P984" s="164"/>
      <c r="Q984" s="164"/>
      <c r="R984" s="164"/>
      <c r="S984" s="164"/>
      <c r="T984" s="164"/>
      <c r="U984" s="164"/>
      <c r="V984" s="35"/>
      <c r="W984" s="35"/>
      <c r="X984" s="35"/>
      <c r="Y984" s="35"/>
      <c r="Z984" s="35"/>
      <c r="AA984" s="35"/>
      <c r="AB984" s="35"/>
      <c r="AC984" s="35"/>
      <c r="AD984" s="35"/>
      <c r="AE984" s="35"/>
      <c r="AF984" s="35"/>
      <c r="AG984" s="35"/>
      <c r="AH984" s="35"/>
    </row>
    <row r="985">
      <c r="A985" s="35"/>
      <c r="B985" s="35"/>
      <c r="C985" s="35"/>
      <c r="D985" s="172"/>
      <c r="E985" s="21"/>
      <c r="F985" s="35"/>
      <c r="G985" s="35"/>
      <c r="H985" s="35"/>
      <c r="I985" s="35"/>
      <c r="J985" s="186"/>
      <c r="K985" s="110"/>
      <c r="L985" s="35"/>
      <c r="M985" s="172"/>
      <c r="N985" s="172"/>
      <c r="O985" s="35"/>
      <c r="P985" s="164"/>
      <c r="Q985" s="164"/>
      <c r="R985" s="164"/>
      <c r="S985" s="164"/>
      <c r="T985" s="164"/>
      <c r="U985" s="164"/>
      <c r="V985" s="35"/>
      <c r="W985" s="35"/>
      <c r="X985" s="35"/>
      <c r="Y985" s="35"/>
      <c r="Z985" s="35"/>
      <c r="AA985" s="35"/>
      <c r="AB985" s="35"/>
      <c r="AC985" s="35"/>
      <c r="AD985" s="35"/>
      <c r="AE985" s="35"/>
      <c r="AF985" s="35"/>
      <c r="AG985" s="35"/>
      <c r="AH985" s="35"/>
    </row>
    <row r="986">
      <c r="A986" s="35"/>
      <c r="B986" s="35"/>
      <c r="C986" s="35"/>
      <c r="D986" s="172"/>
      <c r="E986" s="21"/>
      <c r="F986" s="35"/>
      <c r="G986" s="35"/>
      <c r="H986" s="35"/>
      <c r="I986" s="35"/>
      <c r="J986" s="186"/>
      <c r="K986" s="110"/>
      <c r="L986" s="35"/>
      <c r="M986" s="172"/>
      <c r="N986" s="172"/>
      <c r="O986" s="35"/>
      <c r="P986" s="164"/>
      <c r="Q986" s="164"/>
      <c r="R986" s="164"/>
      <c r="S986" s="164"/>
      <c r="T986" s="164"/>
      <c r="U986" s="164"/>
      <c r="V986" s="35"/>
      <c r="W986" s="35"/>
      <c r="X986" s="35"/>
      <c r="Y986" s="35"/>
      <c r="Z986" s="35"/>
      <c r="AA986" s="35"/>
      <c r="AB986" s="35"/>
      <c r="AC986" s="35"/>
      <c r="AD986" s="35"/>
      <c r="AE986" s="35"/>
      <c r="AF986" s="35"/>
      <c r="AG986" s="35"/>
      <c r="AH986" s="35"/>
    </row>
    <row r="987">
      <c r="A987" s="35"/>
      <c r="B987" s="35"/>
      <c r="C987" s="35"/>
      <c r="D987" s="172"/>
      <c r="E987" s="21"/>
      <c r="F987" s="35"/>
      <c r="G987" s="35"/>
      <c r="H987" s="35"/>
      <c r="I987" s="35"/>
      <c r="J987" s="186"/>
      <c r="K987" s="110"/>
      <c r="L987" s="35"/>
      <c r="M987" s="172"/>
      <c r="N987" s="172"/>
      <c r="O987" s="35"/>
      <c r="P987" s="164"/>
      <c r="Q987" s="164"/>
      <c r="R987" s="164"/>
      <c r="S987" s="164"/>
      <c r="T987" s="164"/>
      <c r="U987" s="164"/>
      <c r="V987" s="35"/>
      <c r="W987" s="35"/>
      <c r="X987" s="35"/>
      <c r="Y987" s="35"/>
      <c r="Z987" s="35"/>
      <c r="AA987" s="35"/>
      <c r="AB987" s="35"/>
      <c r="AC987" s="35"/>
      <c r="AD987" s="35"/>
      <c r="AE987" s="35"/>
      <c r="AF987" s="35"/>
      <c r="AG987" s="35"/>
      <c r="AH987" s="35"/>
    </row>
    <row r="988">
      <c r="A988" s="35"/>
      <c r="B988" s="35"/>
      <c r="C988" s="35"/>
      <c r="D988" s="172"/>
      <c r="E988" s="21"/>
      <c r="F988" s="35"/>
      <c r="G988" s="35"/>
      <c r="H988" s="35"/>
      <c r="I988" s="35"/>
      <c r="J988" s="186"/>
      <c r="K988" s="110"/>
      <c r="L988" s="35"/>
      <c r="M988" s="172"/>
      <c r="N988" s="172"/>
      <c r="O988" s="35"/>
      <c r="P988" s="164"/>
      <c r="Q988" s="164"/>
      <c r="R988" s="164"/>
      <c r="S988" s="164"/>
      <c r="T988" s="164"/>
      <c r="U988" s="164"/>
      <c r="V988" s="35"/>
      <c r="W988" s="35"/>
      <c r="X988" s="35"/>
      <c r="Y988" s="35"/>
      <c r="Z988" s="35"/>
      <c r="AA988" s="35"/>
      <c r="AB988" s="35"/>
      <c r="AC988" s="35"/>
      <c r="AD988" s="35"/>
      <c r="AE988" s="35"/>
      <c r="AF988" s="35"/>
      <c r="AG988" s="35"/>
      <c r="AH988" s="35"/>
    </row>
    <row r="989">
      <c r="A989" s="35"/>
      <c r="B989" s="35"/>
      <c r="C989" s="35"/>
      <c r="D989" s="172"/>
      <c r="E989" s="21"/>
      <c r="F989" s="35"/>
      <c r="G989" s="35"/>
      <c r="H989" s="35"/>
      <c r="I989" s="35"/>
      <c r="J989" s="186"/>
      <c r="K989" s="110"/>
      <c r="L989" s="35"/>
      <c r="M989" s="172"/>
      <c r="N989" s="172"/>
      <c r="O989" s="35"/>
      <c r="P989" s="164"/>
      <c r="Q989" s="164"/>
      <c r="R989" s="164"/>
      <c r="S989" s="164"/>
      <c r="T989" s="164"/>
      <c r="U989" s="164"/>
      <c r="V989" s="35"/>
      <c r="W989" s="35"/>
      <c r="X989" s="35"/>
      <c r="Y989" s="35"/>
      <c r="Z989" s="35"/>
      <c r="AA989" s="35"/>
      <c r="AB989" s="35"/>
      <c r="AC989" s="35"/>
      <c r="AD989" s="35"/>
      <c r="AE989" s="35"/>
      <c r="AF989" s="35"/>
      <c r="AG989" s="35"/>
      <c r="AH989" s="35"/>
    </row>
    <row r="990">
      <c r="A990" s="35"/>
      <c r="B990" s="35"/>
      <c r="C990" s="35"/>
      <c r="D990" s="172"/>
      <c r="E990" s="21"/>
      <c r="F990" s="35"/>
      <c r="G990" s="35"/>
      <c r="H990" s="35"/>
      <c r="I990" s="35"/>
      <c r="J990" s="186"/>
      <c r="K990" s="110"/>
      <c r="L990" s="35"/>
      <c r="M990" s="172"/>
      <c r="N990" s="172"/>
      <c r="O990" s="35"/>
      <c r="P990" s="164"/>
      <c r="Q990" s="164"/>
      <c r="R990" s="164"/>
      <c r="S990" s="164"/>
      <c r="T990" s="164"/>
      <c r="U990" s="164"/>
      <c r="V990" s="35"/>
      <c r="W990" s="35"/>
      <c r="X990" s="35"/>
      <c r="Y990" s="35"/>
      <c r="Z990" s="35"/>
      <c r="AA990" s="35"/>
      <c r="AB990" s="35"/>
      <c r="AC990" s="35"/>
      <c r="AD990" s="35"/>
      <c r="AE990" s="35"/>
      <c r="AF990" s="35"/>
      <c r="AG990" s="35"/>
      <c r="AH990" s="35"/>
    </row>
    <row r="991">
      <c r="A991" s="35"/>
      <c r="B991" s="35"/>
      <c r="C991" s="35"/>
      <c r="D991" s="172"/>
      <c r="E991" s="21"/>
      <c r="F991" s="35"/>
      <c r="G991" s="35"/>
      <c r="H991" s="35"/>
      <c r="I991" s="35"/>
      <c r="J991" s="186"/>
      <c r="K991" s="110"/>
      <c r="L991" s="35"/>
      <c r="M991" s="172"/>
      <c r="N991" s="172"/>
      <c r="O991" s="35"/>
      <c r="P991" s="164"/>
      <c r="Q991" s="164"/>
      <c r="R991" s="164"/>
      <c r="S991" s="164"/>
      <c r="T991" s="164"/>
      <c r="U991" s="164"/>
      <c r="V991" s="35"/>
      <c r="W991" s="35"/>
      <c r="X991" s="35"/>
      <c r="Y991" s="35"/>
      <c r="Z991" s="35"/>
      <c r="AA991" s="35"/>
      <c r="AB991" s="35"/>
      <c r="AC991" s="35"/>
      <c r="AD991" s="35"/>
      <c r="AE991" s="35"/>
      <c r="AF991" s="35"/>
      <c r="AG991" s="35"/>
      <c r="AH991" s="35"/>
    </row>
    <row r="992">
      <c r="A992" s="35"/>
      <c r="B992" s="35"/>
      <c r="C992" s="35"/>
      <c r="D992" s="172"/>
      <c r="E992" s="21"/>
      <c r="F992" s="35"/>
      <c r="G992" s="35"/>
      <c r="H992" s="35"/>
      <c r="I992" s="35"/>
      <c r="J992" s="186"/>
      <c r="K992" s="110"/>
      <c r="L992" s="35"/>
      <c r="M992" s="172"/>
      <c r="N992" s="172"/>
      <c r="O992" s="35"/>
      <c r="P992" s="164"/>
      <c r="Q992" s="164"/>
      <c r="R992" s="164"/>
      <c r="S992" s="164"/>
      <c r="T992" s="164"/>
      <c r="U992" s="164"/>
      <c r="V992" s="35"/>
      <c r="W992" s="35"/>
      <c r="X992" s="35"/>
      <c r="Y992" s="35"/>
      <c r="Z992" s="35"/>
      <c r="AA992" s="35"/>
      <c r="AB992" s="35"/>
      <c r="AC992" s="35"/>
      <c r="AD992" s="35"/>
      <c r="AE992" s="35"/>
      <c r="AF992" s="35"/>
      <c r="AG992" s="35"/>
      <c r="AH992" s="35"/>
    </row>
    <row r="993">
      <c r="A993" s="35"/>
      <c r="B993" s="35"/>
      <c r="C993" s="35"/>
      <c r="D993" s="172"/>
      <c r="E993" s="21"/>
      <c r="F993" s="35"/>
      <c r="G993" s="35"/>
      <c r="H993" s="35"/>
      <c r="I993" s="35"/>
      <c r="J993" s="186"/>
      <c r="K993" s="110"/>
      <c r="L993" s="35"/>
      <c r="M993" s="172"/>
      <c r="N993" s="172"/>
      <c r="O993" s="35"/>
      <c r="P993" s="164"/>
      <c r="Q993" s="164"/>
      <c r="R993" s="164"/>
      <c r="S993" s="164"/>
      <c r="T993" s="164"/>
      <c r="U993" s="164"/>
      <c r="V993" s="35"/>
      <c r="W993" s="35"/>
      <c r="X993" s="35"/>
      <c r="Y993" s="35"/>
      <c r="Z993" s="35"/>
      <c r="AA993" s="35"/>
      <c r="AB993" s="35"/>
      <c r="AC993" s="35"/>
      <c r="AD993" s="35"/>
      <c r="AE993" s="35"/>
      <c r="AF993" s="35"/>
      <c r="AG993" s="35"/>
      <c r="AH993" s="35"/>
    </row>
    <row r="994">
      <c r="A994" s="35"/>
      <c r="B994" s="35"/>
      <c r="C994" s="35"/>
      <c r="D994" s="172"/>
      <c r="E994" s="21"/>
      <c r="F994" s="35"/>
      <c r="G994" s="35"/>
      <c r="H994" s="35"/>
      <c r="I994" s="35"/>
      <c r="J994" s="186"/>
      <c r="K994" s="110"/>
      <c r="L994" s="35"/>
      <c r="M994" s="172"/>
      <c r="N994" s="172"/>
      <c r="O994" s="35"/>
      <c r="P994" s="164"/>
      <c r="Q994" s="164"/>
      <c r="R994" s="164"/>
      <c r="S994" s="164"/>
      <c r="T994" s="164"/>
      <c r="U994" s="164"/>
      <c r="V994" s="35"/>
      <c r="W994" s="35"/>
      <c r="X994" s="35"/>
      <c r="Y994" s="35"/>
      <c r="Z994" s="35"/>
      <c r="AA994" s="35"/>
      <c r="AB994" s="35"/>
      <c r="AC994" s="35"/>
      <c r="AD994" s="35"/>
      <c r="AE994" s="35"/>
      <c r="AF994" s="35"/>
      <c r="AG994" s="35"/>
      <c r="AH994" s="35"/>
    </row>
    <row r="995">
      <c r="A995" s="35"/>
      <c r="B995" s="35"/>
      <c r="C995" s="35"/>
      <c r="D995" s="172"/>
      <c r="E995" s="21"/>
      <c r="F995" s="35"/>
      <c r="G995" s="35"/>
      <c r="H995" s="35"/>
      <c r="I995" s="35"/>
      <c r="J995" s="186"/>
      <c r="K995" s="110"/>
      <c r="L995" s="35"/>
      <c r="M995" s="172"/>
      <c r="N995" s="172"/>
      <c r="O995" s="35"/>
      <c r="P995" s="164"/>
      <c r="Q995" s="164"/>
      <c r="R995" s="164"/>
      <c r="S995" s="164"/>
      <c r="T995" s="164"/>
      <c r="U995" s="164"/>
      <c r="V995" s="35"/>
      <c r="W995" s="35"/>
      <c r="X995" s="35"/>
      <c r="Y995" s="35"/>
      <c r="Z995" s="35"/>
      <c r="AA995" s="35"/>
      <c r="AB995" s="35"/>
      <c r="AC995" s="35"/>
      <c r="AD995" s="35"/>
      <c r="AE995" s="35"/>
      <c r="AF995" s="35"/>
      <c r="AG995" s="35"/>
      <c r="AH995" s="35"/>
    </row>
    <row r="996">
      <c r="A996" s="35"/>
      <c r="B996" s="35"/>
      <c r="C996" s="35"/>
      <c r="D996" s="172"/>
      <c r="E996" s="21"/>
      <c r="F996" s="35"/>
      <c r="G996" s="35"/>
      <c r="H996" s="35"/>
      <c r="I996" s="35"/>
      <c r="J996" s="186"/>
      <c r="K996" s="110"/>
      <c r="L996" s="35"/>
      <c r="M996" s="172"/>
      <c r="N996" s="172"/>
      <c r="O996" s="35"/>
      <c r="P996" s="164"/>
      <c r="Q996" s="164"/>
      <c r="R996" s="164"/>
      <c r="S996" s="164"/>
      <c r="T996" s="164"/>
      <c r="U996" s="164"/>
      <c r="V996" s="35"/>
      <c r="W996" s="35"/>
      <c r="X996" s="35"/>
      <c r="Y996" s="35"/>
      <c r="Z996" s="35"/>
      <c r="AA996" s="35"/>
      <c r="AB996" s="35"/>
      <c r="AC996" s="35"/>
      <c r="AD996" s="35"/>
      <c r="AE996" s="35"/>
      <c r="AF996" s="35"/>
      <c r="AG996" s="35"/>
      <c r="AH996" s="35"/>
    </row>
    <row r="997">
      <c r="A997" s="35"/>
      <c r="B997" s="35"/>
      <c r="C997" s="35"/>
      <c r="D997" s="172"/>
      <c r="E997" s="21"/>
      <c r="F997" s="35"/>
      <c r="G997" s="35"/>
      <c r="H997" s="35"/>
      <c r="I997" s="35"/>
      <c r="J997" s="186"/>
      <c r="K997" s="110"/>
      <c r="L997" s="35"/>
      <c r="M997" s="172"/>
      <c r="N997" s="172"/>
      <c r="O997" s="35"/>
      <c r="P997" s="164"/>
      <c r="Q997" s="164"/>
      <c r="R997" s="164"/>
      <c r="S997" s="164"/>
      <c r="T997" s="164"/>
      <c r="U997" s="164"/>
      <c r="V997" s="35"/>
      <c r="W997" s="35"/>
      <c r="X997" s="35"/>
      <c r="Y997" s="35"/>
      <c r="Z997" s="35"/>
      <c r="AA997" s="35"/>
      <c r="AB997" s="35"/>
      <c r="AC997" s="35"/>
      <c r="AD997" s="35"/>
      <c r="AE997" s="35"/>
      <c r="AF997" s="35"/>
      <c r="AG997" s="35"/>
      <c r="AH997" s="35"/>
    </row>
    <row r="998">
      <c r="A998" s="35"/>
      <c r="B998" s="35"/>
      <c r="C998" s="35"/>
      <c r="D998" s="172"/>
      <c r="E998" s="21"/>
      <c r="F998" s="35"/>
      <c r="G998" s="35"/>
      <c r="H998" s="35"/>
      <c r="I998" s="35"/>
      <c r="J998" s="186"/>
      <c r="K998" s="110"/>
      <c r="L998" s="35"/>
      <c r="M998" s="172"/>
      <c r="N998" s="172"/>
      <c r="O998" s="35"/>
      <c r="P998" s="164"/>
      <c r="Q998" s="164"/>
      <c r="R998" s="164"/>
      <c r="S998" s="164"/>
      <c r="T998" s="164"/>
      <c r="U998" s="164"/>
      <c r="V998" s="35"/>
      <c r="W998" s="35"/>
      <c r="X998" s="35"/>
      <c r="Y998" s="35"/>
      <c r="Z998" s="35"/>
      <c r="AA998" s="35"/>
      <c r="AB998" s="35"/>
      <c r="AC998" s="35"/>
      <c r="AD998" s="35"/>
      <c r="AE998" s="35"/>
      <c r="AF998" s="35"/>
      <c r="AG998" s="35"/>
      <c r="AH998" s="35"/>
    </row>
    <row r="999">
      <c r="A999" s="35"/>
      <c r="B999" s="35"/>
      <c r="C999" s="35"/>
      <c r="D999" s="172"/>
      <c r="E999" s="21"/>
      <c r="F999" s="35"/>
      <c r="G999" s="35"/>
      <c r="H999" s="35"/>
      <c r="I999" s="35"/>
      <c r="J999" s="186"/>
      <c r="K999" s="110"/>
      <c r="L999" s="35"/>
      <c r="M999" s="172"/>
      <c r="N999" s="172"/>
      <c r="O999" s="35"/>
      <c r="P999" s="164"/>
      <c r="Q999" s="164"/>
      <c r="R999" s="164"/>
      <c r="S999" s="164"/>
      <c r="T999" s="164"/>
      <c r="U999" s="164"/>
      <c r="V999" s="35"/>
      <c r="W999" s="35"/>
      <c r="X999" s="35"/>
      <c r="Y999" s="35"/>
      <c r="Z999" s="35"/>
      <c r="AA999" s="35"/>
      <c r="AB999" s="35"/>
      <c r="AC999" s="35"/>
      <c r="AD999" s="35"/>
      <c r="AE999" s="35"/>
      <c r="AF999" s="35"/>
      <c r="AG999" s="35"/>
      <c r="AH999" s="35"/>
    </row>
    <row r="1000">
      <c r="A1000" s="35"/>
      <c r="B1000" s="35"/>
      <c r="C1000" s="35"/>
      <c r="D1000" s="172"/>
      <c r="E1000" s="21"/>
      <c r="F1000" s="35"/>
      <c r="G1000" s="35"/>
      <c r="H1000" s="35"/>
      <c r="I1000" s="35"/>
      <c r="J1000" s="186"/>
      <c r="K1000" s="110"/>
      <c r="L1000" s="35"/>
      <c r="M1000" s="172"/>
      <c r="N1000" s="172"/>
      <c r="O1000" s="35"/>
      <c r="P1000" s="164"/>
      <c r="Q1000" s="164"/>
      <c r="R1000" s="164"/>
      <c r="S1000" s="164"/>
      <c r="T1000" s="164"/>
      <c r="U1000" s="164"/>
      <c r="V1000" s="35"/>
      <c r="W1000" s="35"/>
      <c r="X1000" s="35"/>
      <c r="Y1000" s="35"/>
      <c r="Z1000" s="35"/>
      <c r="AA1000" s="35"/>
      <c r="AB1000" s="35"/>
      <c r="AC1000" s="35"/>
      <c r="AD1000" s="35"/>
      <c r="AE1000" s="35"/>
      <c r="AF1000" s="35"/>
      <c r="AG1000" s="35"/>
      <c r="AH1000" s="35"/>
    </row>
    <row r="1001">
      <c r="A1001" s="35"/>
      <c r="B1001" s="35"/>
      <c r="C1001" s="35"/>
      <c r="D1001" s="172"/>
      <c r="E1001" s="21"/>
      <c r="F1001" s="35"/>
      <c r="G1001" s="35"/>
      <c r="H1001" s="35"/>
      <c r="I1001" s="35"/>
      <c r="J1001" s="186"/>
      <c r="K1001" s="110"/>
      <c r="L1001" s="35"/>
      <c r="M1001" s="172"/>
      <c r="N1001" s="172"/>
      <c r="O1001" s="35"/>
      <c r="P1001" s="164"/>
      <c r="Q1001" s="164"/>
      <c r="R1001" s="164"/>
      <c r="S1001" s="164"/>
      <c r="T1001" s="164"/>
      <c r="U1001" s="164"/>
      <c r="V1001" s="35"/>
      <c r="W1001" s="35"/>
      <c r="X1001" s="35"/>
      <c r="Y1001" s="35"/>
      <c r="Z1001" s="35"/>
      <c r="AA1001" s="35"/>
      <c r="AB1001" s="35"/>
      <c r="AC1001" s="35"/>
      <c r="AD1001" s="35"/>
      <c r="AE1001" s="35"/>
      <c r="AF1001" s="35"/>
      <c r="AG1001" s="35"/>
      <c r="AH1001" s="35"/>
    </row>
    <row r="1002">
      <c r="A1002" s="35"/>
      <c r="B1002" s="35"/>
      <c r="C1002" s="35"/>
      <c r="D1002" s="172"/>
      <c r="E1002" s="21"/>
      <c r="F1002" s="35"/>
      <c r="G1002" s="35"/>
      <c r="H1002" s="35"/>
      <c r="I1002" s="35"/>
      <c r="J1002" s="186"/>
      <c r="K1002" s="110"/>
      <c r="L1002" s="35"/>
      <c r="M1002" s="172"/>
      <c r="N1002" s="172"/>
      <c r="O1002" s="35"/>
      <c r="P1002" s="164"/>
      <c r="Q1002" s="164"/>
      <c r="R1002" s="164"/>
      <c r="S1002" s="164"/>
      <c r="T1002" s="164"/>
      <c r="U1002" s="164"/>
      <c r="V1002" s="35"/>
      <c r="W1002" s="35"/>
      <c r="X1002" s="35"/>
      <c r="Y1002" s="35"/>
      <c r="Z1002" s="35"/>
      <c r="AA1002" s="35"/>
      <c r="AB1002" s="35"/>
      <c r="AC1002" s="35"/>
      <c r="AD1002" s="35"/>
      <c r="AE1002" s="35"/>
      <c r="AF1002" s="35"/>
      <c r="AG1002" s="35"/>
      <c r="AH1002" s="35"/>
    </row>
    <row r="1003">
      <c r="A1003" s="35"/>
      <c r="B1003" s="35"/>
      <c r="C1003" s="35"/>
      <c r="D1003" s="172"/>
      <c r="E1003" s="21"/>
      <c r="F1003" s="35"/>
      <c r="G1003" s="35"/>
      <c r="H1003" s="35"/>
      <c r="I1003" s="35"/>
      <c r="J1003" s="186"/>
      <c r="K1003" s="110"/>
      <c r="L1003" s="35"/>
      <c r="M1003" s="172"/>
      <c r="N1003" s="172"/>
      <c r="O1003" s="35"/>
      <c r="P1003" s="164"/>
      <c r="Q1003" s="164"/>
      <c r="R1003" s="164"/>
      <c r="S1003" s="164"/>
      <c r="T1003" s="164"/>
      <c r="U1003" s="164"/>
      <c r="V1003" s="35"/>
      <c r="W1003" s="35"/>
      <c r="X1003" s="35"/>
      <c r="Y1003" s="35"/>
      <c r="Z1003" s="35"/>
      <c r="AA1003" s="35"/>
      <c r="AB1003" s="35"/>
      <c r="AC1003" s="35"/>
      <c r="AD1003" s="35"/>
      <c r="AE1003" s="35"/>
      <c r="AF1003" s="35"/>
      <c r="AG1003" s="35"/>
      <c r="AH1003" s="35"/>
    </row>
    <row r="1004">
      <c r="A1004" s="35"/>
      <c r="B1004" s="35"/>
      <c r="C1004" s="35"/>
      <c r="D1004" s="172"/>
      <c r="E1004" s="21"/>
      <c r="F1004" s="35"/>
      <c r="G1004" s="35"/>
      <c r="H1004" s="35"/>
      <c r="I1004" s="35"/>
      <c r="J1004" s="186"/>
      <c r="K1004" s="110"/>
      <c r="L1004" s="35"/>
      <c r="M1004" s="172"/>
      <c r="N1004" s="172"/>
      <c r="O1004" s="35"/>
      <c r="P1004" s="164"/>
      <c r="Q1004" s="164"/>
      <c r="R1004" s="164"/>
      <c r="S1004" s="164"/>
      <c r="T1004" s="164"/>
      <c r="U1004" s="164"/>
      <c r="V1004" s="35"/>
      <c r="W1004" s="35"/>
      <c r="X1004" s="35"/>
      <c r="Y1004" s="35"/>
      <c r="Z1004" s="35"/>
      <c r="AA1004" s="35"/>
      <c r="AB1004" s="35"/>
      <c r="AC1004" s="35"/>
      <c r="AD1004" s="35"/>
      <c r="AE1004" s="35"/>
      <c r="AF1004" s="35"/>
      <c r="AG1004" s="35"/>
      <c r="AH1004" s="35"/>
    </row>
    <row r="1005">
      <c r="A1005" s="35"/>
      <c r="B1005" s="35"/>
      <c r="C1005" s="35"/>
      <c r="D1005" s="172"/>
      <c r="E1005" s="21"/>
      <c r="F1005" s="35"/>
      <c r="G1005" s="35"/>
      <c r="H1005" s="35"/>
      <c r="I1005" s="35"/>
      <c r="J1005" s="186"/>
      <c r="K1005" s="110"/>
      <c r="L1005" s="35"/>
      <c r="M1005" s="172"/>
      <c r="N1005" s="172"/>
      <c r="O1005" s="35"/>
      <c r="P1005" s="164"/>
      <c r="Q1005" s="164"/>
      <c r="R1005" s="164"/>
      <c r="S1005" s="164"/>
      <c r="T1005" s="164"/>
      <c r="U1005" s="164"/>
      <c r="V1005" s="35"/>
      <c r="W1005" s="35"/>
      <c r="X1005" s="35"/>
      <c r="Y1005" s="35"/>
      <c r="Z1005" s="35"/>
      <c r="AA1005" s="35"/>
      <c r="AB1005" s="35"/>
      <c r="AC1005" s="35"/>
      <c r="AD1005" s="35"/>
      <c r="AE1005" s="35"/>
      <c r="AF1005" s="35"/>
      <c r="AG1005" s="35"/>
      <c r="AH1005" s="35"/>
    </row>
    <row r="1006">
      <c r="A1006" s="35"/>
      <c r="B1006" s="35"/>
      <c r="C1006" s="35"/>
      <c r="D1006" s="172"/>
      <c r="E1006" s="21"/>
      <c r="F1006" s="35"/>
      <c r="G1006" s="35"/>
      <c r="H1006" s="35"/>
      <c r="I1006" s="35"/>
      <c r="J1006" s="186"/>
      <c r="K1006" s="110"/>
      <c r="L1006" s="35"/>
      <c r="M1006" s="172"/>
      <c r="N1006" s="172"/>
      <c r="O1006" s="35"/>
      <c r="P1006" s="164"/>
      <c r="Q1006" s="164"/>
      <c r="R1006" s="164"/>
      <c r="S1006" s="164"/>
      <c r="T1006" s="164"/>
      <c r="U1006" s="164"/>
      <c r="V1006" s="35"/>
      <c r="W1006" s="35"/>
      <c r="X1006" s="35"/>
      <c r="Y1006" s="35"/>
      <c r="Z1006" s="35"/>
      <c r="AA1006" s="35"/>
      <c r="AB1006" s="35"/>
      <c r="AC1006" s="35"/>
      <c r="AD1006" s="35"/>
      <c r="AE1006" s="35"/>
      <c r="AF1006" s="35"/>
      <c r="AG1006" s="35"/>
      <c r="AH1006" s="35"/>
    </row>
    <row r="1007">
      <c r="A1007" s="35"/>
      <c r="B1007" s="35"/>
      <c r="C1007" s="35"/>
      <c r="D1007" s="172"/>
      <c r="E1007" s="21"/>
      <c r="F1007" s="35"/>
      <c r="G1007" s="35"/>
      <c r="H1007" s="35"/>
      <c r="I1007" s="35"/>
      <c r="J1007" s="186"/>
      <c r="K1007" s="110"/>
      <c r="L1007" s="35"/>
      <c r="M1007" s="172"/>
      <c r="N1007" s="172"/>
      <c r="O1007" s="35"/>
      <c r="P1007" s="164"/>
      <c r="Q1007" s="164"/>
      <c r="R1007" s="164"/>
      <c r="S1007" s="164"/>
      <c r="T1007" s="164"/>
      <c r="U1007" s="164"/>
      <c r="V1007" s="35"/>
      <c r="W1007" s="35"/>
      <c r="X1007" s="35"/>
      <c r="Y1007" s="35"/>
      <c r="Z1007" s="35"/>
      <c r="AA1007" s="35"/>
      <c r="AB1007" s="35"/>
      <c r="AC1007" s="35"/>
      <c r="AD1007" s="35"/>
      <c r="AE1007" s="35"/>
      <c r="AF1007" s="35"/>
      <c r="AG1007" s="35"/>
      <c r="AH1007" s="35"/>
    </row>
    <row r="1008">
      <c r="A1008" s="35"/>
      <c r="B1008" s="35"/>
      <c r="C1008" s="35"/>
      <c r="D1008" s="172"/>
      <c r="E1008" s="21"/>
      <c r="F1008" s="35"/>
      <c r="G1008" s="35"/>
      <c r="H1008" s="35"/>
      <c r="I1008" s="35"/>
      <c r="J1008" s="186"/>
      <c r="K1008" s="110"/>
      <c r="L1008" s="35"/>
      <c r="M1008" s="172"/>
      <c r="N1008" s="172"/>
      <c r="O1008" s="35"/>
      <c r="P1008" s="164"/>
      <c r="Q1008" s="164"/>
      <c r="R1008" s="164"/>
      <c r="S1008" s="164"/>
      <c r="T1008" s="164"/>
      <c r="U1008" s="164"/>
      <c r="V1008" s="35"/>
      <c r="W1008" s="35"/>
      <c r="X1008" s="35"/>
      <c r="Y1008" s="35"/>
      <c r="Z1008" s="35"/>
      <c r="AA1008" s="35"/>
      <c r="AB1008" s="35"/>
      <c r="AC1008" s="35"/>
      <c r="AD1008" s="35"/>
      <c r="AE1008" s="35"/>
      <c r="AF1008" s="35"/>
      <c r="AG1008" s="35"/>
      <c r="AH1008" s="35"/>
    </row>
    <row r="1009">
      <c r="A1009" s="35"/>
      <c r="B1009" s="35"/>
      <c r="C1009" s="35"/>
      <c r="D1009" s="172"/>
      <c r="E1009" s="21"/>
      <c r="F1009" s="35"/>
      <c r="G1009" s="35"/>
      <c r="H1009" s="35"/>
      <c r="I1009" s="35"/>
      <c r="J1009" s="186"/>
      <c r="K1009" s="110"/>
      <c r="L1009" s="35"/>
      <c r="M1009" s="172"/>
      <c r="N1009" s="172"/>
      <c r="O1009" s="35"/>
      <c r="P1009" s="164"/>
      <c r="Q1009" s="164"/>
      <c r="R1009" s="164"/>
      <c r="S1009" s="164"/>
      <c r="T1009" s="164"/>
      <c r="U1009" s="164"/>
      <c r="V1009" s="35"/>
      <c r="W1009" s="35"/>
      <c r="X1009" s="35"/>
      <c r="Y1009" s="35"/>
      <c r="Z1009" s="35"/>
      <c r="AA1009" s="35"/>
      <c r="AB1009" s="35"/>
      <c r="AC1009" s="35"/>
      <c r="AD1009" s="35"/>
      <c r="AE1009" s="35"/>
      <c r="AF1009" s="35"/>
      <c r="AG1009" s="35"/>
      <c r="AH1009" s="35"/>
    </row>
    <row r="1010">
      <c r="A1010" s="35"/>
      <c r="B1010" s="35"/>
      <c r="C1010" s="35"/>
      <c r="D1010" s="172"/>
      <c r="E1010" s="21"/>
      <c r="F1010" s="35"/>
      <c r="G1010" s="35"/>
      <c r="H1010" s="35"/>
      <c r="I1010" s="35"/>
      <c r="J1010" s="186"/>
      <c r="K1010" s="110"/>
      <c r="L1010" s="35"/>
      <c r="M1010" s="172"/>
      <c r="N1010" s="172"/>
      <c r="O1010" s="35"/>
      <c r="P1010" s="164"/>
      <c r="Q1010" s="164"/>
      <c r="R1010" s="164"/>
      <c r="S1010" s="164"/>
      <c r="T1010" s="164"/>
      <c r="U1010" s="164"/>
      <c r="V1010" s="35"/>
      <c r="W1010" s="35"/>
      <c r="X1010" s="35"/>
      <c r="Y1010" s="35"/>
      <c r="Z1010" s="35"/>
      <c r="AA1010" s="35"/>
      <c r="AB1010" s="35"/>
      <c r="AC1010" s="35"/>
      <c r="AD1010" s="35"/>
      <c r="AE1010" s="35"/>
      <c r="AF1010" s="35"/>
      <c r="AG1010" s="35"/>
      <c r="AH1010" s="35"/>
    </row>
    <row r="1011">
      <c r="A1011" s="35"/>
      <c r="B1011" s="35"/>
      <c r="C1011" s="35"/>
      <c r="D1011" s="172"/>
      <c r="E1011" s="21"/>
      <c r="F1011" s="35"/>
      <c r="G1011" s="35"/>
      <c r="H1011" s="35"/>
      <c r="I1011" s="35"/>
      <c r="J1011" s="186"/>
      <c r="K1011" s="110"/>
      <c r="L1011" s="35"/>
      <c r="M1011" s="172"/>
      <c r="N1011" s="172"/>
      <c r="O1011" s="35"/>
      <c r="P1011" s="164"/>
      <c r="Q1011" s="164"/>
      <c r="R1011" s="164"/>
      <c r="S1011" s="164"/>
      <c r="T1011" s="164"/>
      <c r="U1011" s="164"/>
      <c r="V1011" s="35"/>
      <c r="W1011" s="35"/>
      <c r="X1011" s="35"/>
      <c r="Y1011" s="35"/>
      <c r="Z1011" s="35"/>
      <c r="AA1011" s="35"/>
      <c r="AB1011" s="35"/>
      <c r="AC1011" s="35"/>
      <c r="AD1011" s="35"/>
      <c r="AE1011" s="35"/>
      <c r="AF1011" s="35"/>
      <c r="AG1011" s="35"/>
      <c r="AH1011" s="35"/>
    </row>
    <row r="1012">
      <c r="A1012" s="35"/>
      <c r="B1012" s="35"/>
      <c r="C1012" s="35"/>
      <c r="D1012" s="172"/>
      <c r="E1012" s="21"/>
      <c r="F1012" s="35"/>
      <c r="G1012" s="35"/>
      <c r="H1012" s="35"/>
      <c r="I1012" s="35"/>
      <c r="J1012" s="186"/>
      <c r="K1012" s="110"/>
      <c r="L1012" s="35"/>
      <c r="M1012" s="172"/>
      <c r="N1012" s="172"/>
      <c r="O1012" s="35"/>
      <c r="P1012" s="164"/>
      <c r="Q1012" s="164"/>
      <c r="R1012" s="164"/>
      <c r="S1012" s="164"/>
      <c r="T1012" s="164"/>
      <c r="U1012" s="164"/>
      <c r="V1012" s="35"/>
      <c r="W1012" s="35"/>
      <c r="X1012" s="35"/>
      <c r="Y1012" s="35"/>
      <c r="Z1012" s="35"/>
      <c r="AA1012" s="35"/>
      <c r="AB1012" s="35"/>
      <c r="AC1012" s="35"/>
      <c r="AD1012" s="35"/>
      <c r="AE1012" s="35"/>
      <c r="AF1012" s="35"/>
      <c r="AG1012" s="35"/>
      <c r="AH1012" s="35"/>
    </row>
    <row r="1013">
      <c r="A1013" s="35"/>
      <c r="B1013" s="35"/>
      <c r="C1013" s="35"/>
      <c r="D1013" s="172"/>
      <c r="E1013" s="21"/>
      <c r="F1013" s="35"/>
      <c r="G1013" s="35"/>
      <c r="H1013" s="35"/>
      <c r="I1013" s="35"/>
      <c r="J1013" s="186"/>
      <c r="K1013" s="110"/>
      <c r="L1013" s="35"/>
      <c r="M1013" s="172"/>
      <c r="N1013" s="172"/>
      <c r="O1013" s="35"/>
      <c r="P1013" s="164"/>
      <c r="Q1013" s="164"/>
      <c r="R1013" s="164"/>
      <c r="S1013" s="164"/>
      <c r="T1013" s="164"/>
      <c r="U1013" s="164"/>
      <c r="V1013" s="35"/>
      <c r="W1013" s="35"/>
      <c r="X1013" s="35"/>
      <c r="Y1013" s="35"/>
      <c r="Z1013" s="35"/>
      <c r="AA1013" s="35"/>
      <c r="AB1013" s="35"/>
      <c r="AC1013" s="35"/>
      <c r="AD1013" s="35"/>
      <c r="AE1013" s="35"/>
      <c r="AF1013" s="35"/>
      <c r="AG1013" s="35"/>
      <c r="AH1013" s="35"/>
    </row>
    <row r="1014">
      <c r="A1014" s="35"/>
      <c r="B1014" s="35"/>
      <c r="C1014" s="35"/>
      <c r="D1014" s="172"/>
      <c r="E1014" s="21"/>
      <c r="F1014" s="35"/>
      <c r="G1014" s="35"/>
      <c r="H1014" s="35"/>
      <c r="I1014" s="35"/>
      <c r="J1014" s="186"/>
      <c r="K1014" s="110"/>
      <c r="L1014" s="35"/>
      <c r="M1014" s="172"/>
      <c r="N1014" s="172"/>
      <c r="O1014" s="35"/>
      <c r="P1014" s="164"/>
      <c r="Q1014" s="164"/>
      <c r="R1014" s="164"/>
      <c r="S1014" s="164"/>
      <c r="T1014" s="164"/>
      <c r="U1014" s="164"/>
      <c r="V1014" s="35"/>
      <c r="W1014" s="35"/>
      <c r="X1014" s="35"/>
      <c r="Y1014" s="35"/>
      <c r="Z1014" s="35"/>
      <c r="AA1014" s="35"/>
      <c r="AB1014" s="35"/>
      <c r="AC1014" s="35"/>
      <c r="AD1014" s="35"/>
      <c r="AE1014" s="35"/>
      <c r="AF1014" s="35"/>
      <c r="AG1014" s="35"/>
      <c r="AH1014" s="35"/>
    </row>
    <row r="1015">
      <c r="A1015" s="35"/>
      <c r="B1015" s="35"/>
      <c r="C1015" s="35"/>
      <c r="D1015" s="172"/>
      <c r="E1015" s="21"/>
      <c r="F1015" s="35"/>
      <c r="G1015" s="35"/>
      <c r="H1015" s="35"/>
      <c r="I1015" s="35"/>
      <c r="J1015" s="186"/>
      <c r="K1015" s="110"/>
      <c r="L1015" s="35"/>
      <c r="M1015" s="172"/>
      <c r="N1015" s="172"/>
      <c r="O1015" s="35"/>
      <c r="P1015" s="164"/>
      <c r="Q1015" s="164"/>
      <c r="R1015" s="164"/>
      <c r="S1015" s="164"/>
      <c r="T1015" s="164"/>
      <c r="U1015" s="164"/>
      <c r="V1015" s="35"/>
      <c r="W1015" s="35"/>
      <c r="X1015" s="35"/>
      <c r="Y1015" s="35"/>
      <c r="Z1015" s="35"/>
      <c r="AA1015" s="35"/>
      <c r="AB1015" s="35"/>
      <c r="AC1015" s="35"/>
      <c r="AD1015" s="35"/>
      <c r="AE1015" s="35"/>
      <c r="AF1015" s="35"/>
      <c r="AG1015" s="35"/>
      <c r="AH1015" s="35"/>
    </row>
    <row r="1016">
      <c r="A1016" s="35"/>
      <c r="B1016" s="35"/>
      <c r="C1016" s="35"/>
      <c r="D1016" s="172"/>
      <c r="E1016" s="21"/>
      <c r="F1016" s="35"/>
      <c r="G1016" s="35"/>
      <c r="H1016" s="35"/>
      <c r="I1016" s="35"/>
      <c r="J1016" s="186"/>
      <c r="K1016" s="110"/>
      <c r="L1016" s="35"/>
      <c r="M1016" s="172"/>
      <c r="N1016" s="172"/>
      <c r="O1016" s="35"/>
      <c r="P1016" s="164"/>
      <c r="Q1016" s="164"/>
      <c r="R1016" s="164"/>
      <c r="S1016" s="164"/>
      <c r="T1016" s="164"/>
      <c r="U1016" s="164"/>
      <c r="V1016" s="35"/>
      <c r="W1016" s="35"/>
      <c r="X1016" s="35"/>
      <c r="Y1016" s="35"/>
      <c r="Z1016" s="35"/>
      <c r="AA1016" s="35"/>
      <c r="AB1016" s="35"/>
      <c r="AC1016" s="35"/>
      <c r="AD1016" s="35"/>
      <c r="AE1016" s="35"/>
      <c r="AF1016" s="35"/>
      <c r="AG1016" s="35"/>
      <c r="AH1016" s="35"/>
    </row>
    <row r="1017">
      <c r="A1017" s="35"/>
      <c r="B1017" s="35"/>
      <c r="C1017" s="35"/>
      <c r="D1017" s="172"/>
      <c r="E1017" s="21"/>
      <c r="F1017" s="35"/>
      <c r="G1017" s="35"/>
      <c r="H1017" s="35"/>
      <c r="I1017" s="35"/>
      <c r="J1017" s="186"/>
      <c r="K1017" s="110"/>
      <c r="L1017" s="35"/>
      <c r="M1017" s="172"/>
      <c r="N1017" s="172"/>
      <c r="O1017" s="35"/>
      <c r="P1017" s="164"/>
      <c r="Q1017" s="164"/>
      <c r="R1017" s="164"/>
      <c r="S1017" s="164"/>
      <c r="T1017" s="164"/>
      <c r="U1017" s="164"/>
      <c r="V1017" s="35"/>
      <c r="W1017" s="35"/>
      <c r="X1017" s="35"/>
      <c r="Y1017" s="35"/>
      <c r="Z1017" s="35"/>
      <c r="AA1017" s="35"/>
      <c r="AB1017" s="35"/>
      <c r="AC1017" s="35"/>
      <c r="AD1017" s="35"/>
      <c r="AE1017" s="35"/>
      <c r="AF1017" s="35"/>
      <c r="AG1017" s="35"/>
      <c r="AH1017" s="35"/>
    </row>
    <row r="1018">
      <c r="A1018" s="35"/>
      <c r="B1018" s="35"/>
      <c r="C1018" s="35"/>
      <c r="D1018" s="172"/>
      <c r="E1018" s="21"/>
      <c r="F1018" s="35"/>
      <c r="G1018" s="35"/>
      <c r="H1018" s="35"/>
      <c r="I1018" s="35"/>
      <c r="J1018" s="186"/>
      <c r="K1018" s="110"/>
      <c r="L1018" s="35"/>
      <c r="M1018" s="172"/>
      <c r="N1018" s="172"/>
      <c r="O1018" s="35"/>
      <c r="P1018" s="164"/>
      <c r="Q1018" s="164"/>
      <c r="R1018" s="164"/>
      <c r="S1018" s="164"/>
      <c r="T1018" s="164"/>
      <c r="U1018" s="164"/>
      <c r="V1018" s="35"/>
      <c r="W1018" s="35"/>
      <c r="X1018" s="35"/>
      <c r="Y1018" s="35"/>
      <c r="Z1018" s="35"/>
      <c r="AA1018" s="35"/>
      <c r="AB1018" s="35"/>
      <c r="AC1018" s="35"/>
      <c r="AD1018" s="35"/>
      <c r="AE1018" s="35"/>
      <c r="AF1018" s="35"/>
      <c r="AG1018" s="35"/>
      <c r="AH1018" s="35"/>
    </row>
    <row r="1019">
      <c r="A1019" s="35"/>
      <c r="B1019" s="35"/>
      <c r="C1019" s="35"/>
      <c r="D1019" s="172"/>
      <c r="E1019" s="21"/>
      <c r="F1019" s="35"/>
      <c r="G1019" s="35"/>
      <c r="H1019" s="35"/>
      <c r="I1019" s="35"/>
      <c r="J1019" s="186"/>
      <c r="K1019" s="110"/>
      <c r="L1019" s="35"/>
      <c r="M1019" s="172"/>
      <c r="N1019" s="172"/>
      <c r="O1019" s="35"/>
      <c r="P1019" s="164"/>
      <c r="Q1019" s="164"/>
      <c r="R1019" s="164"/>
      <c r="S1019" s="164"/>
      <c r="T1019" s="164"/>
      <c r="U1019" s="164"/>
      <c r="V1019" s="35"/>
      <c r="W1019" s="35"/>
      <c r="X1019" s="35"/>
      <c r="Y1019" s="35"/>
      <c r="Z1019" s="35"/>
      <c r="AA1019" s="35"/>
      <c r="AB1019" s="35"/>
      <c r="AC1019" s="35"/>
      <c r="AD1019" s="35"/>
      <c r="AE1019" s="35"/>
      <c r="AF1019" s="35"/>
      <c r="AG1019" s="35"/>
      <c r="AH1019" s="35"/>
    </row>
    <row r="1020">
      <c r="A1020" s="35"/>
      <c r="B1020" s="35"/>
      <c r="C1020" s="35"/>
      <c r="D1020" s="172"/>
      <c r="E1020" s="21"/>
      <c r="F1020" s="35"/>
      <c r="G1020" s="35"/>
      <c r="H1020" s="35"/>
      <c r="I1020" s="35"/>
      <c r="J1020" s="186"/>
      <c r="K1020" s="110"/>
      <c r="L1020" s="35"/>
      <c r="M1020" s="172"/>
      <c r="N1020" s="172"/>
      <c r="O1020" s="35"/>
      <c r="P1020" s="164"/>
      <c r="Q1020" s="164"/>
      <c r="R1020" s="164"/>
      <c r="S1020" s="164"/>
      <c r="T1020" s="164"/>
      <c r="U1020" s="164"/>
      <c r="V1020" s="35"/>
      <c r="W1020" s="35"/>
      <c r="X1020" s="35"/>
      <c r="Y1020" s="35"/>
      <c r="Z1020" s="35"/>
      <c r="AA1020" s="35"/>
      <c r="AB1020" s="35"/>
      <c r="AC1020" s="35"/>
      <c r="AD1020" s="35"/>
      <c r="AE1020" s="35"/>
      <c r="AF1020" s="35"/>
      <c r="AG1020" s="35"/>
      <c r="AH1020" s="35"/>
    </row>
    <row r="1021">
      <c r="A1021" s="35"/>
      <c r="B1021" s="35"/>
      <c r="C1021" s="35"/>
      <c r="D1021" s="172"/>
      <c r="E1021" s="21"/>
      <c r="F1021" s="35"/>
      <c r="G1021" s="35"/>
      <c r="H1021" s="35"/>
      <c r="I1021" s="35"/>
      <c r="J1021" s="186"/>
      <c r="K1021" s="110"/>
      <c r="L1021" s="35"/>
      <c r="M1021" s="172"/>
      <c r="N1021" s="172"/>
      <c r="O1021" s="35"/>
      <c r="P1021" s="164"/>
      <c r="Q1021" s="164"/>
      <c r="R1021" s="164"/>
      <c r="S1021" s="164"/>
      <c r="T1021" s="164"/>
      <c r="U1021" s="164"/>
      <c r="V1021" s="35"/>
      <c r="W1021" s="35"/>
      <c r="X1021" s="35"/>
      <c r="Y1021" s="35"/>
      <c r="Z1021" s="35"/>
      <c r="AA1021" s="35"/>
      <c r="AB1021" s="35"/>
      <c r="AC1021" s="35"/>
      <c r="AD1021" s="35"/>
      <c r="AE1021" s="35"/>
      <c r="AF1021" s="35"/>
      <c r="AG1021" s="35"/>
      <c r="AH1021" s="35"/>
    </row>
    <row r="1022">
      <c r="A1022" s="35"/>
      <c r="B1022" s="35"/>
      <c r="C1022" s="35"/>
      <c r="D1022" s="172"/>
      <c r="E1022" s="21"/>
      <c r="F1022" s="35"/>
      <c r="G1022" s="35"/>
      <c r="H1022" s="35"/>
      <c r="I1022" s="35"/>
      <c r="J1022" s="186"/>
      <c r="K1022" s="110"/>
      <c r="L1022" s="35"/>
      <c r="M1022" s="172"/>
      <c r="N1022" s="172"/>
      <c r="O1022" s="35"/>
      <c r="P1022" s="164"/>
      <c r="Q1022" s="164"/>
      <c r="R1022" s="164"/>
      <c r="S1022" s="164"/>
      <c r="T1022" s="164"/>
      <c r="U1022" s="164"/>
      <c r="V1022" s="35"/>
      <c r="W1022" s="35"/>
      <c r="X1022" s="35"/>
      <c r="Y1022" s="35"/>
      <c r="Z1022" s="35"/>
      <c r="AA1022" s="35"/>
      <c r="AB1022" s="35"/>
      <c r="AC1022" s="35"/>
      <c r="AD1022" s="35"/>
      <c r="AE1022" s="35"/>
      <c r="AF1022" s="35"/>
      <c r="AG1022" s="35"/>
      <c r="AH1022" s="35"/>
    </row>
    <row r="1023">
      <c r="A1023" s="35"/>
      <c r="B1023" s="35"/>
      <c r="C1023" s="35"/>
      <c r="D1023" s="172"/>
      <c r="E1023" s="21"/>
      <c r="F1023" s="35"/>
      <c r="G1023" s="35"/>
      <c r="H1023" s="35"/>
      <c r="I1023" s="35"/>
      <c r="J1023" s="186"/>
      <c r="K1023" s="110"/>
      <c r="L1023" s="35"/>
      <c r="M1023" s="172"/>
      <c r="N1023" s="172"/>
      <c r="O1023" s="35"/>
      <c r="P1023" s="164"/>
      <c r="Q1023" s="164"/>
      <c r="R1023" s="164"/>
      <c r="S1023" s="164"/>
      <c r="T1023" s="164"/>
      <c r="U1023" s="164"/>
      <c r="V1023" s="35"/>
      <c r="W1023" s="35"/>
      <c r="X1023" s="35"/>
      <c r="Y1023" s="35"/>
      <c r="Z1023" s="35"/>
      <c r="AA1023" s="35"/>
      <c r="AB1023" s="35"/>
      <c r="AC1023" s="35"/>
      <c r="AD1023" s="35"/>
      <c r="AE1023" s="35"/>
      <c r="AF1023" s="35"/>
      <c r="AG1023" s="35"/>
      <c r="AH1023" s="35"/>
    </row>
    <row r="1024">
      <c r="A1024" s="35"/>
      <c r="B1024" s="35"/>
      <c r="C1024" s="35"/>
      <c r="D1024" s="172"/>
      <c r="E1024" s="21"/>
      <c r="F1024" s="35"/>
      <c r="G1024" s="35"/>
      <c r="H1024" s="35"/>
      <c r="I1024" s="35"/>
      <c r="J1024" s="186"/>
      <c r="K1024" s="110"/>
      <c r="L1024" s="35"/>
      <c r="M1024" s="172"/>
      <c r="N1024" s="172"/>
      <c r="O1024" s="35"/>
      <c r="P1024" s="164"/>
      <c r="Q1024" s="164"/>
      <c r="R1024" s="164"/>
      <c r="S1024" s="164"/>
      <c r="T1024" s="164"/>
      <c r="U1024" s="164"/>
      <c r="V1024" s="35"/>
      <c r="W1024" s="35"/>
      <c r="X1024" s="35"/>
      <c r="Y1024" s="35"/>
      <c r="Z1024" s="35"/>
      <c r="AA1024" s="35"/>
      <c r="AB1024" s="35"/>
      <c r="AC1024" s="35"/>
      <c r="AD1024" s="35"/>
      <c r="AE1024" s="35"/>
      <c r="AF1024" s="35"/>
      <c r="AG1024" s="35"/>
      <c r="AH1024" s="35"/>
    </row>
    <row r="1025">
      <c r="A1025" s="35"/>
      <c r="B1025" s="35"/>
      <c r="C1025" s="35"/>
      <c r="D1025" s="172"/>
      <c r="E1025" s="21"/>
      <c r="F1025" s="35"/>
      <c r="G1025" s="35"/>
      <c r="H1025" s="35"/>
      <c r="I1025" s="35"/>
      <c r="J1025" s="186"/>
      <c r="K1025" s="110"/>
      <c r="L1025" s="35"/>
      <c r="M1025" s="172"/>
      <c r="N1025" s="172"/>
      <c r="O1025" s="35"/>
      <c r="P1025" s="164"/>
      <c r="Q1025" s="164"/>
      <c r="R1025" s="164"/>
      <c r="S1025" s="164"/>
      <c r="T1025" s="164"/>
      <c r="U1025" s="164"/>
      <c r="V1025" s="35"/>
      <c r="W1025" s="35"/>
      <c r="X1025" s="35"/>
      <c r="Y1025" s="35"/>
      <c r="Z1025" s="35"/>
      <c r="AA1025" s="35"/>
      <c r="AB1025" s="35"/>
      <c r="AC1025" s="35"/>
      <c r="AD1025" s="35"/>
      <c r="AE1025" s="35"/>
      <c r="AF1025" s="35"/>
      <c r="AG1025" s="35"/>
      <c r="AH1025" s="35"/>
    </row>
    <row r="1026">
      <c r="A1026" s="35"/>
      <c r="B1026" s="35"/>
      <c r="C1026" s="35"/>
      <c r="D1026" s="172"/>
      <c r="E1026" s="21"/>
      <c r="F1026" s="35"/>
      <c r="G1026" s="35"/>
      <c r="H1026" s="35"/>
      <c r="I1026" s="35"/>
      <c r="J1026" s="186"/>
      <c r="K1026" s="110"/>
      <c r="L1026" s="35"/>
      <c r="M1026" s="172"/>
      <c r="N1026" s="172"/>
      <c r="O1026" s="35"/>
      <c r="P1026" s="164"/>
      <c r="Q1026" s="164"/>
      <c r="R1026" s="164"/>
      <c r="S1026" s="164"/>
      <c r="T1026" s="164"/>
      <c r="U1026" s="164"/>
      <c r="V1026" s="35"/>
      <c r="W1026" s="35"/>
      <c r="X1026" s="35"/>
      <c r="Y1026" s="35"/>
      <c r="Z1026" s="35"/>
      <c r="AA1026" s="35"/>
      <c r="AB1026" s="35"/>
      <c r="AC1026" s="35"/>
      <c r="AD1026" s="35"/>
      <c r="AE1026" s="35"/>
      <c r="AF1026" s="35"/>
      <c r="AG1026" s="35"/>
      <c r="AH1026" s="35"/>
    </row>
    <row r="1027">
      <c r="A1027" s="35"/>
      <c r="B1027" s="35"/>
      <c r="C1027" s="35"/>
      <c r="D1027" s="172"/>
      <c r="E1027" s="21"/>
      <c r="F1027" s="35"/>
      <c r="G1027" s="35"/>
      <c r="H1027" s="35"/>
      <c r="I1027" s="35"/>
      <c r="J1027" s="186"/>
      <c r="K1027" s="110"/>
      <c r="L1027" s="35"/>
      <c r="M1027" s="172"/>
      <c r="N1027" s="172"/>
      <c r="O1027" s="35"/>
      <c r="P1027" s="164"/>
      <c r="Q1027" s="164"/>
      <c r="R1027" s="164"/>
      <c r="S1027" s="164"/>
      <c r="T1027" s="164"/>
      <c r="U1027" s="164"/>
      <c r="V1027" s="35"/>
      <c r="W1027" s="35"/>
      <c r="X1027" s="35"/>
      <c r="Y1027" s="35"/>
      <c r="Z1027" s="35"/>
      <c r="AA1027" s="35"/>
      <c r="AB1027" s="35"/>
      <c r="AC1027" s="35"/>
      <c r="AD1027" s="35"/>
      <c r="AE1027" s="35"/>
      <c r="AF1027" s="35"/>
      <c r="AG1027" s="35"/>
      <c r="AH1027" s="35"/>
    </row>
    <row r="1028">
      <c r="A1028" s="35"/>
      <c r="B1028" s="35"/>
      <c r="C1028" s="35"/>
      <c r="D1028" s="172"/>
      <c r="E1028" s="21"/>
      <c r="F1028" s="35"/>
      <c r="G1028" s="35"/>
      <c r="H1028" s="35"/>
      <c r="I1028" s="35"/>
      <c r="J1028" s="186"/>
      <c r="K1028" s="110"/>
      <c r="L1028" s="35"/>
      <c r="M1028" s="172"/>
      <c r="N1028" s="172"/>
      <c r="O1028" s="35"/>
      <c r="P1028" s="164"/>
      <c r="Q1028" s="164"/>
      <c r="R1028" s="164"/>
      <c r="S1028" s="164"/>
      <c r="T1028" s="164"/>
      <c r="U1028" s="164"/>
      <c r="V1028" s="35"/>
      <c r="W1028" s="35"/>
      <c r="X1028" s="35"/>
      <c r="Y1028" s="35"/>
      <c r="Z1028" s="35"/>
      <c r="AA1028" s="35"/>
      <c r="AB1028" s="35"/>
      <c r="AC1028" s="35"/>
      <c r="AD1028" s="35"/>
      <c r="AE1028" s="35"/>
      <c r="AF1028" s="35"/>
      <c r="AG1028" s="35"/>
      <c r="AH1028" s="35"/>
    </row>
    <row r="1029">
      <c r="A1029" s="35"/>
      <c r="B1029" s="35"/>
      <c r="C1029" s="35"/>
      <c r="D1029" s="172"/>
      <c r="E1029" s="21"/>
      <c r="F1029" s="35"/>
      <c r="G1029" s="35"/>
      <c r="H1029" s="35"/>
      <c r="I1029" s="35"/>
      <c r="J1029" s="186"/>
      <c r="K1029" s="110"/>
      <c r="L1029" s="35"/>
      <c r="M1029" s="172"/>
      <c r="N1029" s="172"/>
      <c r="O1029" s="35"/>
      <c r="P1029" s="164"/>
      <c r="Q1029" s="164"/>
      <c r="R1029" s="164"/>
      <c r="S1029" s="164"/>
      <c r="T1029" s="164"/>
      <c r="U1029" s="164"/>
      <c r="V1029" s="35"/>
      <c r="W1029" s="35"/>
      <c r="X1029" s="35"/>
      <c r="Y1029" s="35"/>
      <c r="Z1029" s="35"/>
      <c r="AA1029" s="35"/>
      <c r="AB1029" s="35"/>
      <c r="AC1029" s="35"/>
      <c r="AD1029" s="35"/>
      <c r="AE1029" s="35"/>
      <c r="AF1029" s="35"/>
      <c r="AG1029" s="35"/>
      <c r="AH1029" s="35"/>
    </row>
    <row r="1030">
      <c r="A1030" s="35"/>
      <c r="B1030" s="35"/>
      <c r="C1030" s="35"/>
      <c r="D1030" s="172"/>
      <c r="E1030" s="21"/>
      <c r="F1030" s="35"/>
      <c r="G1030" s="35"/>
      <c r="H1030" s="35"/>
      <c r="I1030" s="35"/>
      <c r="J1030" s="186"/>
      <c r="K1030" s="110"/>
      <c r="L1030" s="35"/>
      <c r="M1030" s="172"/>
      <c r="N1030" s="172"/>
      <c r="O1030" s="35"/>
      <c r="P1030" s="164"/>
      <c r="Q1030" s="164"/>
      <c r="R1030" s="164"/>
      <c r="S1030" s="164"/>
      <c r="T1030" s="164"/>
      <c r="U1030" s="164"/>
      <c r="V1030" s="35"/>
      <c r="W1030" s="35"/>
      <c r="X1030" s="35"/>
      <c r="Y1030" s="35"/>
      <c r="Z1030" s="35"/>
      <c r="AA1030" s="35"/>
      <c r="AB1030" s="35"/>
      <c r="AC1030" s="35"/>
      <c r="AD1030" s="35"/>
      <c r="AE1030" s="35"/>
      <c r="AF1030" s="35"/>
      <c r="AG1030" s="35"/>
      <c r="AH1030" s="35"/>
    </row>
    <row r="1031">
      <c r="A1031" s="35"/>
      <c r="B1031" s="35"/>
      <c r="C1031" s="35"/>
      <c r="D1031" s="172"/>
      <c r="E1031" s="21"/>
      <c r="F1031" s="35"/>
      <c r="G1031" s="35"/>
      <c r="H1031" s="35"/>
      <c r="I1031" s="35"/>
      <c r="J1031" s="186"/>
      <c r="K1031" s="110"/>
      <c r="L1031" s="35"/>
      <c r="M1031" s="172"/>
      <c r="N1031" s="172"/>
      <c r="O1031" s="35"/>
      <c r="P1031" s="164"/>
      <c r="Q1031" s="164"/>
      <c r="R1031" s="164"/>
      <c r="S1031" s="164"/>
      <c r="T1031" s="164"/>
      <c r="U1031" s="164"/>
      <c r="V1031" s="35"/>
      <c r="W1031" s="35"/>
      <c r="X1031" s="35"/>
      <c r="Y1031" s="35"/>
      <c r="Z1031" s="35"/>
      <c r="AA1031" s="35"/>
      <c r="AB1031" s="35"/>
      <c r="AC1031" s="35"/>
      <c r="AD1031" s="35"/>
      <c r="AE1031" s="35"/>
      <c r="AF1031" s="35"/>
      <c r="AG1031" s="35"/>
      <c r="AH1031" s="35"/>
    </row>
    <row r="1032">
      <c r="A1032" s="35"/>
      <c r="B1032" s="35"/>
      <c r="C1032" s="35"/>
      <c r="D1032" s="172"/>
      <c r="E1032" s="21"/>
      <c r="F1032" s="35"/>
      <c r="G1032" s="35"/>
      <c r="H1032" s="35"/>
      <c r="I1032" s="35"/>
      <c r="J1032" s="186"/>
      <c r="K1032" s="110"/>
      <c r="L1032" s="35"/>
      <c r="M1032" s="172"/>
      <c r="N1032" s="172"/>
      <c r="O1032" s="35"/>
      <c r="P1032" s="164"/>
      <c r="Q1032" s="164"/>
      <c r="R1032" s="164"/>
      <c r="S1032" s="164"/>
      <c r="T1032" s="164"/>
      <c r="U1032" s="164"/>
      <c r="V1032" s="35"/>
      <c r="W1032" s="35"/>
      <c r="X1032" s="35"/>
      <c r="Y1032" s="35"/>
      <c r="Z1032" s="35"/>
      <c r="AA1032" s="35"/>
      <c r="AB1032" s="35"/>
      <c r="AC1032" s="35"/>
      <c r="AD1032" s="35"/>
      <c r="AE1032" s="35"/>
      <c r="AF1032" s="35"/>
      <c r="AG1032" s="35"/>
      <c r="AH1032" s="35"/>
    </row>
    <row r="1033">
      <c r="A1033" s="35"/>
      <c r="B1033" s="35"/>
      <c r="C1033" s="35"/>
      <c r="D1033" s="172"/>
      <c r="E1033" s="21"/>
      <c r="F1033" s="35"/>
      <c r="G1033" s="35"/>
      <c r="H1033" s="35"/>
      <c r="I1033" s="35"/>
      <c r="J1033" s="186"/>
      <c r="K1033" s="110"/>
      <c r="L1033" s="35"/>
      <c r="M1033" s="172"/>
      <c r="N1033" s="172"/>
      <c r="O1033" s="35"/>
      <c r="P1033" s="164"/>
      <c r="Q1033" s="164"/>
      <c r="R1033" s="164"/>
      <c r="S1033" s="164"/>
      <c r="T1033" s="164"/>
      <c r="U1033" s="164"/>
      <c r="V1033" s="35"/>
      <c r="W1033" s="35"/>
      <c r="X1033" s="35"/>
      <c r="Y1033" s="35"/>
      <c r="Z1033" s="35"/>
      <c r="AA1033" s="35"/>
      <c r="AB1033" s="35"/>
      <c r="AC1033" s="35"/>
      <c r="AD1033" s="35"/>
      <c r="AE1033" s="35"/>
      <c r="AF1033" s="35"/>
      <c r="AG1033" s="35"/>
      <c r="AH1033" s="35"/>
    </row>
    <row r="1034">
      <c r="A1034" s="35"/>
      <c r="B1034" s="35"/>
      <c r="C1034" s="35"/>
      <c r="D1034" s="172"/>
      <c r="E1034" s="21"/>
      <c r="F1034" s="35"/>
      <c r="G1034" s="35"/>
      <c r="H1034" s="35"/>
      <c r="I1034" s="35"/>
      <c r="J1034" s="186"/>
      <c r="K1034" s="110"/>
      <c r="L1034" s="35"/>
      <c r="M1034" s="172"/>
      <c r="N1034" s="172"/>
      <c r="O1034" s="35"/>
      <c r="P1034" s="164"/>
      <c r="Q1034" s="164"/>
      <c r="R1034" s="164"/>
      <c r="S1034" s="164"/>
      <c r="T1034" s="164"/>
      <c r="U1034" s="164"/>
      <c r="V1034" s="35"/>
      <c r="W1034" s="35"/>
      <c r="X1034" s="35"/>
      <c r="Y1034" s="35"/>
      <c r="Z1034" s="35"/>
      <c r="AA1034" s="35"/>
      <c r="AB1034" s="35"/>
      <c r="AC1034" s="35"/>
      <c r="AD1034" s="35"/>
      <c r="AE1034" s="35"/>
      <c r="AF1034" s="35"/>
      <c r="AG1034" s="35"/>
      <c r="AH1034" s="35"/>
    </row>
    <row r="1035">
      <c r="A1035" s="35"/>
      <c r="B1035" s="35"/>
      <c r="C1035" s="35"/>
      <c r="D1035" s="172"/>
      <c r="E1035" s="21"/>
      <c r="F1035" s="35"/>
      <c r="G1035" s="35"/>
      <c r="H1035" s="35"/>
      <c r="I1035" s="35"/>
      <c r="J1035" s="186"/>
      <c r="K1035" s="110"/>
      <c r="L1035" s="35"/>
      <c r="M1035" s="172"/>
      <c r="N1035" s="172"/>
      <c r="O1035" s="35"/>
      <c r="P1035" s="164"/>
      <c r="Q1035" s="164"/>
      <c r="R1035" s="164"/>
      <c r="S1035" s="164"/>
      <c r="T1035" s="164"/>
      <c r="U1035" s="164"/>
      <c r="V1035" s="35"/>
      <c r="W1035" s="35"/>
      <c r="X1035" s="35"/>
      <c r="Y1035" s="35"/>
      <c r="Z1035" s="35"/>
      <c r="AA1035" s="35"/>
      <c r="AB1035" s="35"/>
      <c r="AC1035" s="35"/>
      <c r="AD1035" s="35"/>
      <c r="AE1035" s="35"/>
      <c r="AF1035" s="35"/>
      <c r="AG1035" s="35"/>
      <c r="AH1035" s="35"/>
    </row>
    <row r="1036">
      <c r="A1036" s="35"/>
      <c r="B1036" s="35"/>
      <c r="C1036" s="35"/>
      <c r="D1036" s="172"/>
      <c r="E1036" s="21"/>
      <c r="F1036" s="35"/>
      <c r="G1036" s="35"/>
      <c r="H1036" s="35"/>
      <c r="I1036" s="35"/>
      <c r="J1036" s="186"/>
      <c r="K1036" s="110"/>
      <c r="L1036" s="35"/>
      <c r="M1036" s="172"/>
      <c r="N1036" s="172"/>
      <c r="O1036" s="35"/>
      <c r="P1036" s="164"/>
      <c r="Q1036" s="164"/>
      <c r="R1036" s="164"/>
      <c r="S1036" s="164"/>
      <c r="T1036" s="164"/>
      <c r="U1036" s="164"/>
      <c r="V1036" s="35"/>
      <c r="W1036" s="35"/>
      <c r="X1036" s="35"/>
      <c r="Y1036" s="35"/>
      <c r="Z1036" s="35"/>
      <c r="AA1036" s="35"/>
      <c r="AB1036" s="35"/>
      <c r="AC1036" s="35"/>
      <c r="AD1036" s="35"/>
      <c r="AE1036" s="35"/>
      <c r="AF1036" s="35"/>
      <c r="AG1036" s="35"/>
      <c r="AH1036" s="35"/>
    </row>
    <row r="1037">
      <c r="A1037" s="35"/>
      <c r="B1037" s="35"/>
      <c r="C1037" s="35"/>
      <c r="D1037" s="172"/>
      <c r="E1037" s="21"/>
      <c r="F1037" s="35"/>
      <c r="G1037" s="35"/>
      <c r="H1037" s="35"/>
      <c r="I1037" s="35"/>
      <c r="J1037" s="186"/>
      <c r="K1037" s="110"/>
      <c r="L1037" s="35"/>
      <c r="M1037" s="172"/>
      <c r="N1037" s="172"/>
      <c r="O1037" s="35"/>
      <c r="P1037" s="164"/>
      <c r="Q1037" s="164"/>
      <c r="R1037" s="164"/>
      <c r="S1037" s="164"/>
      <c r="T1037" s="164"/>
      <c r="U1037" s="164"/>
      <c r="V1037" s="35"/>
      <c r="W1037" s="35"/>
      <c r="X1037" s="35"/>
      <c r="Y1037" s="35"/>
      <c r="Z1037" s="35"/>
      <c r="AA1037" s="35"/>
      <c r="AB1037" s="35"/>
      <c r="AC1037" s="35"/>
      <c r="AD1037" s="35"/>
      <c r="AE1037" s="35"/>
      <c r="AF1037" s="35"/>
      <c r="AG1037" s="35"/>
      <c r="AH1037" s="35"/>
    </row>
    <row r="1038">
      <c r="A1038" s="35"/>
      <c r="B1038" s="35"/>
      <c r="C1038" s="35"/>
      <c r="D1038" s="172"/>
      <c r="E1038" s="21"/>
      <c r="F1038" s="35"/>
      <c r="G1038" s="35"/>
      <c r="H1038" s="35"/>
      <c r="I1038" s="35"/>
      <c r="J1038" s="186"/>
      <c r="K1038" s="110"/>
      <c r="L1038" s="35"/>
      <c r="M1038" s="172"/>
      <c r="N1038" s="172"/>
      <c r="O1038" s="35"/>
      <c r="P1038" s="164"/>
      <c r="Q1038" s="164"/>
      <c r="R1038" s="164"/>
      <c r="S1038" s="164"/>
      <c r="T1038" s="164"/>
      <c r="U1038" s="164"/>
      <c r="V1038" s="35"/>
      <c r="W1038" s="35"/>
      <c r="X1038" s="35"/>
      <c r="Y1038" s="35"/>
      <c r="Z1038" s="35"/>
      <c r="AA1038" s="35"/>
      <c r="AB1038" s="35"/>
      <c r="AC1038" s="35"/>
      <c r="AD1038" s="35"/>
      <c r="AE1038" s="35"/>
      <c r="AF1038" s="35"/>
      <c r="AG1038" s="35"/>
      <c r="AH1038" s="35"/>
    </row>
    <row r="1039">
      <c r="A1039" s="35"/>
      <c r="B1039" s="35"/>
      <c r="C1039" s="35"/>
      <c r="D1039" s="172"/>
      <c r="E1039" s="21"/>
      <c r="F1039" s="35"/>
      <c r="G1039" s="35"/>
      <c r="H1039" s="35"/>
      <c r="I1039" s="35"/>
      <c r="J1039" s="186"/>
      <c r="K1039" s="110"/>
      <c r="L1039" s="35"/>
      <c r="M1039" s="172"/>
      <c r="N1039" s="172"/>
      <c r="O1039" s="35"/>
      <c r="P1039" s="164"/>
      <c r="Q1039" s="164"/>
      <c r="R1039" s="164"/>
      <c r="S1039" s="164"/>
      <c r="T1039" s="164"/>
      <c r="U1039" s="164"/>
      <c r="V1039" s="35"/>
      <c r="W1039" s="35"/>
      <c r="X1039" s="35"/>
      <c r="Y1039" s="35"/>
      <c r="Z1039" s="35"/>
      <c r="AA1039" s="35"/>
      <c r="AB1039" s="35"/>
      <c r="AC1039" s="35"/>
      <c r="AD1039" s="35"/>
      <c r="AE1039" s="35"/>
      <c r="AF1039" s="35"/>
      <c r="AG1039" s="35"/>
      <c r="AH1039" s="35"/>
    </row>
    <row r="1040">
      <c r="A1040" s="35"/>
      <c r="B1040" s="35"/>
      <c r="C1040" s="35"/>
      <c r="D1040" s="172"/>
      <c r="E1040" s="21"/>
      <c r="F1040" s="35"/>
      <c r="G1040" s="35"/>
      <c r="H1040" s="35"/>
      <c r="I1040" s="35"/>
      <c r="J1040" s="186"/>
      <c r="K1040" s="110"/>
      <c r="L1040" s="35"/>
      <c r="M1040" s="172"/>
      <c r="N1040" s="172"/>
      <c r="O1040" s="35"/>
      <c r="P1040" s="164"/>
      <c r="Q1040" s="164"/>
      <c r="R1040" s="164"/>
      <c r="S1040" s="164"/>
      <c r="T1040" s="164"/>
      <c r="U1040" s="164"/>
      <c r="V1040" s="35"/>
      <c r="W1040" s="35"/>
      <c r="X1040" s="35"/>
      <c r="Y1040" s="35"/>
      <c r="Z1040" s="35"/>
      <c r="AA1040" s="35"/>
      <c r="AB1040" s="35"/>
      <c r="AC1040" s="35"/>
      <c r="AD1040" s="35"/>
      <c r="AE1040" s="35"/>
      <c r="AF1040" s="35"/>
      <c r="AG1040" s="35"/>
      <c r="AH1040" s="35"/>
    </row>
    <row r="1041">
      <c r="A1041" s="35"/>
      <c r="B1041" s="35"/>
      <c r="C1041" s="35"/>
      <c r="D1041" s="172"/>
      <c r="E1041" s="21"/>
      <c r="F1041" s="35"/>
      <c r="G1041" s="35"/>
      <c r="H1041" s="35"/>
      <c r="I1041" s="35"/>
      <c r="J1041" s="186"/>
      <c r="K1041" s="110"/>
      <c r="L1041" s="35"/>
      <c r="M1041" s="172"/>
      <c r="N1041" s="172"/>
      <c r="O1041" s="35"/>
      <c r="P1041" s="164"/>
      <c r="Q1041" s="164"/>
      <c r="R1041" s="164"/>
      <c r="S1041" s="164"/>
      <c r="T1041" s="164"/>
      <c r="U1041" s="164"/>
      <c r="V1041" s="35"/>
      <c r="W1041" s="35"/>
      <c r="X1041" s="35"/>
      <c r="Y1041" s="35"/>
      <c r="Z1041" s="35"/>
      <c r="AA1041" s="35"/>
      <c r="AB1041" s="35"/>
      <c r="AC1041" s="35"/>
      <c r="AD1041" s="35"/>
      <c r="AE1041" s="35"/>
      <c r="AF1041" s="35"/>
      <c r="AG1041" s="35"/>
      <c r="AH1041" s="35"/>
    </row>
    <row r="1042">
      <c r="A1042" s="35"/>
      <c r="B1042" s="35"/>
      <c r="C1042" s="35"/>
      <c r="D1042" s="172"/>
      <c r="E1042" s="21"/>
      <c r="F1042" s="35"/>
      <c r="G1042" s="35"/>
      <c r="H1042" s="35"/>
      <c r="I1042" s="35"/>
      <c r="J1042" s="186"/>
      <c r="K1042" s="110"/>
      <c r="L1042" s="35"/>
      <c r="M1042" s="172"/>
      <c r="N1042" s="172"/>
      <c r="O1042" s="35"/>
      <c r="P1042" s="164"/>
      <c r="Q1042" s="164"/>
      <c r="R1042" s="164"/>
      <c r="S1042" s="164"/>
      <c r="T1042" s="164"/>
      <c r="U1042" s="164"/>
      <c r="V1042" s="35"/>
      <c r="W1042" s="35"/>
      <c r="X1042" s="35"/>
      <c r="Y1042" s="35"/>
      <c r="Z1042" s="35"/>
      <c r="AA1042" s="35"/>
      <c r="AB1042" s="35"/>
      <c r="AC1042" s="35"/>
      <c r="AD1042" s="35"/>
      <c r="AE1042" s="35"/>
      <c r="AF1042" s="35"/>
      <c r="AG1042" s="35"/>
      <c r="AH1042" s="35"/>
    </row>
    <row r="1043">
      <c r="A1043" s="35"/>
      <c r="B1043" s="35"/>
      <c r="C1043" s="35"/>
      <c r="D1043" s="172"/>
      <c r="E1043" s="21"/>
      <c r="F1043" s="35"/>
      <c r="G1043" s="35"/>
      <c r="H1043" s="35"/>
      <c r="I1043" s="35"/>
      <c r="J1043" s="186"/>
      <c r="K1043" s="110"/>
      <c r="L1043" s="35"/>
      <c r="M1043" s="172"/>
      <c r="N1043" s="172"/>
      <c r="O1043" s="35"/>
      <c r="P1043" s="164"/>
      <c r="Q1043" s="164"/>
      <c r="R1043" s="164"/>
      <c r="S1043" s="164"/>
      <c r="T1043" s="164"/>
      <c r="U1043" s="164"/>
      <c r="V1043" s="35"/>
      <c r="W1043" s="35"/>
      <c r="X1043" s="35"/>
      <c r="Y1043" s="35"/>
      <c r="Z1043" s="35"/>
      <c r="AA1043" s="35"/>
      <c r="AB1043" s="35"/>
      <c r="AC1043" s="35"/>
      <c r="AD1043" s="35"/>
      <c r="AE1043" s="35"/>
      <c r="AF1043" s="35"/>
      <c r="AG1043" s="35"/>
      <c r="AH1043" s="35"/>
    </row>
    <row r="1044">
      <c r="A1044" s="35"/>
      <c r="B1044" s="35"/>
      <c r="C1044" s="35"/>
      <c r="D1044" s="172"/>
      <c r="E1044" s="21"/>
      <c r="F1044" s="35"/>
      <c r="G1044" s="35"/>
      <c r="H1044" s="35"/>
      <c r="I1044" s="35"/>
      <c r="J1044" s="186"/>
      <c r="K1044" s="110"/>
      <c r="L1044" s="35"/>
      <c r="M1044" s="172"/>
      <c r="N1044" s="172"/>
      <c r="O1044" s="35"/>
      <c r="P1044" s="164"/>
      <c r="Q1044" s="164"/>
      <c r="R1044" s="164"/>
      <c r="S1044" s="164"/>
      <c r="T1044" s="164"/>
      <c r="U1044" s="164"/>
      <c r="V1044" s="35"/>
      <c r="W1044" s="35"/>
      <c r="X1044" s="35"/>
      <c r="Y1044" s="35"/>
      <c r="Z1044" s="35"/>
      <c r="AA1044" s="35"/>
      <c r="AB1044" s="35"/>
      <c r="AC1044" s="35"/>
      <c r="AD1044" s="35"/>
      <c r="AE1044" s="35"/>
      <c r="AF1044" s="35"/>
      <c r="AG1044" s="35"/>
      <c r="AH1044" s="35"/>
    </row>
    <row r="1045">
      <c r="A1045" s="35"/>
      <c r="B1045" s="35"/>
      <c r="C1045" s="35"/>
      <c r="D1045" s="172"/>
      <c r="E1045" s="21"/>
      <c r="F1045" s="35"/>
      <c r="G1045" s="35"/>
      <c r="H1045" s="35"/>
      <c r="I1045" s="35"/>
      <c r="J1045" s="186"/>
      <c r="K1045" s="110"/>
      <c r="L1045" s="35"/>
      <c r="M1045" s="172"/>
      <c r="N1045" s="172"/>
      <c r="O1045" s="35"/>
      <c r="P1045" s="164"/>
      <c r="Q1045" s="164"/>
      <c r="R1045" s="164"/>
      <c r="S1045" s="164"/>
      <c r="T1045" s="164"/>
      <c r="U1045" s="164"/>
      <c r="V1045" s="35"/>
      <c r="W1045" s="35"/>
      <c r="X1045" s="35"/>
      <c r="Y1045" s="35"/>
      <c r="Z1045" s="35"/>
      <c r="AA1045" s="35"/>
      <c r="AB1045" s="35"/>
      <c r="AC1045" s="35"/>
      <c r="AD1045" s="35"/>
      <c r="AE1045" s="35"/>
      <c r="AF1045" s="35"/>
      <c r="AG1045" s="35"/>
      <c r="AH1045" s="35"/>
    </row>
    <row r="1046">
      <c r="A1046" s="35"/>
      <c r="B1046" s="35"/>
      <c r="C1046" s="35"/>
      <c r="D1046" s="172"/>
      <c r="E1046" s="21"/>
      <c r="F1046" s="35"/>
      <c r="G1046" s="35"/>
      <c r="H1046" s="35"/>
      <c r="I1046" s="35"/>
      <c r="J1046" s="186"/>
      <c r="K1046" s="110"/>
      <c r="L1046" s="35"/>
      <c r="M1046" s="172"/>
      <c r="N1046" s="172"/>
      <c r="O1046" s="35"/>
      <c r="P1046" s="164"/>
      <c r="Q1046" s="164"/>
      <c r="R1046" s="164"/>
      <c r="S1046" s="164"/>
      <c r="T1046" s="164"/>
      <c r="U1046" s="164"/>
      <c r="V1046" s="35"/>
      <c r="W1046" s="35"/>
      <c r="X1046" s="35"/>
      <c r="Y1046" s="35"/>
      <c r="Z1046" s="35"/>
      <c r="AA1046" s="35"/>
      <c r="AB1046" s="35"/>
      <c r="AC1046" s="35"/>
      <c r="AD1046" s="35"/>
      <c r="AE1046" s="35"/>
      <c r="AF1046" s="35"/>
      <c r="AG1046" s="35"/>
      <c r="AH1046" s="35"/>
    </row>
    <row r="1047">
      <c r="A1047" s="35"/>
      <c r="B1047" s="35"/>
      <c r="C1047" s="35"/>
      <c r="D1047" s="172"/>
      <c r="E1047" s="21"/>
      <c r="F1047" s="35"/>
      <c r="G1047" s="35"/>
      <c r="H1047" s="35"/>
      <c r="I1047" s="35"/>
      <c r="J1047" s="186"/>
      <c r="K1047" s="110"/>
      <c r="L1047" s="35"/>
      <c r="M1047" s="172"/>
      <c r="N1047" s="172"/>
      <c r="O1047" s="35"/>
      <c r="P1047" s="164"/>
      <c r="Q1047" s="164"/>
      <c r="R1047" s="164"/>
      <c r="S1047" s="164"/>
      <c r="T1047" s="164"/>
      <c r="U1047" s="164"/>
      <c r="V1047" s="35"/>
      <c r="W1047" s="35"/>
      <c r="X1047" s="35"/>
      <c r="Y1047" s="35"/>
      <c r="Z1047" s="35"/>
      <c r="AA1047" s="35"/>
      <c r="AB1047" s="35"/>
      <c r="AC1047" s="35"/>
      <c r="AD1047" s="35"/>
      <c r="AE1047" s="35"/>
      <c r="AF1047" s="35"/>
      <c r="AG1047" s="35"/>
      <c r="AH1047" s="35"/>
    </row>
    <row r="1048">
      <c r="A1048" s="35"/>
      <c r="B1048" s="35"/>
      <c r="C1048" s="35"/>
      <c r="D1048" s="172"/>
      <c r="E1048" s="21"/>
      <c r="F1048" s="35"/>
      <c r="G1048" s="35"/>
      <c r="H1048" s="35"/>
      <c r="I1048" s="35"/>
      <c r="J1048" s="186"/>
      <c r="K1048" s="110"/>
      <c r="L1048" s="35"/>
      <c r="M1048" s="172"/>
      <c r="N1048" s="172"/>
      <c r="O1048" s="35"/>
      <c r="P1048" s="164"/>
      <c r="Q1048" s="164"/>
      <c r="R1048" s="164"/>
      <c r="S1048" s="164"/>
      <c r="T1048" s="164"/>
      <c r="U1048" s="164"/>
      <c r="V1048" s="35"/>
      <c r="W1048" s="35"/>
      <c r="X1048" s="35"/>
      <c r="Y1048" s="35"/>
      <c r="Z1048" s="35"/>
      <c r="AA1048" s="35"/>
      <c r="AB1048" s="35"/>
      <c r="AC1048" s="35"/>
      <c r="AD1048" s="35"/>
      <c r="AE1048" s="35"/>
      <c r="AF1048" s="35"/>
      <c r="AG1048" s="35"/>
      <c r="AH1048" s="35"/>
    </row>
    <row r="1049">
      <c r="A1049" s="35"/>
      <c r="B1049" s="35"/>
      <c r="C1049" s="35"/>
      <c r="D1049" s="172"/>
      <c r="E1049" s="21"/>
      <c r="F1049" s="35"/>
      <c r="G1049" s="35"/>
      <c r="H1049" s="35"/>
      <c r="I1049" s="35"/>
      <c r="J1049" s="186"/>
      <c r="K1049" s="110"/>
      <c r="L1049" s="35"/>
      <c r="M1049" s="172"/>
      <c r="N1049" s="172"/>
      <c r="O1049" s="35"/>
      <c r="P1049" s="164"/>
      <c r="Q1049" s="164"/>
      <c r="R1049" s="164"/>
      <c r="S1049" s="164"/>
      <c r="T1049" s="164"/>
      <c r="U1049" s="164"/>
      <c r="V1049" s="35"/>
      <c r="W1049" s="35"/>
      <c r="X1049" s="35"/>
      <c r="Y1049" s="35"/>
      <c r="Z1049" s="35"/>
      <c r="AA1049" s="35"/>
      <c r="AB1049" s="35"/>
      <c r="AC1049" s="35"/>
      <c r="AD1049" s="35"/>
      <c r="AE1049" s="35"/>
      <c r="AF1049" s="35"/>
      <c r="AG1049" s="35"/>
      <c r="AH1049" s="35"/>
    </row>
    <row r="1050">
      <c r="A1050" s="35"/>
      <c r="B1050" s="35"/>
      <c r="C1050" s="35"/>
      <c r="D1050" s="172"/>
      <c r="E1050" s="21"/>
      <c r="F1050" s="35"/>
      <c r="G1050" s="35"/>
      <c r="H1050" s="35"/>
      <c r="I1050" s="35"/>
      <c r="J1050" s="186"/>
      <c r="K1050" s="110"/>
      <c r="L1050" s="35"/>
      <c r="M1050" s="172"/>
      <c r="N1050" s="172"/>
      <c r="O1050" s="35"/>
      <c r="P1050" s="164"/>
      <c r="Q1050" s="164"/>
      <c r="R1050" s="164"/>
      <c r="S1050" s="164"/>
      <c r="T1050" s="164"/>
      <c r="U1050" s="164"/>
      <c r="V1050" s="35"/>
      <c r="W1050" s="35"/>
      <c r="X1050" s="35"/>
      <c r="Y1050" s="35"/>
      <c r="Z1050" s="35"/>
      <c r="AA1050" s="35"/>
      <c r="AB1050" s="35"/>
      <c r="AC1050" s="35"/>
      <c r="AD1050" s="35"/>
      <c r="AE1050" s="35"/>
      <c r="AF1050" s="35"/>
      <c r="AG1050" s="35"/>
      <c r="AH1050" s="35"/>
    </row>
    <row r="1051">
      <c r="A1051" s="35"/>
      <c r="B1051" s="35"/>
      <c r="C1051" s="35"/>
      <c r="D1051" s="172"/>
      <c r="E1051" s="21"/>
      <c r="F1051" s="35"/>
      <c r="G1051" s="35"/>
      <c r="H1051" s="35"/>
      <c r="I1051" s="35"/>
      <c r="J1051" s="186"/>
      <c r="K1051" s="110"/>
      <c r="L1051" s="35"/>
      <c r="M1051" s="172"/>
      <c r="N1051" s="172"/>
      <c r="O1051" s="35"/>
      <c r="P1051" s="164"/>
      <c r="Q1051" s="164"/>
      <c r="R1051" s="164"/>
      <c r="S1051" s="164"/>
      <c r="T1051" s="164"/>
      <c r="U1051" s="164"/>
      <c r="V1051" s="35"/>
      <c r="W1051" s="35"/>
      <c r="X1051" s="35"/>
      <c r="Y1051" s="35"/>
      <c r="Z1051" s="35"/>
      <c r="AA1051" s="35"/>
      <c r="AB1051" s="35"/>
      <c r="AC1051" s="35"/>
      <c r="AD1051" s="35"/>
      <c r="AE1051" s="35"/>
      <c r="AF1051" s="35"/>
      <c r="AG1051" s="35"/>
      <c r="AH1051" s="35"/>
    </row>
    <row r="1052">
      <c r="A1052" s="35"/>
      <c r="B1052" s="35"/>
      <c r="C1052" s="35"/>
      <c r="D1052" s="172"/>
      <c r="E1052" s="21"/>
      <c r="F1052" s="35"/>
      <c r="G1052" s="35"/>
      <c r="H1052" s="35"/>
      <c r="I1052" s="35"/>
      <c r="J1052" s="186"/>
      <c r="K1052" s="110"/>
      <c r="L1052" s="35"/>
      <c r="M1052" s="172"/>
      <c r="N1052" s="172"/>
      <c r="O1052" s="35"/>
      <c r="P1052" s="164"/>
      <c r="Q1052" s="164"/>
      <c r="R1052" s="164"/>
      <c r="S1052" s="164"/>
      <c r="T1052" s="164"/>
      <c r="U1052" s="164"/>
      <c r="V1052" s="35"/>
      <c r="W1052" s="35"/>
      <c r="X1052" s="35"/>
      <c r="Y1052" s="35"/>
      <c r="Z1052" s="35"/>
      <c r="AA1052" s="35"/>
      <c r="AB1052" s="35"/>
      <c r="AC1052" s="35"/>
      <c r="AD1052" s="35"/>
      <c r="AE1052" s="35"/>
      <c r="AF1052" s="35"/>
      <c r="AG1052" s="35"/>
      <c r="AH1052" s="35"/>
    </row>
    <row r="1053">
      <c r="A1053" s="35"/>
      <c r="B1053" s="35"/>
      <c r="C1053" s="35"/>
      <c r="D1053" s="172"/>
      <c r="E1053" s="21"/>
      <c r="F1053" s="35"/>
      <c r="G1053" s="35"/>
      <c r="H1053" s="35"/>
      <c r="I1053" s="35"/>
      <c r="J1053" s="186"/>
      <c r="K1053" s="110"/>
      <c r="L1053" s="35"/>
      <c r="M1053" s="172"/>
      <c r="N1053" s="172"/>
      <c r="O1053" s="35"/>
      <c r="P1053" s="164"/>
      <c r="Q1053" s="164"/>
      <c r="R1053" s="164"/>
      <c r="S1053" s="164"/>
      <c r="T1053" s="164"/>
      <c r="U1053" s="164"/>
      <c r="V1053" s="35"/>
      <c r="W1053" s="35"/>
      <c r="X1053" s="35"/>
      <c r="Y1053" s="35"/>
      <c r="Z1053" s="35"/>
      <c r="AA1053" s="35"/>
      <c r="AB1053" s="35"/>
      <c r="AC1053" s="35"/>
      <c r="AD1053" s="35"/>
      <c r="AE1053" s="35"/>
      <c r="AF1053" s="35"/>
      <c r="AG1053" s="35"/>
      <c r="AH1053" s="35"/>
    </row>
    <row r="1054">
      <c r="A1054" s="35"/>
      <c r="B1054" s="35"/>
      <c r="C1054" s="35"/>
      <c r="D1054" s="172"/>
      <c r="E1054" s="21"/>
      <c r="F1054" s="35"/>
      <c r="G1054" s="35"/>
      <c r="H1054" s="35"/>
      <c r="I1054" s="35"/>
      <c r="J1054" s="186"/>
      <c r="K1054" s="110"/>
      <c r="L1054" s="35"/>
      <c r="M1054" s="172"/>
      <c r="N1054" s="172"/>
      <c r="O1054" s="35"/>
      <c r="P1054" s="164"/>
      <c r="Q1054" s="164"/>
      <c r="R1054" s="164"/>
      <c r="S1054" s="164"/>
      <c r="T1054" s="164"/>
      <c r="U1054" s="164"/>
      <c r="V1054" s="35"/>
      <c r="W1054" s="35"/>
      <c r="X1054" s="35"/>
      <c r="Y1054" s="35"/>
      <c r="Z1054" s="35"/>
      <c r="AA1054" s="35"/>
      <c r="AB1054" s="35"/>
      <c r="AC1054" s="35"/>
      <c r="AD1054" s="35"/>
      <c r="AE1054" s="35"/>
      <c r="AF1054" s="35"/>
      <c r="AG1054" s="35"/>
      <c r="AH1054" s="35"/>
    </row>
    <row r="1055">
      <c r="A1055" s="35"/>
      <c r="B1055" s="35"/>
      <c r="C1055" s="35"/>
      <c r="D1055" s="172"/>
      <c r="E1055" s="21"/>
      <c r="F1055" s="35"/>
      <c r="G1055" s="35"/>
      <c r="H1055" s="35"/>
      <c r="I1055" s="35"/>
      <c r="J1055" s="186"/>
      <c r="K1055" s="110"/>
      <c r="L1055" s="35"/>
      <c r="M1055" s="172"/>
      <c r="N1055" s="172"/>
      <c r="O1055" s="35"/>
      <c r="P1055" s="164"/>
      <c r="Q1055" s="164"/>
      <c r="R1055" s="164"/>
      <c r="S1055" s="164"/>
      <c r="T1055" s="164"/>
      <c r="U1055" s="164"/>
      <c r="V1055" s="35"/>
      <c r="W1055" s="35"/>
      <c r="X1055" s="35"/>
      <c r="Y1055" s="35"/>
      <c r="Z1055" s="35"/>
      <c r="AA1055" s="35"/>
      <c r="AB1055" s="35"/>
      <c r="AC1055" s="35"/>
      <c r="AD1055" s="35"/>
      <c r="AE1055" s="35"/>
      <c r="AF1055" s="35"/>
      <c r="AG1055" s="35"/>
      <c r="AH1055" s="35"/>
    </row>
    <row r="1056">
      <c r="A1056" s="35"/>
      <c r="B1056" s="35"/>
      <c r="C1056" s="35"/>
      <c r="D1056" s="172"/>
      <c r="E1056" s="21"/>
      <c r="F1056" s="35"/>
      <c r="G1056" s="35"/>
      <c r="H1056" s="35"/>
      <c r="I1056" s="35"/>
      <c r="J1056" s="186"/>
      <c r="K1056" s="110"/>
      <c r="L1056" s="35"/>
      <c r="M1056" s="172"/>
      <c r="N1056" s="172"/>
      <c r="O1056" s="35"/>
      <c r="P1056" s="164"/>
      <c r="Q1056" s="164"/>
      <c r="R1056" s="164"/>
      <c r="S1056" s="164"/>
      <c r="T1056" s="164"/>
      <c r="U1056" s="164"/>
      <c r="V1056" s="35"/>
      <c r="W1056" s="35"/>
      <c r="X1056" s="35"/>
      <c r="Y1056" s="35"/>
      <c r="Z1056" s="35"/>
      <c r="AA1056" s="35"/>
      <c r="AB1056" s="35"/>
      <c r="AC1056" s="35"/>
      <c r="AD1056" s="35"/>
      <c r="AE1056" s="35"/>
      <c r="AF1056" s="35"/>
      <c r="AG1056" s="35"/>
      <c r="AH1056" s="35"/>
    </row>
    <row r="1057">
      <c r="A1057" s="35"/>
      <c r="B1057" s="35"/>
      <c r="C1057" s="35"/>
      <c r="D1057" s="172"/>
      <c r="E1057" s="21"/>
      <c r="F1057" s="35"/>
      <c r="G1057" s="35"/>
      <c r="H1057" s="35"/>
      <c r="I1057" s="35"/>
      <c r="J1057" s="186"/>
      <c r="K1057" s="110"/>
      <c r="L1057" s="35"/>
      <c r="M1057" s="172"/>
      <c r="N1057" s="172"/>
      <c r="O1057" s="35"/>
      <c r="P1057" s="164"/>
      <c r="Q1057" s="164"/>
      <c r="R1057" s="164"/>
      <c r="S1057" s="164"/>
      <c r="T1057" s="164"/>
      <c r="U1057" s="164"/>
      <c r="V1057" s="35"/>
      <c r="W1057" s="35"/>
      <c r="X1057" s="35"/>
      <c r="Y1057" s="35"/>
      <c r="Z1057" s="35"/>
      <c r="AA1057" s="35"/>
      <c r="AB1057" s="35"/>
      <c r="AC1057" s="35"/>
      <c r="AD1057" s="35"/>
      <c r="AE1057" s="35"/>
      <c r="AF1057" s="35"/>
      <c r="AG1057" s="35"/>
      <c r="AH1057" s="35"/>
    </row>
    <row r="1058">
      <c r="A1058" s="35"/>
      <c r="B1058" s="35"/>
      <c r="C1058" s="35"/>
      <c r="D1058" s="172"/>
      <c r="E1058" s="21"/>
      <c r="F1058" s="35"/>
      <c r="G1058" s="35"/>
      <c r="H1058" s="35"/>
      <c r="I1058" s="35"/>
      <c r="J1058" s="186"/>
      <c r="K1058" s="110"/>
      <c r="L1058" s="35"/>
      <c r="M1058" s="172"/>
      <c r="N1058" s="172"/>
      <c r="O1058" s="35"/>
      <c r="P1058" s="164"/>
      <c r="Q1058" s="164"/>
      <c r="R1058" s="164"/>
      <c r="S1058" s="164"/>
      <c r="T1058" s="164"/>
      <c r="U1058" s="164"/>
      <c r="V1058" s="35"/>
      <c r="W1058" s="35"/>
      <c r="X1058" s="35"/>
      <c r="Y1058" s="35"/>
      <c r="Z1058" s="35"/>
      <c r="AA1058" s="35"/>
      <c r="AB1058" s="35"/>
      <c r="AC1058" s="35"/>
      <c r="AD1058" s="35"/>
      <c r="AE1058" s="35"/>
      <c r="AF1058" s="35"/>
      <c r="AG1058" s="35"/>
      <c r="AH1058" s="35"/>
    </row>
    <row r="1059">
      <c r="A1059" s="35"/>
      <c r="B1059" s="35"/>
      <c r="C1059" s="35"/>
      <c r="D1059" s="172"/>
      <c r="E1059" s="21"/>
      <c r="F1059" s="35"/>
      <c r="G1059" s="35"/>
      <c r="H1059" s="35"/>
      <c r="I1059" s="35"/>
      <c r="J1059" s="186"/>
      <c r="K1059" s="110"/>
      <c r="L1059" s="35"/>
      <c r="M1059" s="172"/>
      <c r="N1059" s="172"/>
      <c r="O1059" s="35"/>
      <c r="P1059" s="164"/>
      <c r="Q1059" s="164"/>
      <c r="R1059" s="164"/>
      <c r="S1059" s="164"/>
      <c r="T1059" s="164"/>
      <c r="U1059" s="164"/>
      <c r="V1059" s="35"/>
      <c r="W1059" s="35"/>
      <c r="X1059" s="35"/>
      <c r="Y1059" s="35"/>
      <c r="Z1059" s="35"/>
      <c r="AA1059" s="35"/>
      <c r="AB1059" s="35"/>
      <c r="AC1059" s="35"/>
      <c r="AD1059" s="35"/>
      <c r="AE1059" s="35"/>
      <c r="AF1059" s="35"/>
      <c r="AG1059" s="35"/>
      <c r="AH1059" s="35"/>
    </row>
    <row r="1060">
      <c r="A1060" s="35"/>
      <c r="B1060" s="35"/>
      <c r="C1060" s="35"/>
      <c r="D1060" s="172"/>
      <c r="E1060" s="21"/>
      <c r="F1060" s="35"/>
      <c r="G1060" s="35"/>
      <c r="H1060" s="35"/>
      <c r="I1060" s="35"/>
      <c r="J1060" s="186"/>
      <c r="K1060" s="110"/>
      <c r="L1060" s="35"/>
      <c r="M1060" s="172"/>
      <c r="N1060" s="172"/>
      <c r="O1060" s="35"/>
      <c r="P1060" s="164"/>
      <c r="Q1060" s="164"/>
      <c r="R1060" s="164"/>
      <c r="S1060" s="164"/>
      <c r="T1060" s="164"/>
      <c r="U1060" s="164"/>
      <c r="V1060" s="35"/>
      <c r="W1060" s="35"/>
      <c r="X1060" s="35"/>
      <c r="Y1060" s="35"/>
      <c r="Z1060" s="35"/>
      <c r="AA1060" s="35"/>
      <c r="AB1060" s="35"/>
      <c r="AC1060" s="35"/>
      <c r="AD1060" s="35"/>
      <c r="AE1060" s="35"/>
      <c r="AF1060" s="35"/>
      <c r="AG1060" s="35"/>
      <c r="AH1060" s="35"/>
    </row>
    <row r="1061">
      <c r="A1061" s="35"/>
      <c r="B1061" s="35"/>
      <c r="C1061" s="35"/>
      <c r="D1061" s="172"/>
      <c r="E1061" s="21"/>
      <c r="F1061" s="35"/>
      <c r="G1061" s="35"/>
      <c r="H1061" s="35"/>
      <c r="I1061" s="35"/>
      <c r="J1061" s="186"/>
      <c r="K1061" s="110"/>
      <c r="L1061" s="35"/>
      <c r="M1061" s="172"/>
      <c r="N1061" s="172"/>
      <c r="O1061" s="35"/>
      <c r="P1061" s="164"/>
      <c r="Q1061" s="164"/>
      <c r="R1061" s="164"/>
      <c r="S1061" s="164"/>
      <c r="T1061" s="164"/>
      <c r="U1061" s="164"/>
      <c r="V1061" s="35"/>
      <c r="W1061" s="35"/>
      <c r="X1061" s="35"/>
      <c r="Y1061" s="35"/>
      <c r="Z1061" s="35"/>
      <c r="AA1061" s="35"/>
      <c r="AB1061" s="35"/>
      <c r="AC1061" s="35"/>
      <c r="AD1061" s="35"/>
      <c r="AE1061" s="35"/>
      <c r="AF1061" s="35"/>
      <c r="AG1061" s="35"/>
      <c r="AH1061" s="35"/>
    </row>
  </sheetData>
  <autoFilter ref="$A$1:$W$1061"/>
  <mergeCells count="8">
    <mergeCell ref="M30:N30"/>
    <mergeCell ref="M35:N35"/>
    <mergeCell ref="D41:F41"/>
    <mergeCell ref="M42:N42"/>
    <mergeCell ref="D47:G47"/>
    <mergeCell ref="M50:N50"/>
    <mergeCell ref="E52:F52"/>
    <mergeCell ref="M52:N52"/>
  </mergeCells>
  <hyperlinks>
    <hyperlink r:id="rId1" ref="K3"/>
    <hyperlink r:id="rId2" ref="K4"/>
    <hyperlink r:id="rId3" ref="K5"/>
    <hyperlink r:id="rId4" ref="K6"/>
    <hyperlink r:id="rId5" ref="K7"/>
    <hyperlink r:id="rId6" ref="K8"/>
    <hyperlink r:id="rId7" ref="J11"/>
    <hyperlink r:id="rId8" ref="J16"/>
    <hyperlink r:id="rId9" ref="J26"/>
    <hyperlink r:id="rId10" ref="K32"/>
    <hyperlink r:id="rId11" ref="K33"/>
    <hyperlink r:id="rId12" ref="K34"/>
    <hyperlink r:id="rId13" ref="K56"/>
    <hyperlink r:id="rId14" ref="K69"/>
    <hyperlink r:id="rId15" ref="K70"/>
    <hyperlink r:id="rId16" ref="J72"/>
    <hyperlink r:id="rId17" ref="J73"/>
    <hyperlink r:id="rId18" ref="J74"/>
    <hyperlink r:id="rId19" ref="J75"/>
    <hyperlink r:id="rId20" ref="N75"/>
    <hyperlink r:id="rId21" ref="J76"/>
    <hyperlink r:id="rId22" ref="J77"/>
    <hyperlink r:id="rId23" ref="K78"/>
    <hyperlink r:id="rId24" ref="K79"/>
    <hyperlink r:id="rId25" ref="K80"/>
    <hyperlink r:id="rId26" ref="J88"/>
    <hyperlink r:id="rId27" ref="K90"/>
    <hyperlink r:id="rId28" ref="J96"/>
    <hyperlink r:id="rId29" ref="J97"/>
    <hyperlink r:id="rId30" ref="K98"/>
    <hyperlink r:id="rId31" ref="K99"/>
    <hyperlink r:id="rId32" ref="K100"/>
    <hyperlink r:id="rId33" ref="K101"/>
    <hyperlink r:id="rId34" ref="K102"/>
    <hyperlink r:id="rId35" ref="K103"/>
    <hyperlink r:id="rId36" ref="K104"/>
    <hyperlink r:id="rId37" ref="K105"/>
    <hyperlink r:id="rId38" ref="K106"/>
    <hyperlink r:id="rId39" ref="K107"/>
    <hyperlink r:id="rId40" ref="K108"/>
    <hyperlink r:id="rId41" ref="K109"/>
    <hyperlink r:id="rId42" ref="K110"/>
    <hyperlink r:id="rId43" ref="K111"/>
    <hyperlink r:id="rId44" ref="K112"/>
    <hyperlink r:id="rId45" ref="K113"/>
    <hyperlink r:id="rId46" ref="K114"/>
    <hyperlink r:id="rId47" ref="K115"/>
    <hyperlink r:id="rId48" ref="K116"/>
    <hyperlink r:id="rId49" ref="K117"/>
    <hyperlink r:id="rId50" ref="J121"/>
    <hyperlink r:id="rId51" ref="J122"/>
    <hyperlink r:id="rId52" ref="J123"/>
    <hyperlink r:id="rId53" ref="J124"/>
    <hyperlink r:id="rId54" ref="J125"/>
    <hyperlink r:id="rId55" ref="J126"/>
    <hyperlink r:id="rId56" ref="J127"/>
    <hyperlink r:id="rId57" ref="J128"/>
    <hyperlink r:id="rId58" ref="J129"/>
    <hyperlink r:id="rId59" ref="J130"/>
    <hyperlink r:id="rId60" ref="K131"/>
    <hyperlink r:id="rId61" ref="K132"/>
    <hyperlink r:id="rId62" ref="K133"/>
    <hyperlink r:id="rId63" ref="J134"/>
    <hyperlink r:id="rId64" ref="J135"/>
    <hyperlink r:id="rId65" ref="J138"/>
    <hyperlink r:id="rId66" ref="J139"/>
    <hyperlink r:id="rId67" ref="J142"/>
    <hyperlink r:id="rId68" ref="K145"/>
    <hyperlink r:id="rId69" ref="K148"/>
    <hyperlink r:id="rId70" ref="K157"/>
    <hyperlink r:id="rId71" ref="K159"/>
    <hyperlink r:id="rId72" ref="J162"/>
    <hyperlink r:id="rId73" ref="J164"/>
    <hyperlink r:id="rId74" ref="K165"/>
    <hyperlink r:id="rId75" ref="K167"/>
    <hyperlink r:id="rId76" ref="J168"/>
    <hyperlink r:id="rId77" ref="J169"/>
    <hyperlink r:id="rId78" ref="J174"/>
    <hyperlink r:id="rId79" ref="J179"/>
    <hyperlink r:id="rId80" ref="J182"/>
    <hyperlink r:id="rId81" ref="J183"/>
    <hyperlink r:id="rId82" ref="K184"/>
    <hyperlink r:id="rId83" ref="K189"/>
    <hyperlink r:id="rId84" ref="K191"/>
    <hyperlink r:id="rId85" ref="J203"/>
    <hyperlink r:id="rId86" ref="J209"/>
    <hyperlink r:id="rId87" ref="J216"/>
    <hyperlink r:id="rId88" ref="J228"/>
    <hyperlink r:id="rId89" ref="J229"/>
    <hyperlink r:id="rId90" ref="J243"/>
  </hyperlinks>
  <drawing r:id="rId9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88"/>
    <col customWidth="1" min="2" max="2" width="71.0"/>
    <col customWidth="1" min="3" max="3" width="5.75"/>
    <col customWidth="1" min="4" max="7" width="2.63"/>
    <col customWidth="1" min="8" max="8" width="4.88"/>
    <col customWidth="1" min="9" max="11" width="2.63"/>
    <col customWidth="1" min="15" max="20" width="5.88"/>
    <col customWidth="1" min="21" max="21" width="7.38"/>
    <col customWidth="1" min="22" max="22" width="5.88"/>
  </cols>
  <sheetData>
    <row r="1">
      <c r="A1" s="2" t="s">
        <v>1</v>
      </c>
      <c r="B1" s="2" t="s">
        <v>3</v>
      </c>
      <c r="C1" s="4" t="s">
        <v>6</v>
      </c>
      <c r="D1" s="5" t="s">
        <v>8</v>
      </c>
      <c r="E1" s="7" t="s">
        <v>11</v>
      </c>
      <c r="F1" s="2" t="s">
        <v>13</v>
      </c>
      <c r="G1" s="2" t="s">
        <v>15</v>
      </c>
      <c r="H1" s="2" t="s">
        <v>16</v>
      </c>
      <c r="I1" s="2" t="s">
        <v>18</v>
      </c>
      <c r="J1" s="9" t="s">
        <v>21</v>
      </c>
      <c r="K1" s="2" t="s">
        <v>25</v>
      </c>
      <c r="L1" s="2" t="s">
        <v>27</v>
      </c>
      <c r="M1" s="5" t="s">
        <v>28</v>
      </c>
      <c r="N1" s="5" t="s">
        <v>30</v>
      </c>
      <c r="O1" s="10" t="s">
        <v>31</v>
      </c>
      <c r="P1" s="4" t="s">
        <v>32</v>
      </c>
      <c r="Q1" s="4" t="s">
        <v>33</v>
      </c>
      <c r="R1" s="4" t="s">
        <v>34</v>
      </c>
      <c r="S1" s="12" t="s">
        <v>35</v>
      </c>
      <c r="T1" s="12" t="s">
        <v>36</v>
      </c>
      <c r="U1" s="12" t="s">
        <v>37</v>
      </c>
      <c r="V1" s="13" t="s">
        <v>38</v>
      </c>
      <c r="W1" s="14"/>
      <c r="X1" s="14"/>
      <c r="Y1" s="14"/>
      <c r="Z1" s="14"/>
      <c r="AA1" s="14"/>
      <c r="AB1" s="14"/>
      <c r="AC1" s="14"/>
      <c r="AD1" s="14"/>
      <c r="AE1" s="14"/>
      <c r="AF1" s="14"/>
      <c r="AG1" s="15"/>
    </row>
    <row r="2">
      <c r="C2" s="16" t="s">
        <v>42</v>
      </c>
    </row>
    <row r="3">
      <c r="B3" s="17"/>
      <c r="C3" s="18"/>
      <c r="E3" s="21"/>
      <c r="F3" s="23"/>
      <c r="L3" s="19"/>
      <c r="P3" s="25"/>
      <c r="Q3" s="25"/>
      <c r="R3" s="25"/>
      <c r="S3" s="25"/>
      <c r="T3" s="26"/>
      <c r="U3" s="25"/>
    </row>
    <row r="4">
      <c r="B4" s="17"/>
      <c r="C4" s="18"/>
      <c r="E4" s="21"/>
      <c r="F4" s="23"/>
      <c r="L4" s="24"/>
      <c r="P4" s="25"/>
      <c r="Q4" s="25"/>
      <c r="R4" s="25"/>
      <c r="S4" s="25"/>
      <c r="T4" s="26"/>
      <c r="U4" s="25"/>
    </row>
    <row r="5">
      <c r="A5" s="6" t="s">
        <v>55</v>
      </c>
      <c r="B5" s="31" t="s">
        <v>57</v>
      </c>
      <c r="C5" s="18" t="s">
        <v>59</v>
      </c>
      <c r="D5" s="6" t="s">
        <v>60</v>
      </c>
      <c r="F5" s="23" t="s">
        <v>61</v>
      </c>
      <c r="L5" s="24" t="s">
        <v>52</v>
      </c>
      <c r="O5" s="6" t="s">
        <v>31</v>
      </c>
      <c r="P5" s="26" t="s">
        <v>58</v>
      </c>
      <c r="Q5" s="25"/>
      <c r="R5" s="25"/>
      <c r="S5" s="25"/>
      <c r="T5" s="25"/>
      <c r="U5" s="26">
        <v>12.0</v>
      </c>
    </row>
    <row r="6">
      <c r="A6" s="37"/>
      <c r="B6" s="38"/>
      <c r="C6" s="39"/>
      <c r="D6" s="37"/>
      <c r="E6" s="40"/>
      <c r="F6" s="23"/>
      <c r="G6" s="40"/>
      <c r="H6" s="40"/>
      <c r="I6" s="40"/>
      <c r="J6" s="40"/>
      <c r="K6" s="40"/>
      <c r="L6" s="24"/>
      <c r="M6" s="40"/>
      <c r="N6" s="40"/>
      <c r="P6" s="42"/>
      <c r="Q6" s="42"/>
      <c r="R6" s="45"/>
      <c r="S6" s="45"/>
      <c r="T6" s="42"/>
      <c r="U6" s="45"/>
      <c r="V6" s="40"/>
      <c r="W6" s="40"/>
      <c r="X6" s="40"/>
      <c r="Y6" s="40"/>
      <c r="Z6" s="40"/>
      <c r="AA6" s="40"/>
      <c r="AB6" s="40"/>
      <c r="AC6" s="40"/>
      <c r="AD6" s="40"/>
      <c r="AE6" s="40"/>
      <c r="AF6" s="40"/>
      <c r="AG6" s="40"/>
    </row>
    <row r="7">
      <c r="A7" s="6" t="s">
        <v>71</v>
      </c>
      <c r="B7" s="6" t="s">
        <v>72</v>
      </c>
      <c r="C7" s="39" t="s">
        <v>42</v>
      </c>
      <c r="P7" s="25"/>
      <c r="Q7" s="25"/>
      <c r="R7" s="25"/>
      <c r="S7" s="25"/>
      <c r="T7" s="25"/>
      <c r="U7" s="25"/>
    </row>
    <row r="8">
      <c r="B8" s="6" t="s">
        <v>73</v>
      </c>
      <c r="C8" s="47"/>
      <c r="P8" s="25"/>
      <c r="Q8" s="25"/>
      <c r="R8" s="25"/>
      <c r="S8" s="25"/>
      <c r="T8" s="25"/>
      <c r="U8" s="25"/>
    </row>
    <row r="9">
      <c r="B9" s="6" t="s">
        <v>74</v>
      </c>
      <c r="C9" s="47"/>
      <c r="P9" s="25"/>
      <c r="Q9" s="25"/>
      <c r="R9" s="25"/>
      <c r="S9" s="25"/>
      <c r="T9" s="25"/>
      <c r="U9" s="25"/>
    </row>
    <row r="10">
      <c r="B10" s="6" t="s">
        <v>75</v>
      </c>
      <c r="C10" s="47"/>
      <c r="P10" s="25"/>
      <c r="Q10" s="25"/>
      <c r="R10" s="25"/>
      <c r="S10" s="25"/>
      <c r="T10" s="25"/>
      <c r="U10" s="25"/>
    </row>
    <row r="11">
      <c r="A11" s="6" t="s">
        <v>76</v>
      </c>
      <c r="B11" s="31" t="s">
        <v>77</v>
      </c>
      <c r="C11" s="47"/>
      <c r="D11" s="6" t="s">
        <v>78</v>
      </c>
      <c r="P11" s="25"/>
      <c r="Q11" s="25"/>
      <c r="R11" s="25"/>
      <c r="S11" s="25"/>
      <c r="T11" s="25"/>
      <c r="U11" s="25"/>
    </row>
    <row r="12">
      <c r="B12" s="6" t="s">
        <v>80</v>
      </c>
      <c r="C12" s="47"/>
      <c r="D12" s="6" t="s">
        <v>81</v>
      </c>
      <c r="P12" s="25"/>
      <c r="Q12" s="25"/>
      <c r="R12" s="25"/>
      <c r="S12" s="25"/>
      <c r="T12" s="25"/>
      <c r="U12" s="25"/>
    </row>
    <row r="13">
      <c r="A13" s="6" t="s">
        <v>76</v>
      </c>
      <c r="B13" s="17" t="s">
        <v>84</v>
      </c>
      <c r="C13" s="47"/>
      <c r="P13" s="25"/>
      <c r="Q13" s="25"/>
      <c r="R13" s="25"/>
      <c r="S13" s="25"/>
      <c r="T13" s="25"/>
      <c r="U13" s="25"/>
    </row>
    <row r="14">
      <c r="B14" s="37" t="s">
        <v>85</v>
      </c>
      <c r="C14" s="47"/>
      <c r="P14" s="25"/>
      <c r="Q14" s="25"/>
      <c r="R14" s="25"/>
      <c r="S14" s="25"/>
      <c r="T14" s="25"/>
      <c r="U14" s="25"/>
    </row>
    <row r="15">
      <c r="B15" s="37" t="s">
        <v>86</v>
      </c>
      <c r="C15" s="47"/>
      <c r="P15" s="25"/>
      <c r="Q15" s="25"/>
      <c r="R15" s="25"/>
      <c r="S15" s="25"/>
      <c r="T15" s="25"/>
      <c r="U15" s="25"/>
    </row>
    <row r="16">
      <c r="B16" s="6" t="s">
        <v>89</v>
      </c>
      <c r="C16" s="47"/>
      <c r="P16" s="25"/>
      <c r="Q16" s="25"/>
      <c r="R16" s="25"/>
      <c r="S16" s="25"/>
      <c r="T16" s="25"/>
      <c r="U16" s="25"/>
    </row>
    <row r="17">
      <c r="A17" s="6" t="s">
        <v>76</v>
      </c>
      <c r="B17" s="31" t="s">
        <v>92</v>
      </c>
      <c r="C17" s="18"/>
      <c r="D17" s="6" t="s">
        <v>94</v>
      </c>
      <c r="F17" s="23"/>
      <c r="L17" s="24"/>
      <c r="P17" s="25"/>
      <c r="Q17" s="26"/>
      <c r="R17" s="25"/>
      <c r="S17" s="25"/>
      <c r="T17" s="25"/>
      <c r="U17" s="25"/>
    </row>
    <row r="18">
      <c r="A18" s="6" t="s">
        <v>76</v>
      </c>
      <c r="B18" s="31" t="s">
        <v>95</v>
      </c>
      <c r="C18" s="18"/>
      <c r="D18" s="6" t="s">
        <v>96</v>
      </c>
      <c r="F18" s="23"/>
      <c r="L18" s="24"/>
      <c r="P18" s="25"/>
      <c r="Q18" s="26"/>
      <c r="R18" s="25"/>
      <c r="S18" s="25"/>
      <c r="T18" s="25"/>
      <c r="U18" s="25"/>
    </row>
    <row r="19">
      <c r="A19" s="6" t="s">
        <v>76</v>
      </c>
      <c r="B19" s="31" t="s">
        <v>100</v>
      </c>
      <c r="C19" s="18"/>
      <c r="D19" s="6" t="s">
        <v>101</v>
      </c>
      <c r="F19" s="23"/>
      <c r="H19" s="17" t="s">
        <v>102</v>
      </c>
      <c r="L19" s="24"/>
      <c r="P19" s="25"/>
      <c r="Q19" s="26"/>
      <c r="R19" s="25"/>
      <c r="S19" s="25"/>
      <c r="T19" s="25"/>
      <c r="U19" s="25"/>
    </row>
    <row r="20">
      <c r="B20" s="6" t="s">
        <v>109</v>
      </c>
      <c r="C20" s="18"/>
      <c r="F20" s="23"/>
      <c r="L20" s="24"/>
      <c r="P20" s="25"/>
      <c r="Q20" s="26"/>
      <c r="R20" s="25"/>
      <c r="S20" s="25"/>
      <c r="T20" s="25"/>
      <c r="U20" s="25"/>
    </row>
    <row r="21">
      <c r="B21" s="50"/>
      <c r="C21" s="18"/>
      <c r="F21" s="23"/>
      <c r="L21" s="24"/>
      <c r="P21" s="25"/>
      <c r="Q21" s="26"/>
      <c r="R21" s="25"/>
      <c r="S21" s="25"/>
      <c r="T21" s="25"/>
      <c r="U21" s="25"/>
    </row>
    <row r="22">
      <c r="B22" s="51" t="s">
        <v>112</v>
      </c>
      <c r="C22" s="47"/>
      <c r="P22" s="25"/>
      <c r="Q22" s="25"/>
      <c r="R22" s="25"/>
      <c r="S22" s="25"/>
      <c r="T22" s="25"/>
      <c r="U22" s="25"/>
    </row>
    <row r="23">
      <c r="B23" s="6" t="s">
        <v>115</v>
      </c>
      <c r="C23" s="47"/>
      <c r="P23" s="25"/>
      <c r="Q23" s="25"/>
      <c r="R23" s="25"/>
      <c r="S23" s="25"/>
      <c r="T23" s="25"/>
      <c r="U23" s="25"/>
    </row>
    <row r="24">
      <c r="B24" s="6" t="s">
        <v>116</v>
      </c>
      <c r="C24" s="47"/>
      <c r="P24" s="25"/>
      <c r="Q24" s="25"/>
      <c r="R24" s="25"/>
      <c r="S24" s="25"/>
      <c r="T24" s="25"/>
      <c r="U24" s="25"/>
    </row>
    <row r="25">
      <c r="B25" s="6" t="s">
        <v>119</v>
      </c>
      <c r="C25" s="47"/>
      <c r="P25" s="25"/>
      <c r="Q25" s="25"/>
      <c r="R25" s="25"/>
      <c r="S25" s="25"/>
      <c r="T25" s="25"/>
      <c r="U25" s="25"/>
    </row>
    <row r="26">
      <c r="C26" s="47"/>
      <c r="P26" s="25"/>
      <c r="Q26" s="25"/>
      <c r="R26" s="25"/>
      <c r="S26" s="25"/>
      <c r="T26" s="25"/>
      <c r="U26" s="25"/>
    </row>
    <row r="27">
      <c r="A27" s="6" t="s">
        <v>123</v>
      </c>
      <c r="B27" s="6" t="s">
        <v>124</v>
      </c>
      <c r="D27" s="18"/>
      <c r="P27" s="25"/>
      <c r="Q27" s="25"/>
      <c r="R27" s="25"/>
      <c r="S27" s="25"/>
      <c r="T27" s="25"/>
      <c r="U27" s="25"/>
    </row>
    <row r="28">
      <c r="C28" s="18"/>
      <c r="P28" s="25"/>
      <c r="Q28" s="25"/>
      <c r="R28" s="25"/>
      <c r="S28" s="25"/>
      <c r="T28" s="25"/>
      <c r="U28" s="25"/>
    </row>
    <row r="29">
      <c r="C29" s="47"/>
      <c r="P29" s="25"/>
      <c r="Q29" s="25"/>
      <c r="R29" s="25"/>
      <c r="S29" s="25"/>
      <c r="T29" s="25"/>
      <c r="U29" s="25"/>
    </row>
    <row r="30">
      <c r="A30" s="52" t="s">
        <v>125</v>
      </c>
      <c r="C30" s="47"/>
      <c r="P30" s="25"/>
      <c r="Q30" s="25"/>
      <c r="R30" s="25"/>
      <c r="S30" s="25"/>
      <c r="T30" s="25"/>
      <c r="U30" s="25"/>
    </row>
    <row r="31">
      <c r="A31" s="53" t="s">
        <v>126</v>
      </c>
      <c r="C31" s="47"/>
      <c r="P31" s="25"/>
      <c r="Q31" s="25"/>
      <c r="R31" s="25"/>
      <c r="S31" s="25"/>
      <c r="T31" s="25"/>
      <c r="U31" s="25"/>
    </row>
    <row r="32">
      <c r="A32" s="54" t="s">
        <v>129</v>
      </c>
      <c r="C32" s="47"/>
      <c r="P32" s="25"/>
      <c r="Q32" s="25"/>
      <c r="R32" s="25"/>
      <c r="S32" s="25"/>
      <c r="T32" s="25"/>
      <c r="U32" s="25"/>
    </row>
    <row r="33">
      <c r="A33" s="53" t="s">
        <v>132</v>
      </c>
      <c r="C33" s="47"/>
      <c r="P33" s="25"/>
      <c r="Q33" s="25"/>
      <c r="R33" s="25"/>
      <c r="S33" s="25"/>
      <c r="T33" s="25"/>
      <c r="U33" s="25"/>
    </row>
    <row r="34">
      <c r="A34" s="53" t="s">
        <v>136</v>
      </c>
      <c r="C34" s="47"/>
      <c r="P34" s="25"/>
      <c r="Q34" s="25"/>
      <c r="R34" s="25"/>
      <c r="S34" s="25"/>
      <c r="T34" s="25"/>
      <c r="U34" s="25"/>
    </row>
    <row r="35">
      <c r="A35" s="55" t="s">
        <v>138</v>
      </c>
      <c r="C35" s="47"/>
      <c r="P35" s="25"/>
      <c r="Q35" s="25"/>
      <c r="R35" s="25"/>
      <c r="S35" s="25"/>
      <c r="T35" s="25"/>
      <c r="U35" s="25"/>
    </row>
    <row r="36">
      <c r="A36" s="53" t="s">
        <v>139</v>
      </c>
      <c r="C36" s="47"/>
      <c r="P36" s="25"/>
      <c r="Q36" s="25"/>
      <c r="R36" s="25"/>
      <c r="S36" s="25"/>
      <c r="T36" s="25"/>
      <c r="U36" s="25"/>
    </row>
    <row r="37">
      <c r="A37" s="53" t="s">
        <v>140</v>
      </c>
      <c r="C37" s="47"/>
      <c r="P37" s="25"/>
      <c r="Q37" s="25"/>
      <c r="R37" s="25"/>
      <c r="S37" s="25"/>
      <c r="T37" s="25"/>
      <c r="U37" s="25"/>
    </row>
    <row r="38">
      <c r="A38" s="53" t="s">
        <v>141</v>
      </c>
      <c r="C38" s="47"/>
      <c r="P38" s="25"/>
      <c r="Q38" s="25"/>
      <c r="R38" s="25"/>
      <c r="S38" s="25"/>
      <c r="T38" s="25"/>
      <c r="U38" s="25"/>
    </row>
    <row r="39">
      <c r="A39" s="53" t="s">
        <v>143</v>
      </c>
      <c r="C39" s="47"/>
      <c r="P39" s="25"/>
      <c r="Q39" s="25"/>
      <c r="R39" s="25"/>
      <c r="S39" s="25"/>
      <c r="T39" s="25"/>
      <c r="U39" s="25"/>
    </row>
    <row r="40">
      <c r="C40" s="47"/>
      <c r="P40" s="25"/>
      <c r="Q40" s="25"/>
      <c r="R40" s="25"/>
      <c r="S40" s="25"/>
      <c r="T40" s="25"/>
      <c r="U40" s="25"/>
    </row>
    <row r="41">
      <c r="C41" s="47"/>
      <c r="P41" s="25"/>
      <c r="Q41" s="25"/>
      <c r="R41" s="25"/>
      <c r="S41" s="25"/>
      <c r="T41" s="25"/>
      <c r="U41" s="25"/>
    </row>
    <row r="42">
      <c r="C42" s="47"/>
      <c r="P42" s="25"/>
      <c r="Q42" s="25"/>
      <c r="R42" s="25"/>
      <c r="S42" s="25"/>
      <c r="T42" s="25"/>
      <c r="U42" s="25"/>
    </row>
    <row r="43">
      <c r="C43" s="47"/>
      <c r="P43" s="25"/>
      <c r="Q43" s="25"/>
      <c r="R43" s="25"/>
      <c r="S43" s="25"/>
      <c r="T43" s="25"/>
      <c r="U43" s="25"/>
    </row>
    <row r="44">
      <c r="C44" s="47"/>
      <c r="P44" s="25"/>
      <c r="Q44" s="25"/>
      <c r="R44" s="25"/>
      <c r="S44" s="25"/>
      <c r="T44" s="25"/>
      <c r="U44" s="25"/>
    </row>
    <row r="45">
      <c r="C45" s="47"/>
      <c r="P45" s="25"/>
      <c r="Q45" s="25"/>
      <c r="R45" s="25"/>
      <c r="S45" s="25"/>
      <c r="T45" s="25"/>
      <c r="U45" s="25"/>
    </row>
    <row r="46">
      <c r="C46" s="47"/>
      <c r="P46" s="25"/>
      <c r="Q46" s="25"/>
      <c r="R46" s="25"/>
      <c r="S46" s="25"/>
      <c r="T46" s="25"/>
      <c r="U46" s="25"/>
    </row>
    <row r="47">
      <c r="C47" s="47"/>
      <c r="P47" s="25"/>
      <c r="Q47" s="25"/>
      <c r="R47" s="25"/>
      <c r="S47" s="25"/>
      <c r="T47" s="25"/>
      <c r="U47" s="25"/>
    </row>
    <row r="48">
      <c r="C48" s="47"/>
      <c r="P48" s="25"/>
      <c r="Q48" s="25"/>
      <c r="R48" s="25"/>
      <c r="S48" s="25"/>
      <c r="T48" s="25"/>
      <c r="U48" s="25"/>
    </row>
    <row r="49">
      <c r="C49" s="47"/>
      <c r="P49" s="25"/>
      <c r="Q49" s="25"/>
      <c r="R49" s="25"/>
      <c r="S49" s="25"/>
      <c r="T49" s="25"/>
      <c r="U49" s="25"/>
    </row>
    <row r="50">
      <c r="C50" s="47"/>
      <c r="P50" s="25"/>
      <c r="Q50" s="25"/>
      <c r="R50" s="25"/>
      <c r="S50" s="25"/>
      <c r="T50" s="25"/>
      <c r="U50" s="25"/>
    </row>
    <row r="51">
      <c r="C51" s="47"/>
      <c r="P51" s="25"/>
      <c r="Q51" s="25"/>
      <c r="R51" s="25"/>
      <c r="S51" s="25"/>
      <c r="T51" s="25"/>
      <c r="U51" s="25"/>
    </row>
    <row r="52">
      <c r="C52" s="47"/>
      <c r="P52" s="25"/>
      <c r="Q52" s="25"/>
      <c r="R52" s="25"/>
      <c r="S52" s="25"/>
      <c r="T52" s="25"/>
      <c r="U52" s="25"/>
    </row>
    <row r="53">
      <c r="C53" s="47"/>
      <c r="P53" s="25"/>
      <c r="Q53" s="25"/>
      <c r="R53" s="25"/>
      <c r="S53" s="25"/>
      <c r="T53" s="25"/>
      <c r="U53" s="25"/>
    </row>
    <row r="54">
      <c r="C54" s="47"/>
      <c r="P54" s="25"/>
      <c r="Q54" s="25"/>
      <c r="R54" s="25"/>
      <c r="S54" s="25"/>
      <c r="T54" s="25"/>
      <c r="U54" s="25"/>
    </row>
    <row r="55">
      <c r="C55" s="47"/>
      <c r="P55" s="25"/>
      <c r="Q55" s="25"/>
      <c r="R55" s="25"/>
      <c r="S55" s="25"/>
      <c r="T55" s="25"/>
      <c r="U55" s="25"/>
    </row>
    <row r="56">
      <c r="C56" s="47"/>
      <c r="P56" s="25"/>
      <c r="Q56" s="25"/>
      <c r="R56" s="25"/>
      <c r="S56" s="25"/>
      <c r="T56" s="25"/>
      <c r="U56" s="25"/>
    </row>
    <row r="57">
      <c r="C57" s="47"/>
      <c r="P57" s="25"/>
      <c r="Q57" s="25"/>
      <c r="R57" s="25"/>
      <c r="S57" s="25"/>
      <c r="T57" s="25"/>
      <c r="U57" s="25"/>
    </row>
    <row r="58">
      <c r="C58" s="47"/>
      <c r="P58" s="25"/>
      <c r="Q58" s="25"/>
      <c r="R58" s="25"/>
      <c r="S58" s="25"/>
      <c r="T58" s="25"/>
      <c r="U58" s="25"/>
    </row>
    <row r="59">
      <c r="C59" s="47"/>
      <c r="P59" s="25"/>
      <c r="Q59" s="25"/>
      <c r="R59" s="25"/>
      <c r="S59" s="25"/>
      <c r="T59" s="25"/>
      <c r="U59" s="25"/>
    </row>
    <row r="60">
      <c r="C60" s="47"/>
      <c r="P60" s="25"/>
      <c r="Q60" s="25"/>
      <c r="R60" s="25"/>
      <c r="S60" s="25"/>
      <c r="T60" s="25"/>
      <c r="U60" s="25"/>
    </row>
    <row r="61">
      <c r="C61" s="47"/>
      <c r="P61" s="25"/>
      <c r="Q61" s="25"/>
      <c r="R61" s="25"/>
      <c r="S61" s="25"/>
      <c r="T61" s="25"/>
      <c r="U61" s="25"/>
    </row>
    <row r="62">
      <c r="C62" s="47"/>
      <c r="P62" s="25"/>
      <c r="Q62" s="25"/>
      <c r="R62" s="25"/>
      <c r="S62" s="25"/>
      <c r="T62" s="25"/>
      <c r="U62" s="25"/>
    </row>
    <row r="63">
      <c r="C63" s="47"/>
      <c r="P63" s="25"/>
      <c r="Q63" s="25"/>
      <c r="R63" s="25"/>
      <c r="S63" s="25"/>
      <c r="T63" s="25"/>
      <c r="U63" s="25"/>
    </row>
    <row r="64">
      <c r="C64" s="47"/>
      <c r="P64" s="25"/>
      <c r="Q64" s="25"/>
      <c r="R64" s="25"/>
      <c r="S64" s="25"/>
      <c r="T64" s="25"/>
      <c r="U64" s="25"/>
    </row>
    <row r="65">
      <c r="C65" s="47"/>
      <c r="P65" s="25"/>
      <c r="Q65" s="25"/>
      <c r="R65" s="25"/>
      <c r="S65" s="25"/>
      <c r="T65" s="25"/>
      <c r="U65" s="25"/>
    </row>
    <row r="66">
      <c r="C66" s="47"/>
      <c r="P66" s="25"/>
      <c r="Q66" s="25"/>
      <c r="R66" s="25"/>
      <c r="S66" s="25"/>
      <c r="T66" s="25"/>
      <c r="U66" s="25"/>
    </row>
    <row r="67">
      <c r="C67" s="47"/>
      <c r="P67" s="25"/>
      <c r="Q67" s="25"/>
      <c r="R67" s="25"/>
      <c r="S67" s="25"/>
      <c r="T67" s="25"/>
      <c r="U67" s="25"/>
    </row>
    <row r="68">
      <c r="C68" s="47"/>
      <c r="P68" s="25"/>
      <c r="Q68" s="25"/>
      <c r="R68" s="25"/>
      <c r="S68" s="25"/>
      <c r="T68" s="25"/>
      <c r="U68" s="25"/>
    </row>
    <row r="69">
      <c r="C69" s="47"/>
      <c r="P69" s="25"/>
      <c r="Q69" s="25"/>
      <c r="R69" s="25"/>
      <c r="S69" s="25"/>
      <c r="T69" s="25"/>
      <c r="U69" s="25"/>
    </row>
    <row r="70">
      <c r="C70" s="47"/>
      <c r="P70" s="25"/>
      <c r="Q70" s="25"/>
      <c r="R70" s="25"/>
      <c r="S70" s="25"/>
      <c r="T70" s="25"/>
      <c r="U70" s="25"/>
    </row>
    <row r="71">
      <c r="C71" s="47"/>
      <c r="P71" s="25"/>
      <c r="Q71" s="25"/>
      <c r="R71" s="25"/>
      <c r="S71" s="25"/>
      <c r="T71" s="25"/>
      <c r="U71" s="25"/>
    </row>
    <row r="72">
      <c r="C72" s="47"/>
      <c r="P72" s="25"/>
      <c r="Q72" s="25"/>
      <c r="R72" s="25"/>
      <c r="S72" s="25"/>
      <c r="T72" s="25"/>
      <c r="U72" s="25"/>
    </row>
    <row r="73">
      <c r="C73" s="47"/>
      <c r="P73" s="25"/>
      <c r="Q73" s="25"/>
      <c r="R73" s="25"/>
      <c r="S73" s="25"/>
      <c r="T73" s="25"/>
      <c r="U73" s="25"/>
    </row>
    <row r="74">
      <c r="C74" s="47"/>
      <c r="P74" s="25"/>
      <c r="Q74" s="25"/>
      <c r="R74" s="25"/>
      <c r="S74" s="25"/>
      <c r="T74" s="25"/>
      <c r="U74" s="25"/>
    </row>
    <row r="75">
      <c r="C75" s="47"/>
      <c r="P75" s="25"/>
      <c r="Q75" s="25"/>
      <c r="R75" s="25"/>
      <c r="S75" s="25"/>
      <c r="T75" s="25"/>
      <c r="U75" s="25"/>
    </row>
    <row r="76">
      <c r="C76" s="47"/>
      <c r="P76" s="25"/>
      <c r="Q76" s="25"/>
      <c r="R76" s="25"/>
      <c r="S76" s="25"/>
      <c r="T76" s="25"/>
      <c r="U76" s="25"/>
    </row>
    <row r="77">
      <c r="C77" s="47"/>
      <c r="P77" s="25"/>
      <c r="Q77" s="25"/>
      <c r="R77" s="25"/>
      <c r="S77" s="25"/>
      <c r="T77" s="25"/>
      <c r="U77" s="25"/>
    </row>
    <row r="78">
      <c r="C78" s="47"/>
      <c r="P78" s="25"/>
      <c r="Q78" s="25"/>
      <c r="R78" s="25"/>
      <c r="S78" s="25"/>
      <c r="T78" s="25"/>
      <c r="U78" s="25"/>
    </row>
    <row r="79">
      <c r="C79" s="47"/>
      <c r="P79" s="25"/>
      <c r="Q79" s="25"/>
      <c r="R79" s="25"/>
      <c r="S79" s="25"/>
      <c r="T79" s="25"/>
      <c r="U79" s="25"/>
    </row>
    <row r="80">
      <c r="C80" s="47"/>
      <c r="P80" s="25"/>
      <c r="Q80" s="25"/>
      <c r="R80" s="25"/>
      <c r="S80" s="25"/>
      <c r="T80" s="25"/>
      <c r="U80" s="25"/>
    </row>
    <row r="81">
      <c r="C81" s="47"/>
      <c r="P81" s="25"/>
      <c r="Q81" s="25"/>
      <c r="R81" s="25"/>
      <c r="S81" s="25"/>
      <c r="T81" s="25"/>
      <c r="U81" s="25"/>
    </row>
    <row r="82">
      <c r="C82" s="47"/>
      <c r="P82" s="25"/>
      <c r="Q82" s="25"/>
      <c r="R82" s="25"/>
      <c r="S82" s="25"/>
      <c r="T82" s="25"/>
      <c r="U82" s="25"/>
    </row>
    <row r="83">
      <c r="C83" s="47"/>
      <c r="P83" s="25"/>
      <c r="Q83" s="25"/>
      <c r="R83" s="25"/>
      <c r="S83" s="25"/>
      <c r="T83" s="25"/>
      <c r="U83" s="25"/>
    </row>
    <row r="84">
      <c r="C84" s="47"/>
      <c r="P84" s="25"/>
      <c r="Q84" s="25"/>
      <c r="R84" s="25"/>
      <c r="S84" s="25"/>
      <c r="T84" s="25"/>
      <c r="U84" s="25"/>
    </row>
    <row r="85">
      <c r="C85" s="47"/>
      <c r="P85" s="25"/>
      <c r="Q85" s="25"/>
      <c r="R85" s="25"/>
      <c r="S85" s="25"/>
      <c r="T85" s="25"/>
      <c r="U85" s="25"/>
    </row>
    <row r="86">
      <c r="C86" s="47"/>
      <c r="P86" s="25"/>
      <c r="Q86" s="25"/>
      <c r="R86" s="25"/>
      <c r="S86" s="25"/>
      <c r="T86" s="25"/>
      <c r="U86" s="25"/>
    </row>
    <row r="87">
      <c r="C87" s="47"/>
      <c r="P87" s="25"/>
      <c r="Q87" s="25"/>
      <c r="R87" s="25"/>
      <c r="S87" s="25"/>
      <c r="T87" s="25"/>
      <c r="U87" s="25"/>
    </row>
    <row r="88">
      <c r="C88" s="47"/>
      <c r="P88" s="25"/>
      <c r="Q88" s="25"/>
      <c r="R88" s="25"/>
      <c r="S88" s="25"/>
      <c r="T88" s="25"/>
      <c r="U88" s="25"/>
    </row>
    <row r="89">
      <c r="C89" s="47"/>
      <c r="P89" s="25"/>
      <c r="Q89" s="25"/>
      <c r="R89" s="25"/>
      <c r="S89" s="25"/>
      <c r="T89" s="25"/>
      <c r="U89" s="25"/>
    </row>
    <row r="90">
      <c r="C90" s="47"/>
      <c r="P90" s="25"/>
      <c r="Q90" s="25"/>
      <c r="R90" s="25"/>
      <c r="S90" s="25"/>
      <c r="T90" s="25"/>
      <c r="U90" s="25"/>
    </row>
    <row r="91">
      <c r="C91" s="47"/>
      <c r="P91" s="25"/>
      <c r="Q91" s="25"/>
      <c r="R91" s="25"/>
      <c r="S91" s="25"/>
      <c r="T91" s="25"/>
      <c r="U91" s="25"/>
    </row>
    <row r="92">
      <c r="C92" s="47"/>
      <c r="P92" s="25"/>
      <c r="Q92" s="25"/>
      <c r="R92" s="25"/>
      <c r="S92" s="25"/>
      <c r="T92" s="25"/>
      <c r="U92" s="25"/>
    </row>
    <row r="93">
      <c r="C93" s="47"/>
      <c r="P93" s="25"/>
      <c r="Q93" s="25"/>
      <c r="R93" s="25"/>
      <c r="S93" s="25"/>
      <c r="T93" s="25"/>
      <c r="U93" s="25"/>
    </row>
    <row r="94">
      <c r="C94" s="47"/>
      <c r="P94" s="25"/>
      <c r="Q94" s="25"/>
      <c r="R94" s="25"/>
      <c r="S94" s="25"/>
      <c r="T94" s="25"/>
      <c r="U94" s="25"/>
    </row>
    <row r="95">
      <c r="C95" s="47"/>
      <c r="P95" s="25"/>
      <c r="Q95" s="25"/>
      <c r="R95" s="25"/>
      <c r="S95" s="25"/>
      <c r="T95" s="25"/>
      <c r="U95" s="25"/>
    </row>
    <row r="96">
      <c r="C96" s="47"/>
      <c r="P96" s="25"/>
      <c r="Q96" s="25"/>
      <c r="R96" s="25"/>
      <c r="S96" s="25"/>
      <c r="T96" s="25"/>
      <c r="U96" s="25"/>
    </row>
    <row r="97">
      <c r="C97" s="47"/>
      <c r="P97" s="25"/>
      <c r="Q97" s="25"/>
      <c r="R97" s="25"/>
      <c r="S97" s="25"/>
      <c r="T97" s="25"/>
      <c r="U97" s="25"/>
    </row>
    <row r="98">
      <c r="C98" s="47"/>
      <c r="P98" s="25"/>
      <c r="Q98" s="25"/>
      <c r="R98" s="25"/>
      <c r="S98" s="25"/>
      <c r="T98" s="25"/>
      <c r="U98" s="25"/>
    </row>
    <row r="99">
      <c r="C99" s="47"/>
      <c r="P99" s="25"/>
      <c r="Q99" s="25"/>
      <c r="R99" s="25"/>
      <c r="S99" s="25"/>
      <c r="T99" s="25"/>
      <c r="U99" s="25"/>
    </row>
    <row r="100">
      <c r="C100" s="47"/>
      <c r="P100" s="25"/>
      <c r="Q100" s="25"/>
      <c r="R100" s="25"/>
      <c r="S100" s="25"/>
      <c r="T100" s="25"/>
      <c r="U100" s="25"/>
    </row>
    <row r="101">
      <c r="C101" s="47"/>
      <c r="P101" s="25"/>
      <c r="Q101" s="25"/>
      <c r="R101" s="25"/>
      <c r="S101" s="25"/>
      <c r="T101" s="25"/>
      <c r="U101" s="25"/>
    </row>
    <row r="102">
      <c r="C102" s="47"/>
      <c r="P102" s="25"/>
      <c r="Q102" s="25"/>
      <c r="R102" s="25"/>
      <c r="S102" s="25"/>
      <c r="T102" s="25"/>
      <c r="U102" s="25"/>
    </row>
    <row r="103">
      <c r="C103" s="47"/>
      <c r="P103" s="25"/>
      <c r="Q103" s="25"/>
      <c r="R103" s="25"/>
      <c r="S103" s="25"/>
      <c r="T103" s="25"/>
      <c r="U103" s="25"/>
    </row>
    <row r="104">
      <c r="C104" s="47"/>
      <c r="P104" s="25"/>
      <c r="Q104" s="25"/>
      <c r="R104" s="25"/>
      <c r="S104" s="25"/>
      <c r="T104" s="25"/>
      <c r="U104" s="25"/>
    </row>
    <row r="105">
      <c r="C105" s="47"/>
      <c r="P105" s="25"/>
      <c r="Q105" s="25"/>
      <c r="R105" s="25"/>
      <c r="S105" s="25"/>
      <c r="T105" s="25"/>
      <c r="U105" s="25"/>
    </row>
    <row r="106">
      <c r="C106" s="47"/>
      <c r="P106" s="25"/>
      <c r="Q106" s="25"/>
      <c r="R106" s="25"/>
      <c r="S106" s="25"/>
      <c r="T106" s="25"/>
      <c r="U106" s="25"/>
    </row>
    <row r="107">
      <c r="C107" s="47"/>
      <c r="P107" s="25"/>
      <c r="Q107" s="25"/>
      <c r="R107" s="25"/>
      <c r="S107" s="25"/>
      <c r="T107" s="25"/>
      <c r="U107" s="25"/>
    </row>
    <row r="108">
      <c r="C108" s="47"/>
      <c r="P108" s="25"/>
      <c r="Q108" s="25"/>
      <c r="R108" s="25"/>
      <c r="S108" s="25"/>
      <c r="T108" s="25"/>
      <c r="U108" s="25"/>
    </row>
    <row r="109">
      <c r="C109" s="47"/>
      <c r="P109" s="25"/>
      <c r="Q109" s="25"/>
      <c r="R109" s="25"/>
      <c r="S109" s="25"/>
      <c r="T109" s="25"/>
      <c r="U109" s="25"/>
    </row>
    <row r="110">
      <c r="C110" s="47"/>
      <c r="P110" s="25"/>
      <c r="Q110" s="25"/>
      <c r="R110" s="25"/>
      <c r="S110" s="25"/>
      <c r="T110" s="25"/>
      <c r="U110" s="25"/>
    </row>
    <row r="111">
      <c r="C111" s="47"/>
      <c r="P111" s="25"/>
      <c r="Q111" s="25"/>
      <c r="R111" s="25"/>
      <c r="S111" s="25"/>
      <c r="T111" s="25"/>
      <c r="U111" s="25"/>
    </row>
    <row r="112">
      <c r="C112" s="47"/>
      <c r="P112" s="25"/>
      <c r="Q112" s="25"/>
      <c r="R112" s="25"/>
      <c r="S112" s="25"/>
      <c r="T112" s="25"/>
      <c r="U112" s="25"/>
    </row>
    <row r="113">
      <c r="C113" s="47"/>
      <c r="P113" s="25"/>
      <c r="Q113" s="25"/>
      <c r="R113" s="25"/>
      <c r="S113" s="25"/>
      <c r="T113" s="25"/>
      <c r="U113" s="25"/>
    </row>
    <row r="114">
      <c r="C114" s="47"/>
      <c r="P114" s="25"/>
      <c r="Q114" s="25"/>
      <c r="R114" s="25"/>
      <c r="S114" s="25"/>
      <c r="T114" s="25"/>
      <c r="U114" s="25"/>
    </row>
    <row r="115">
      <c r="C115" s="47"/>
      <c r="P115" s="25"/>
      <c r="Q115" s="25"/>
      <c r="R115" s="25"/>
      <c r="S115" s="25"/>
      <c r="T115" s="25"/>
      <c r="U115" s="25"/>
    </row>
    <row r="116">
      <c r="C116" s="47"/>
      <c r="P116" s="25"/>
      <c r="Q116" s="25"/>
      <c r="R116" s="25"/>
      <c r="S116" s="25"/>
      <c r="T116" s="25"/>
      <c r="U116" s="25"/>
    </row>
    <row r="117">
      <c r="C117" s="47"/>
      <c r="P117" s="25"/>
      <c r="Q117" s="25"/>
      <c r="R117" s="25"/>
      <c r="S117" s="25"/>
      <c r="T117" s="25"/>
      <c r="U117" s="25"/>
    </row>
    <row r="118">
      <c r="C118" s="47"/>
      <c r="P118" s="25"/>
      <c r="Q118" s="25"/>
      <c r="R118" s="25"/>
      <c r="S118" s="25"/>
      <c r="T118" s="25"/>
      <c r="U118" s="25"/>
    </row>
    <row r="119">
      <c r="C119" s="47"/>
      <c r="P119" s="25"/>
      <c r="Q119" s="25"/>
      <c r="R119" s="25"/>
      <c r="S119" s="25"/>
      <c r="T119" s="25"/>
      <c r="U119" s="25"/>
    </row>
    <row r="120">
      <c r="C120" s="47"/>
      <c r="P120" s="25"/>
      <c r="Q120" s="25"/>
      <c r="R120" s="25"/>
      <c r="S120" s="25"/>
      <c r="T120" s="25"/>
      <c r="U120" s="25"/>
    </row>
    <row r="121">
      <c r="C121" s="47"/>
      <c r="P121" s="25"/>
      <c r="Q121" s="25"/>
      <c r="R121" s="25"/>
      <c r="S121" s="25"/>
      <c r="T121" s="25"/>
      <c r="U121" s="25"/>
    </row>
    <row r="122">
      <c r="C122" s="47"/>
      <c r="P122" s="25"/>
      <c r="Q122" s="25"/>
      <c r="R122" s="25"/>
      <c r="S122" s="25"/>
      <c r="T122" s="25"/>
      <c r="U122" s="25"/>
    </row>
    <row r="123">
      <c r="C123" s="47"/>
      <c r="P123" s="25"/>
      <c r="Q123" s="25"/>
      <c r="R123" s="25"/>
      <c r="S123" s="25"/>
      <c r="T123" s="25"/>
      <c r="U123" s="25"/>
    </row>
    <row r="124">
      <c r="C124" s="47"/>
      <c r="P124" s="25"/>
      <c r="Q124" s="25"/>
      <c r="R124" s="25"/>
      <c r="S124" s="25"/>
      <c r="T124" s="25"/>
      <c r="U124" s="25"/>
    </row>
    <row r="125">
      <c r="C125" s="47"/>
      <c r="P125" s="25"/>
      <c r="Q125" s="25"/>
      <c r="R125" s="25"/>
      <c r="S125" s="25"/>
      <c r="T125" s="25"/>
      <c r="U125" s="25"/>
    </row>
    <row r="126">
      <c r="C126" s="47"/>
      <c r="P126" s="25"/>
      <c r="Q126" s="25"/>
      <c r="R126" s="25"/>
      <c r="S126" s="25"/>
      <c r="T126" s="25"/>
      <c r="U126" s="25"/>
    </row>
    <row r="127">
      <c r="C127" s="47"/>
      <c r="P127" s="25"/>
      <c r="Q127" s="25"/>
      <c r="R127" s="25"/>
      <c r="S127" s="25"/>
      <c r="T127" s="25"/>
      <c r="U127" s="25"/>
    </row>
    <row r="128">
      <c r="C128" s="47"/>
      <c r="P128" s="25"/>
      <c r="Q128" s="25"/>
      <c r="R128" s="25"/>
      <c r="S128" s="25"/>
      <c r="T128" s="25"/>
      <c r="U128" s="25"/>
    </row>
    <row r="129">
      <c r="C129" s="47"/>
      <c r="P129" s="25"/>
      <c r="Q129" s="25"/>
      <c r="R129" s="25"/>
      <c r="S129" s="25"/>
      <c r="T129" s="25"/>
      <c r="U129" s="25"/>
    </row>
    <row r="130">
      <c r="C130" s="47"/>
      <c r="P130" s="25"/>
      <c r="Q130" s="25"/>
      <c r="R130" s="25"/>
      <c r="S130" s="25"/>
      <c r="T130" s="25"/>
      <c r="U130" s="25"/>
    </row>
    <row r="131">
      <c r="C131" s="47"/>
      <c r="P131" s="25"/>
      <c r="Q131" s="25"/>
      <c r="R131" s="25"/>
      <c r="S131" s="25"/>
      <c r="T131" s="25"/>
      <c r="U131" s="25"/>
    </row>
    <row r="132">
      <c r="C132" s="47"/>
      <c r="P132" s="25"/>
      <c r="Q132" s="25"/>
      <c r="R132" s="25"/>
      <c r="S132" s="25"/>
      <c r="T132" s="25"/>
      <c r="U132" s="25"/>
    </row>
    <row r="133">
      <c r="C133" s="47"/>
      <c r="P133" s="25"/>
      <c r="Q133" s="25"/>
      <c r="R133" s="25"/>
      <c r="S133" s="25"/>
      <c r="T133" s="25"/>
      <c r="U133" s="25"/>
    </row>
    <row r="134">
      <c r="C134" s="47"/>
      <c r="P134" s="25"/>
      <c r="Q134" s="25"/>
      <c r="R134" s="25"/>
      <c r="S134" s="25"/>
      <c r="T134" s="25"/>
      <c r="U134" s="25"/>
    </row>
    <row r="135">
      <c r="C135" s="47"/>
      <c r="P135" s="25"/>
      <c r="Q135" s="25"/>
      <c r="R135" s="25"/>
      <c r="S135" s="25"/>
      <c r="T135" s="25"/>
      <c r="U135" s="25"/>
    </row>
    <row r="136">
      <c r="C136" s="47"/>
      <c r="P136" s="25"/>
      <c r="Q136" s="25"/>
      <c r="R136" s="25"/>
      <c r="S136" s="25"/>
      <c r="T136" s="25"/>
      <c r="U136" s="25"/>
    </row>
    <row r="137">
      <c r="C137" s="47"/>
      <c r="P137" s="25"/>
      <c r="Q137" s="25"/>
      <c r="R137" s="25"/>
      <c r="S137" s="25"/>
      <c r="T137" s="25"/>
      <c r="U137" s="25"/>
    </row>
    <row r="138">
      <c r="C138" s="47"/>
      <c r="P138" s="25"/>
      <c r="Q138" s="25"/>
      <c r="R138" s="25"/>
      <c r="S138" s="25"/>
      <c r="T138" s="25"/>
      <c r="U138" s="25"/>
    </row>
    <row r="139">
      <c r="C139" s="47"/>
      <c r="P139" s="25"/>
      <c r="Q139" s="25"/>
      <c r="R139" s="25"/>
      <c r="S139" s="25"/>
      <c r="T139" s="25"/>
      <c r="U139" s="25"/>
    </row>
    <row r="140">
      <c r="C140" s="47"/>
      <c r="P140" s="25"/>
      <c r="Q140" s="25"/>
      <c r="R140" s="25"/>
      <c r="S140" s="25"/>
      <c r="T140" s="25"/>
      <c r="U140" s="25"/>
    </row>
    <row r="141">
      <c r="C141" s="47"/>
      <c r="P141" s="25"/>
      <c r="Q141" s="25"/>
      <c r="R141" s="25"/>
      <c r="S141" s="25"/>
      <c r="T141" s="25"/>
      <c r="U141" s="25"/>
    </row>
    <row r="142">
      <c r="C142" s="47"/>
      <c r="P142" s="25"/>
      <c r="Q142" s="25"/>
      <c r="R142" s="25"/>
      <c r="S142" s="25"/>
      <c r="T142" s="25"/>
      <c r="U142" s="25"/>
    </row>
    <row r="143">
      <c r="C143" s="47"/>
      <c r="P143" s="25"/>
      <c r="Q143" s="25"/>
      <c r="R143" s="25"/>
      <c r="S143" s="25"/>
      <c r="T143" s="25"/>
      <c r="U143" s="25"/>
    </row>
    <row r="144">
      <c r="C144" s="47"/>
      <c r="P144" s="25"/>
      <c r="Q144" s="25"/>
      <c r="R144" s="25"/>
      <c r="S144" s="25"/>
      <c r="T144" s="25"/>
      <c r="U144" s="25"/>
    </row>
    <row r="145">
      <c r="C145" s="47"/>
      <c r="P145" s="25"/>
      <c r="Q145" s="25"/>
      <c r="R145" s="25"/>
      <c r="S145" s="25"/>
      <c r="T145" s="25"/>
      <c r="U145" s="25"/>
    </row>
    <row r="146">
      <c r="C146" s="47"/>
      <c r="P146" s="25"/>
      <c r="Q146" s="25"/>
      <c r="R146" s="25"/>
      <c r="S146" s="25"/>
      <c r="T146" s="25"/>
      <c r="U146" s="25"/>
    </row>
    <row r="147">
      <c r="C147" s="47"/>
      <c r="P147" s="25"/>
      <c r="Q147" s="25"/>
      <c r="R147" s="25"/>
      <c r="S147" s="25"/>
      <c r="T147" s="25"/>
      <c r="U147" s="25"/>
    </row>
    <row r="148">
      <c r="C148" s="47"/>
      <c r="P148" s="25"/>
      <c r="Q148" s="25"/>
      <c r="R148" s="25"/>
      <c r="S148" s="25"/>
      <c r="T148" s="25"/>
      <c r="U148" s="25"/>
    </row>
    <row r="149">
      <c r="C149" s="47"/>
      <c r="P149" s="25"/>
      <c r="Q149" s="25"/>
      <c r="R149" s="25"/>
      <c r="S149" s="25"/>
      <c r="T149" s="25"/>
      <c r="U149" s="25"/>
    </row>
    <row r="150">
      <c r="C150" s="47"/>
      <c r="P150" s="25"/>
      <c r="Q150" s="25"/>
      <c r="R150" s="25"/>
      <c r="S150" s="25"/>
      <c r="T150" s="25"/>
      <c r="U150" s="25"/>
    </row>
    <row r="151">
      <c r="C151" s="47"/>
      <c r="P151" s="25"/>
      <c r="Q151" s="25"/>
      <c r="R151" s="25"/>
      <c r="S151" s="25"/>
      <c r="T151" s="25"/>
      <c r="U151" s="25"/>
    </row>
    <row r="152">
      <c r="C152" s="47"/>
      <c r="P152" s="25"/>
      <c r="Q152" s="25"/>
      <c r="R152" s="25"/>
      <c r="S152" s="25"/>
      <c r="T152" s="25"/>
      <c r="U152" s="25"/>
    </row>
    <row r="153">
      <c r="C153" s="47"/>
      <c r="P153" s="25"/>
      <c r="Q153" s="25"/>
      <c r="R153" s="25"/>
      <c r="S153" s="25"/>
      <c r="T153" s="25"/>
      <c r="U153" s="25"/>
    </row>
    <row r="154">
      <c r="C154" s="47"/>
      <c r="P154" s="25"/>
      <c r="Q154" s="25"/>
      <c r="R154" s="25"/>
      <c r="S154" s="25"/>
      <c r="T154" s="25"/>
      <c r="U154" s="25"/>
    </row>
    <row r="155">
      <c r="C155" s="47"/>
      <c r="P155" s="25"/>
      <c r="Q155" s="25"/>
      <c r="R155" s="25"/>
      <c r="S155" s="25"/>
      <c r="T155" s="25"/>
      <c r="U155" s="25"/>
    </row>
    <row r="156">
      <c r="C156" s="47"/>
      <c r="P156" s="25"/>
      <c r="Q156" s="25"/>
      <c r="R156" s="25"/>
      <c r="S156" s="25"/>
      <c r="T156" s="25"/>
      <c r="U156" s="25"/>
    </row>
    <row r="157">
      <c r="C157" s="47"/>
      <c r="P157" s="25"/>
      <c r="Q157" s="25"/>
      <c r="R157" s="25"/>
      <c r="S157" s="25"/>
      <c r="T157" s="25"/>
      <c r="U157" s="25"/>
    </row>
    <row r="158">
      <c r="C158" s="47"/>
      <c r="P158" s="25"/>
      <c r="Q158" s="25"/>
      <c r="R158" s="25"/>
      <c r="S158" s="25"/>
      <c r="T158" s="25"/>
      <c r="U158" s="25"/>
    </row>
    <row r="159">
      <c r="C159" s="47"/>
      <c r="P159" s="25"/>
      <c r="Q159" s="25"/>
      <c r="R159" s="25"/>
      <c r="S159" s="25"/>
      <c r="T159" s="25"/>
      <c r="U159" s="25"/>
    </row>
    <row r="160">
      <c r="C160" s="47"/>
      <c r="P160" s="25"/>
      <c r="Q160" s="25"/>
      <c r="R160" s="25"/>
      <c r="S160" s="25"/>
      <c r="T160" s="25"/>
      <c r="U160" s="25"/>
    </row>
    <row r="161">
      <c r="C161" s="47"/>
      <c r="P161" s="25"/>
      <c r="Q161" s="25"/>
      <c r="R161" s="25"/>
      <c r="S161" s="25"/>
      <c r="T161" s="25"/>
      <c r="U161" s="25"/>
    </row>
    <row r="162">
      <c r="C162" s="47"/>
      <c r="P162" s="25"/>
      <c r="Q162" s="25"/>
      <c r="R162" s="25"/>
      <c r="S162" s="25"/>
      <c r="T162" s="25"/>
      <c r="U162" s="25"/>
    </row>
    <row r="163">
      <c r="C163" s="47"/>
      <c r="P163" s="25"/>
      <c r="Q163" s="25"/>
      <c r="R163" s="25"/>
      <c r="S163" s="25"/>
      <c r="T163" s="25"/>
      <c r="U163" s="25"/>
    </row>
    <row r="164">
      <c r="C164" s="47"/>
      <c r="P164" s="25"/>
      <c r="Q164" s="25"/>
      <c r="R164" s="25"/>
      <c r="S164" s="25"/>
      <c r="T164" s="25"/>
      <c r="U164" s="25"/>
    </row>
    <row r="165">
      <c r="C165" s="47"/>
      <c r="P165" s="25"/>
      <c r="Q165" s="25"/>
      <c r="R165" s="25"/>
      <c r="S165" s="25"/>
      <c r="T165" s="25"/>
      <c r="U165" s="25"/>
    </row>
    <row r="166">
      <c r="C166" s="47"/>
      <c r="P166" s="25"/>
      <c r="Q166" s="25"/>
      <c r="R166" s="25"/>
      <c r="S166" s="25"/>
      <c r="T166" s="25"/>
      <c r="U166" s="25"/>
    </row>
    <row r="167">
      <c r="C167" s="47"/>
      <c r="P167" s="25"/>
      <c r="Q167" s="25"/>
      <c r="R167" s="25"/>
      <c r="S167" s="25"/>
      <c r="T167" s="25"/>
      <c r="U167" s="25"/>
    </row>
    <row r="168">
      <c r="C168" s="47"/>
      <c r="P168" s="25"/>
      <c r="Q168" s="25"/>
      <c r="R168" s="25"/>
      <c r="S168" s="25"/>
      <c r="T168" s="25"/>
      <c r="U168" s="25"/>
    </row>
    <row r="169">
      <c r="C169" s="47"/>
      <c r="P169" s="25"/>
      <c r="Q169" s="25"/>
      <c r="R169" s="25"/>
      <c r="S169" s="25"/>
      <c r="T169" s="25"/>
      <c r="U169" s="25"/>
    </row>
    <row r="170">
      <c r="C170" s="47"/>
      <c r="P170" s="25"/>
      <c r="Q170" s="25"/>
      <c r="R170" s="25"/>
      <c r="S170" s="25"/>
      <c r="T170" s="25"/>
      <c r="U170" s="25"/>
    </row>
    <row r="171">
      <c r="C171" s="47"/>
      <c r="P171" s="25"/>
      <c r="Q171" s="25"/>
      <c r="R171" s="25"/>
      <c r="S171" s="25"/>
      <c r="T171" s="25"/>
      <c r="U171" s="25"/>
    </row>
    <row r="172">
      <c r="C172" s="47"/>
      <c r="P172" s="25"/>
      <c r="Q172" s="25"/>
      <c r="R172" s="25"/>
      <c r="S172" s="25"/>
      <c r="T172" s="25"/>
      <c r="U172" s="25"/>
    </row>
    <row r="173">
      <c r="C173" s="47"/>
      <c r="P173" s="25"/>
      <c r="Q173" s="25"/>
      <c r="R173" s="25"/>
      <c r="S173" s="25"/>
      <c r="T173" s="25"/>
      <c r="U173" s="25"/>
    </row>
    <row r="174">
      <c r="C174" s="47"/>
      <c r="P174" s="25"/>
      <c r="Q174" s="25"/>
      <c r="R174" s="25"/>
      <c r="S174" s="25"/>
      <c r="T174" s="25"/>
      <c r="U174" s="25"/>
    </row>
    <row r="175">
      <c r="C175" s="47"/>
      <c r="P175" s="25"/>
      <c r="Q175" s="25"/>
      <c r="R175" s="25"/>
      <c r="S175" s="25"/>
      <c r="T175" s="25"/>
      <c r="U175" s="25"/>
    </row>
    <row r="176">
      <c r="C176" s="47"/>
      <c r="P176" s="25"/>
      <c r="Q176" s="25"/>
      <c r="R176" s="25"/>
      <c r="S176" s="25"/>
      <c r="T176" s="25"/>
      <c r="U176" s="25"/>
    </row>
    <row r="177">
      <c r="C177" s="47"/>
      <c r="P177" s="25"/>
      <c r="Q177" s="25"/>
      <c r="R177" s="25"/>
      <c r="S177" s="25"/>
      <c r="T177" s="25"/>
      <c r="U177" s="25"/>
    </row>
    <row r="178">
      <c r="C178" s="47"/>
      <c r="P178" s="25"/>
      <c r="Q178" s="25"/>
      <c r="R178" s="25"/>
      <c r="S178" s="25"/>
      <c r="T178" s="25"/>
      <c r="U178" s="25"/>
    </row>
    <row r="179">
      <c r="C179" s="47"/>
      <c r="P179" s="25"/>
      <c r="Q179" s="25"/>
      <c r="R179" s="25"/>
      <c r="S179" s="25"/>
      <c r="T179" s="25"/>
      <c r="U179" s="25"/>
    </row>
    <row r="180">
      <c r="C180" s="47"/>
      <c r="P180" s="25"/>
      <c r="Q180" s="25"/>
      <c r="R180" s="25"/>
      <c r="S180" s="25"/>
      <c r="T180" s="25"/>
      <c r="U180" s="25"/>
    </row>
    <row r="181">
      <c r="C181" s="47"/>
      <c r="P181" s="25"/>
      <c r="Q181" s="25"/>
      <c r="R181" s="25"/>
      <c r="S181" s="25"/>
      <c r="T181" s="25"/>
      <c r="U181" s="25"/>
    </row>
    <row r="182">
      <c r="C182" s="47"/>
      <c r="P182" s="25"/>
      <c r="Q182" s="25"/>
      <c r="R182" s="25"/>
      <c r="S182" s="25"/>
      <c r="T182" s="25"/>
      <c r="U182" s="25"/>
    </row>
    <row r="183">
      <c r="C183" s="47"/>
      <c r="P183" s="25"/>
      <c r="Q183" s="25"/>
      <c r="R183" s="25"/>
      <c r="S183" s="25"/>
      <c r="T183" s="25"/>
      <c r="U183" s="25"/>
    </row>
    <row r="184">
      <c r="C184" s="47"/>
      <c r="P184" s="25"/>
      <c r="Q184" s="25"/>
      <c r="R184" s="25"/>
      <c r="S184" s="25"/>
      <c r="T184" s="25"/>
      <c r="U184" s="25"/>
    </row>
    <row r="185">
      <c r="C185" s="47"/>
      <c r="P185" s="25"/>
      <c r="Q185" s="25"/>
      <c r="R185" s="25"/>
      <c r="S185" s="25"/>
      <c r="T185" s="25"/>
      <c r="U185" s="25"/>
    </row>
    <row r="186">
      <c r="C186" s="47"/>
      <c r="P186" s="25"/>
      <c r="Q186" s="25"/>
      <c r="R186" s="25"/>
      <c r="S186" s="25"/>
      <c r="T186" s="25"/>
      <c r="U186" s="25"/>
    </row>
    <row r="187">
      <c r="C187" s="47"/>
      <c r="P187" s="25"/>
      <c r="Q187" s="25"/>
      <c r="R187" s="25"/>
      <c r="S187" s="25"/>
      <c r="T187" s="25"/>
      <c r="U187" s="25"/>
    </row>
    <row r="188">
      <c r="C188" s="47"/>
      <c r="P188" s="25"/>
      <c r="Q188" s="25"/>
      <c r="R188" s="25"/>
      <c r="S188" s="25"/>
      <c r="T188" s="25"/>
      <c r="U188" s="25"/>
    </row>
    <row r="189">
      <c r="C189" s="47"/>
      <c r="P189" s="25"/>
      <c r="Q189" s="25"/>
      <c r="R189" s="25"/>
      <c r="S189" s="25"/>
      <c r="T189" s="25"/>
      <c r="U189" s="25"/>
    </row>
    <row r="190">
      <c r="C190" s="47"/>
      <c r="P190" s="25"/>
      <c r="Q190" s="25"/>
      <c r="R190" s="25"/>
      <c r="S190" s="25"/>
      <c r="T190" s="25"/>
      <c r="U190" s="25"/>
    </row>
    <row r="191">
      <c r="C191" s="47"/>
      <c r="P191" s="25"/>
      <c r="Q191" s="25"/>
      <c r="R191" s="25"/>
      <c r="S191" s="25"/>
      <c r="T191" s="25"/>
      <c r="U191" s="25"/>
    </row>
    <row r="192">
      <c r="C192" s="47"/>
      <c r="P192" s="25"/>
      <c r="Q192" s="25"/>
      <c r="R192" s="25"/>
      <c r="S192" s="25"/>
      <c r="T192" s="25"/>
      <c r="U192" s="25"/>
    </row>
    <row r="193">
      <c r="C193" s="47"/>
      <c r="P193" s="25"/>
      <c r="Q193" s="25"/>
      <c r="R193" s="25"/>
      <c r="S193" s="25"/>
      <c r="T193" s="25"/>
      <c r="U193" s="25"/>
    </row>
    <row r="194">
      <c r="C194" s="47"/>
      <c r="P194" s="25"/>
      <c r="Q194" s="25"/>
      <c r="R194" s="25"/>
      <c r="S194" s="25"/>
      <c r="T194" s="25"/>
      <c r="U194" s="25"/>
    </row>
    <row r="195">
      <c r="C195" s="47"/>
      <c r="P195" s="25"/>
      <c r="Q195" s="25"/>
      <c r="R195" s="25"/>
      <c r="S195" s="25"/>
      <c r="T195" s="25"/>
      <c r="U195" s="25"/>
    </row>
    <row r="196">
      <c r="C196" s="47"/>
      <c r="P196" s="25"/>
      <c r="Q196" s="25"/>
      <c r="R196" s="25"/>
      <c r="S196" s="25"/>
      <c r="T196" s="25"/>
      <c r="U196" s="25"/>
    </row>
    <row r="197">
      <c r="C197" s="47"/>
      <c r="P197" s="25"/>
      <c r="Q197" s="25"/>
      <c r="R197" s="25"/>
      <c r="S197" s="25"/>
      <c r="T197" s="25"/>
      <c r="U197" s="25"/>
    </row>
    <row r="198">
      <c r="C198" s="47"/>
      <c r="P198" s="25"/>
      <c r="Q198" s="25"/>
      <c r="R198" s="25"/>
      <c r="S198" s="25"/>
      <c r="T198" s="25"/>
      <c r="U198" s="25"/>
    </row>
    <row r="199">
      <c r="C199" s="47"/>
      <c r="P199" s="25"/>
      <c r="Q199" s="25"/>
      <c r="R199" s="25"/>
      <c r="S199" s="25"/>
      <c r="T199" s="25"/>
      <c r="U199" s="25"/>
    </row>
    <row r="200">
      <c r="C200" s="47"/>
      <c r="P200" s="25"/>
      <c r="Q200" s="25"/>
      <c r="R200" s="25"/>
      <c r="S200" s="25"/>
      <c r="T200" s="25"/>
      <c r="U200" s="25"/>
    </row>
    <row r="201">
      <c r="C201" s="47"/>
      <c r="P201" s="25"/>
      <c r="Q201" s="25"/>
      <c r="R201" s="25"/>
      <c r="S201" s="25"/>
      <c r="T201" s="25"/>
      <c r="U201" s="25"/>
    </row>
    <row r="202">
      <c r="C202" s="47"/>
      <c r="P202" s="25"/>
      <c r="Q202" s="25"/>
      <c r="R202" s="25"/>
      <c r="S202" s="25"/>
      <c r="T202" s="25"/>
      <c r="U202" s="25"/>
    </row>
    <row r="203">
      <c r="C203" s="47"/>
      <c r="P203" s="25"/>
      <c r="Q203" s="25"/>
      <c r="R203" s="25"/>
      <c r="S203" s="25"/>
      <c r="T203" s="25"/>
      <c r="U203" s="25"/>
    </row>
    <row r="204">
      <c r="C204" s="47"/>
      <c r="P204" s="25"/>
      <c r="Q204" s="25"/>
      <c r="R204" s="25"/>
      <c r="S204" s="25"/>
      <c r="T204" s="25"/>
      <c r="U204" s="25"/>
    </row>
    <row r="205">
      <c r="C205" s="47"/>
      <c r="P205" s="25"/>
      <c r="Q205" s="25"/>
      <c r="R205" s="25"/>
      <c r="S205" s="25"/>
      <c r="T205" s="25"/>
      <c r="U205" s="25"/>
    </row>
    <row r="206">
      <c r="C206" s="47"/>
      <c r="P206" s="25"/>
      <c r="Q206" s="25"/>
      <c r="R206" s="25"/>
      <c r="S206" s="25"/>
      <c r="T206" s="25"/>
      <c r="U206" s="25"/>
    </row>
    <row r="207">
      <c r="C207" s="47"/>
      <c r="P207" s="25"/>
      <c r="Q207" s="25"/>
      <c r="R207" s="25"/>
      <c r="S207" s="25"/>
      <c r="T207" s="25"/>
      <c r="U207" s="25"/>
    </row>
    <row r="208">
      <c r="C208" s="47"/>
      <c r="P208" s="25"/>
      <c r="Q208" s="25"/>
      <c r="R208" s="25"/>
      <c r="S208" s="25"/>
      <c r="T208" s="25"/>
      <c r="U208" s="25"/>
    </row>
    <row r="209">
      <c r="C209" s="47"/>
      <c r="P209" s="25"/>
      <c r="Q209" s="25"/>
      <c r="R209" s="25"/>
      <c r="S209" s="25"/>
      <c r="T209" s="25"/>
      <c r="U209" s="25"/>
    </row>
    <row r="210">
      <c r="C210" s="47"/>
      <c r="P210" s="25"/>
      <c r="Q210" s="25"/>
      <c r="R210" s="25"/>
      <c r="S210" s="25"/>
      <c r="T210" s="25"/>
      <c r="U210" s="25"/>
    </row>
    <row r="211">
      <c r="C211" s="47"/>
      <c r="P211" s="25"/>
      <c r="Q211" s="25"/>
      <c r="R211" s="25"/>
      <c r="S211" s="25"/>
      <c r="T211" s="25"/>
      <c r="U211" s="25"/>
    </row>
    <row r="212">
      <c r="C212" s="47"/>
      <c r="P212" s="25"/>
      <c r="Q212" s="25"/>
      <c r="R212" s="25"/>
      <c r="S212" s="25"/>
      <c r="T212" s="25"/>
      <c r="U212" s="25"/>
    </row>
    <row r="213">
      <c r="C213" s="47"/>
      <c r="P213" s="25"/>
      <c r="Q213" s="25"/>
      <c r="R213" s="25"/>
      <c r="S213" s="25"/>
      <c r="T213" s="25"/>
      <c r="U213" s="25"/>
    </row>
    <row r="214">
      <c r="C214" s="47"/>
      <c r="P214" s="25"/>
      <c r="Q214" s="25"/>
      <c r="R214" s="25"/>
      <c r="S214" s="25"/>
      <c r="T214" s="25"/>
      <c r="U214" s="25"/>
    </row>
    <row r="215">
      <c r="C215" s="47"/>
      <c r="P215" s="25"/>
      <c r="Q215" s="25"/>
      <c r="R215" s="25"/>
      <c r="S215" s="25"/>
      <c r="T215" s="25"/>
      <c r="U215" s="25"/>
    </row>
    <row r="216">
      <c r="C216" s="47"/>
      <c r="P216" s="25"/>
      <c r="Q216" s="25"/>
      <c r="R216" s="25"/>
      <c r="S216" s="25"/>
      <c r="T216" s="25"/>
      <c r="U216" s="25"/>
    </row>
    <row r="217">
      <c r="C217" s="47"/>
      <c r="P217" s="25"/>
      <c r="Q217" s="25"/>
      <c r="R217" s="25"/>
      <c r="S217" s="25"/>
      <c r="T217" s="25"/>
      <c r="U217" s="25"/>
    </row>
    <row r="218">
      <c r="C218" s="47"/>
      <c r="P218" s="25"/>
      <c r="Q218" s="25"/>
      <c r="R218" s="25"/>
      <c r="S218" s="25"/>
      <c r="T218" s="25"/>
      <c r="U218" s="25"/>
    </row>
    <row r="219">
      <c r="C219" s="47"/>
      <c r="P219" s="25"/>
      <c r="Q219" s="25"/>
      <c r="R219" s="25"/>
      <c r="S219" s="25"/>
      <c r="T219" s="25"/>
      <c r="U219" s="25"/>
    </row>
    <row r="220">
      <c r="C220" s="47"/>
      <c r="P220" s="25"/>
      <c r="Q220" s="25"/>
      <c r="R220" s="25"/>
      <c r="S220" s="25"/>
      <c r="T220" s="25"/>
      <c r="U220" s="25"/>
    </row>
    <row r="221">
      <c r="C221" s="47"/>
      <c r="P221" s="25"/>
      <c r="Q221" s="25"/>
      <c r="R221" s="25"/>
      <c r="S221" s="25"/>
      <c r="T221" s="25"/>
      <c r="U221" s="25"/>
    </row>
    <row r="222">
      <c r="C222" s="47"/>
      <c r="P222" s="25"/>
      <c r="Q222" s="25"/>
      <c r="R222" s="25"/>
      <c r="S222" s="25"/>
      <c r="T222" s="25"/>
      <c r="U222" s="25"/>
    </row>
    <row r="223">
      <c r="C223" s="47"/>
      <c r="P223" s="25"/>
      <c r="Q223" s="25"/>
      <c r="R223" s="25"/>
      <c r="S223" s="25"/>
      <c r="T223" s="25"/>
      <c r="U223" s="25"/>
    </row>
    <row r="224">
      <c r="C224" s="47"/>
      <c r="P224" s="25"/>
      <c r="Q224" s="25"/>
      <c r="R224" s="25"/>
      <c r="S224" s="25"/>
      <c r="T224" s="25"/>
      <c r="U224" s="25"/>
    </row>
    <row r="225">
      <c r="C225" s="47"/>
      <c r="P225" s="25"/>
      <c r="Q225" s="25"/>
      <c r="R225" s="25"/>
      <c r="S225" s="25"/>
      <c r="T225" s="25"/>
      <c r="U225" s="25"/>
    </row>
    <row r="226">
      <c r="C226" s="47"/>
      <c r="P226" s="25"/>
      <c r="Q226" s="25"/>
      <c r="R226" s="25"/>
      <c r="S226" s="25"/>
      <c r="T226" s="25"/>
      <c r="U226" s="25"/>
    </row>
    <row r="227">
      <c r="C227" s="47"/>
      <c r="P227" s="25"/>
      <c r="Q227" s="25"/>
      <c r="R227" s="25"/>
      <c r="S227" s="25"/>
      <c r="T227" s="25"/>
      <c r="U227" s="25"/>
    </row>
    <row r="228">
      <c r="C228" s="47"/>
      <c r="P228" s="25"/>
      <c r="Q228" s="25"/>
      <c r="R228" s="25"/>
      <c r="S228" s="25"/>
      <c r="T228" s="25"/>
      <c r="U228" s="25"/>
    </row>
    <row r="229">
      <c r="C229" s="47"/>
      <c r="P229" s="25"/>
      <c r="Q229" s="25"/>
      <c r="R229" s="25"/>
      <c r="S229" s="25"/>
      <c r="T229" s="25"/>
      <c r="U229" s="25"/>
    </row>
    <row r="230">
      <c r="C230" s="47"/>
      <c r="P230" s="25"/>
      <c r="Q230" s="25"/>
      <c r="R230" s="25"/>
      <c r="S230" s="25"/>
      <c r="T230" s="25"/>
      <c r="U230" s="25"/>
    </row>
    <row r="231">
      <c r="C231" s="47"/>
      <c r="P231" s="25"/>
      <c r="Q231" s="25"/>
      <c r="R231" s="25"/>
      <c r="S231" s="25"/>
      <c r="T231" s="25"/>
      <c r="U231" s="25"/>
    </row>
    <row r="232">
      <c r="C232" s="47"/>
      <c r="P232" s="25"/>
      <c r="Q232" s="25"/>
      <c r="R232" s="25"/>
      <c r="S232" s="25"/>
      <c r="T232" s="25"/>
      <c r="U232" s="25"/>
    </row>
    <row r="233">
      <c r="C233" s="47"/>
      <c r="P233" s="25"/>
      <c r="Q233" s="25"/>
      <c r="R233" s="25"/>
      <c r="S233" s="25"/>
      <c r="T233" s="25"/>
      <c r="U233" s="25"/>
    </row>
    <row r="234">
      <c r="C234" s="47"/>
      <c r="P234" s="25"/>
      <c r="Q234" s="25"/>
      <c r="R234" s="25"/>
      <c r="S234" s="25"/>
      <c r="T234" s="25"/>
      <c r="U234" s="25"/>
    </row>
    <row r="235">
      <c r="C235" s="47"/>
      <c r="P235" s="25"/>
      <c r="Q235" s="25"/>
      <c r="R235" s="25"/>
      <c r="S235" s="25"/>
      <c r="T235" s="25"/>
      <c r="U235" s="25"/>
    </row>
    <row r="236">
      <c r="C236" s="47"/>
      <c r="P236" s="25"/>
      <c r="Q236" s="25"/>
      <c r="R236" s="25"/>
      <c r="S236" s="25"/>
      <c r="T236" s="25"/>
      <c r="U236" s="25"/>
    </row>
    <row r="237">
      <c r="C237" s="47"/>
      <c r="P237" s="25"/>
      <c r="Q237" s="25"/>
      <c r="R237" s="25"/>
      <c r="S237" s="25"/>
      <c r="T237" s="25"/>
      <c r="U237" s="25"/>
    </row>
    <row r="238">
      <c r="C238" s="47"/>
      <c r="P238" s="25"/>
      <c r="Q238" s="25"/>
      <c r="R238" s="25"/>
      <c r="S238" s="25"/>
      <c r="T238" s="25"/>
      <c r="U238" s="25"/>
    </row>
    <row r="239">
      <c r="C239" s="47"/>
      <c r="P239" s="25"/>
      <c r="Q239" s="25"/>
      <c r="R239" s="25"/>
      <c r="S239" s="25"/>
      <c r="T239" s="25"/>
      <c r="U239" s="25"/>
    </row>
    <row r="240">
      <c r="C240" s="47"/>
      <c r="P240" s="25"/>
      <c r="Q240" s="25"/>
      <c r="R240" s="25"/>
      <c r="S240" s="25"/>
      <c r="T240" s="25"/>
      <c r="U240" s="25"/>
    </row>
    <row r="241">
      <c r="C241" s="47"/>
      <c r="P241" s="25"/>
      <c r="Q241" s="25"/>
      <c r="R241" s="25"/>
      <c r="S241" s="25"/>
      <c r="T241" s="25"/>
      <c r="U241" s="25"/>
    </row>
    <row r="242">
      <c r="C242" s="47"/>
      <c r="P242" s="25"/>
      <c r="Q242" s="25"/>
      <c r="R242" s="25"/>
      <c r="S242" s="25"/>
      <c r="T242" s="25"/>
      <c r="U242" s="25"/>
    </row>
    <row r="243">
      <c r="C243" s="47"/>
      <c r="P243" s="25"/>
      <c r="Q243" s="25"/>
      <c r="R243" s="25"/>
      <c r="S243" s="25"/>
      <c r="T243" s="25"/>
      <c r="U243" s="25"/>
    </row>
    <row r="244">
      <c r="C244" s="47"/>
      <c r="P244" s="25"/>
      <c r="Q244" s="25"/>
      <c r="R244" s="25"/>
      <c r="S244" s="25"/>
      <c r="T244" s="25"/>
      <c r="U244" s="25"/>
    </row>
    <row r="245">
      <c r="C245" s="47"/>
      <c r="P245" s="25"/>
      <c r="Q245" s="25"/>
      <c r="R245" s="25"/>
      <c r="S245" s="25"/>
      <c r="T245" s="25"/>
      <c r="U245" s="25"/>
    </row>
    <row r="246">
      <c r="C246" s="47"/>
      <c r="P246" s="25"/>
      <c r="Q246" s="25"/>
      <c r="R246" s="25"/>
      <c r="S246" s="25"/>
      <c r="T246" s="25"/>
      <c r="U246" s="25"/>
    </row>
    <row r="247">
      <c r="C247" s="47"/>
      <c r="P247" s="25"/>
      <c r="Q247" s="25"/>
      <c r="R247" s="25"/>
      <c r="S247" s="25"/>
      <c r="T247" s="25"/>
      <c r="U247" s="25"/>
    </row>
    <row r="248">
      <c r="C248" s="47"/>
      <c r="P248" s="25"/>
      <c r="Q248" s="25"/>
      <c r="R248" s="25"/>
      <c r="S248" s="25"/>
      <c r="T248" s="25"/>
      <c r="U248" s="25"/>
    </row>
    <row r="249">
      <c r="C249" s="47"/>
      <c r="P249" s="25"/>
      <c r="Q249" s="25"/>
      <c r="R249" s="25"/>
      <c r="S249" s="25"/>
      <c r="T249" s="25"/>
      <c r="U249" s="25"/>
    </row>
    <row r="250">
      <c r="C250" s="47"/>
      <c r="P250" s="25"/>
      <c r="Q250" s="25"/>
      <c r="R250" s="25"/>
      <c r="S250" s="25"/>
      <c r="T250" s="25"/>
      <c r="U250" s="25"/>
    </row>
    <row r="251">
      <c r="C251" s="47"/>
      <c r="P251" s="25"/>
      <c r="Q251" s="25"/>
      <c r="R251" s="25"/>
      <c r="S251" s="25"/>
      <c r="T251" s="25"/>
      <c r="U251" s="25"/>
    </row>
    <row r="252">
      <c r="C252" s="47"/>
      <c r="P252" s="25"/>
      <c r="Q252" s="25"/>
      <c r="R252" s="25"/>
      <c r="S252" s="25"/>
      <c r="T252" s="25"/>
      <c r="U252" s="25"/>
    </row>
    <row r="253">
      <c r="C253" s="47"/>
      <c r="P253" s="25"/>
      <c r="Q253" s="25"/>
      <c r="R253" s="25"/>
      <c r="S253" s="25"/>
      <c r="T253" s="25"/>
      <c r="U253" s="25"/>
    </row>
    <row r="254">
      <c r="C254" s="47"/>
      <c r="P254" s="25"/>
      <c r="Q254" s="25"/>
      <c r="R254" s="25"/>
      <c r="S254" s="25"/>
      <c r="T254" s="25"/>
      <c r="U254" s="25"/>
    </row>
    <row r="255">
      <c r="C255" s="47"/>
      <c r="P255" s="25"/>
      <c r="Q255" s="25"/>
      <c r="R255" s="25"/>
      <c r="S255" s="25"/>
      <c r="T255" s="25"/>
      <c r="U255" s="25"/>
    </row>
    <row r="256">
      <c r="C256" s="47"/>
      <c r="P256" s="25"/>
      <c r="Q256" s="25"/>
      <c r="R256" s="25"/>
      <c r="S256" s="25"/>
      <c r="T256" s="25"/>
      <c r="U256" s="25"/>
    </row>
    <row r="257">
      <c r="C257" s="47"/>
      <c r="P257" s="25"/>
      <c r="Q257" s="25"/>
      <c r="R257" s="25"/>
      <c r="S257" s="25"/>
      <c r="T257" s="25"/>
      <c r="U257" s="25"/>
    </row>
    <row r="258">
      <c r="C258" s="47"/>
      <c r="P258" s="25"/>
      <c r="Q258" s="25"/>
      <c r="R258" s="25"/>
      <c r="S258" s="25"/>
      <c r="T258" s="25"/>
      <c r="U258" s="25"/>
    </row>
    <row r="259">
      <c r="C259" s="47"/>
      <c r="P259" s="25"/>
      <c r="Q259" s="25"/>
      <c r="R259" s="25"/>
      <c r="S259" s="25"/>
      <c r="T259" s="25"/>
      <c r="U259" s="25"/>
    </row>
    <row r="260">
      <c r="C260" s="47"/>
      <c r="P260" s="25"/>
      <c r="Q260" s="25"/>
      <c r="R260" s="25"/>
      <c r="S260" s="25"/>
      <c r="T260" s="25"/>
      <c r="U260" s="25"/>
    </row>
    <row r="261">
      <c r="C261" s="47"/>
      <c r="P261" s="25"/>
      <c r="Q261" s="25"/>
      <c r="R261" s="25"/>
      <c r="S261" s="25"/>
      <c r="T261" s="25"/>
      <c r="U261" s="25"/>
    </row>
    <row r="262">
      <c r="C262" s="47"/>
      <c r="P262" s="25"/>
      <c r="Q262" s="25"/>
      <c r="R262" s="25"/>
      <c r="S262" s="25"/>
      <c r="T262" s="25"/>
      <c r="U262" s="25"/>
    </row>
    <row r="263">
      <c r="C263" s="47"/>
      <c r="P263" s="25"/>
      <c r="Q263" s="25"/>
      <c r="R263" s="25"/>
      <c r="S263" s="25"/>
      <c r="T263" s="25"/>
      <c r="U263" s="25"/>
    </row>
    <row r="264">
      <c r="C264" s="47"/>
      <c r="P264" s="25"/>
      <c r="Q264" s="25"/>
      <c r="R264" s="25"/>
      <c r="S264" s="25"/>
      <c r="T264" s="25"/>
      <c r="U264" s="25"/>
    </row>
    <row r="265">
      <c r="C265" s="47"/>
      <c r="P265" s="25"/>
      <c r="Q265" s="25"/>
      <c r="R265" s="25"/>
      <c r="S265" s="25"/>
      <c r="T265" s="25"/>
      <c r="U265" s="25"/>
    </row>
    <row r="266">
      <c r="C266" s="47"/>
      <c r="P266" s="25"/>
      <c r="Q266" s="25"/>
      <c r="R266" s="25"/>
      <c r="S266" s="25"/>
      <c r="T266" s="25"/>
      <c r="U266" s="25"/>
    </row>
    <row r="267">
      <c r="C267" s="47"/>
      <c r="P267" s="25"/>
      <c r="Q267" s="25"/>
      <c r="R267" s="25"/>
      <c r="S267" s="25"/>
      <c r="T267" s="25"/>
      <c r="U267" s="25"/>
    </row>
    <row r="268">
      <c r="C268" s="47"/>
      <c r="P268" s="25"/>
      <c r="Q268" s="25"/>
      <c r="R268" s="25"/>
      <c r="S268" s="25"/>
      <c r="T268" s="25"/>
      <c r="U268" s="25"/>
    </row>
    <row r="269">
      <c r="C269" s="47"/>
      <c r="P269" s="25"/>
      <c r="Q269" s="25"/>
      <c r="R269" s="25"/>
      <c r="S269" s="25"/>
      <c r="T269" s="25"/>
      <c r="U269" s="25"/>
    </row>
    <row r="270">
      <c r="C270" s="47"/>
      <c r="P270" s="25"/>
      <c r="Q270" s="25"/>
      <c r="R270" s="25"/>
      <c r="S270" s="25"/>
      <c r="T270" s="25"/>
      <c r="U270" s="25"/>
    </row>
    <row r="271">
      <c r="C271" s="47"/>
      <c r="P271" s="25"/>
      <c r="Q271" s="25"/>
      <c r="R271" s="25"/>
      <c r="S271" s="25"/>
      <c r="T271" s="25"/>
      <c r="U271" s="25"/>
    </row>
    <row r="272">
      <c r="C272" s="47"/>
      <c r="P272" s="25"/>
      <c r="Q272" s="25"/>
      <c r="R272" s="25"/>
      <c r="S272" s="25"/>
      <c r="T272" s="25"/>
      <c r="U272" s="25"/>
    </row>
    <row r="273">
      <c r="C273" s="47"/>
      <c r="P273" s="25"/>
      <c r="Q273" s="25"/>
      <c r="R273" s="25"/>
      <c r="S273" s="25"/>
      <c r="T273" s="25"/>
      <c r="U273" s="25"/>
    </row>
    <row r="274">
      <c r="C274" s="47"/>
      <c r="P274" s="25"/>
      <c r="Q274" s="25"/>
      <c r="R274" s="25"/>
      <c r="S274" s="25"/>
      <c r="T274" s="25"/>
      <c r="U274" s="25"/>
    </row>
    <row r="275">
      <c r="C275" s="47"/>
      <c r="P275" s="25"/>
      <c r="Q275" s="25"/>
      <c r="R275" s="25"/>
      <c r="S275" s="25"/>
      <c r="T275" s="25"/>
      <c r="U275" s="25"/>
    </row>
    <row r="276">
      <c r="C276" s="47"/>
      <c r="P276" s="25"/>
      <c r="Q276" s="25"/>
      <c r="R276" s="25"/>
      <c r="S276" s="25"/>
      <c r="T276" s="25"/>
      <c r="U276" s="25"/>
    </row>
    <row r="277">
      <c r="C277" s="47"/>
      <c r="P277" s="25"/>
      <c r="Q277" s="25"/>
      <c r="R277" s="25"/>
      <c r="S277" s="25"/>
      <c r="T277" s="25"/>
      <c r="U277" s="25"/>
    </row>
    <row r="278">
      <c r="C278" s="47"/>
      <c r="P278" s="25"/>
      <c r="Q278" s="25"/>
      <c r="R278" s="25"/>
      <c r="S278" s="25"/>
      <c r="T278" s="25"/>
      <c r="U278" s="25"/>
    </row>
    <row r="279">
      <c r="C279" s="47"/>
      <c r="P279" s="25"/>
      <c r="Q279" s="25"/>
      <c r="R279" s="25"/>
      <c r="S279" s="25"/>
      <c r="T279" s="25"/>
      <c r="U279" s="25"/>
    </row>
    <row r="280">
      <c r="C280" s="47"/>
      <c r="P280" s="25"/>
      <c r="Q280" s="25"/>
      <c r="R280" s="25"/>
      <c r="S280" s="25"/>
      <c r="T280" s="25"/>
      <c r="U280" s="25"/>
    </row>
    <row r="281">
      <c r="C281" s="47"/>
      <c r="P281" s="25"/>
      <c r="Q281" s="25"/>
      <c r="R281" s="25"/>
      <c r="S281" s="25"/>
      <c r="T281" s="25"/>
      <c r="U281" s="25"/>
    </row>
    <row r="282">
      <c r="C282" s="47"/>
      <c r="P282" s="25"/>
      <c r="Q282" s="25"/>
      <c r="R282" s="25"/>
      <c r="S282" s="25"/>
      <c r="T282" s="25"/>
      <c r="U282" s="25"/>
    </row>
    <row r="283">
      <c r="C283" s="47"/>
      <c r="P283" s="25"/>
      <c r="Q283" s="25"/>
      <c r="R283" s="25"/>
      <c r="S283" s="25"/>
      <c r="T283" s="25"/>
      <c r="U283" s="25"/>
    </row>
    <row r="284">
      <c r="C284" s="47"/>
      <c r="P284" s="25"/>
      <c r="Q284" s="25"/>
      <c r="R284" s="25"/>
      <c r="S284" s="25"/>
      <c r="T284" s="25"/>
      <c r="U284" s="25"/>
    </row>
    <row r="285">
      <c r="C285" s="47"/>
      <c r="P285" s="25"/>
      <c r="Q285" s="25"/>
      <c r="R285" s="25"/>
      <c r="S285" s="25"/>
      <c r="T285" s="25"/>
      <c r="U285" s="25"/>
    </row>
    <row r="286">
      <c r="C286" s="47"/>
      <c r="P286" s="25"/>
      <c r="Q286" s="25"/>
      <c r="R286" s="25"/>
      <c r="S286" s="25"/>
      <c r="T286" s="25"/>
      <c r="U286" s="25"/>
    </row>
    <row r="287">
      <c r="C287" s="47"/>
      <c r="P287" s="25"/>
      <c r="Q287" s="25"/>
      <c r="R287" s="25"/>
      <c r="S287" s="25"/>
      <c r="T287" s="25"/>
      <c r="U287" s="25"/>
    </row>
    <row r="288">
      <c r="C288" s="47"/>
      <c r="P288" s="25"/>
      <c r="Q288" s="25"/>
      <c r="R288" s="25"/>
      <c r="S288" s="25"/>
      <c r="T288" s="25"/>
      <c r="U288" s="25"/>
    </row>
    <row r="289">
      <c r="C289" s="47"/>
      <c r="P289" s="25"/>
      <c r="Q289" s="25"/>
      <c r="R289" s="25"/>
      <c r="S289" s="25"/>
      <c r="T289" s="25"/>
      <c r="U289" s="25"/>
    </row>
    <row r="290">
      <c r="C290" s="47"/>
      <c r="P290" s="25"/>
      <c r="Q290" s="25"/>
      <c r="R290" s="25"/>
      <c r="S290" s="25"/>
      <c r="T290" s="25"/>
      <c r="U290" s="25"/>
    </row>
    <row r="291">
      <c r="C291" s="47"/>
      <c r="P291" s="25"/>
      <c r="Q291" s="25"/>
      <c r="R291" s="25"/>
      <c r="S291" s="25"/>
      <c r="T291" s="25"/>
      <c r="U291" s="25"/>
    </row>
    <row r="292">
      <c r="C292" s="47"/>
      <c r="P292" s="25"/>
      <c r="Q292" s="25"/>
      <c r="R292" s="25"/>
      <c r="S292" s="25"/>
      <c r="T292" s="25"/>
      <c r="U292" s="25"/>
    </row>
    <row r="293">
      <c r="C293" s="47"/>
      <c r="P293" s="25"/>
      <c r="Q293" s="25"/>
      <c r="R293" s="25"/>
      <c r="S293" s="25"/>
      <c r="T293" s="25"/>
      <c r="U293" s="25"/>
    </row>
    <row r="294">
      <c r="C294" s="47"/>
      <c r="P294" s="25"/>
      <c r="Q294" s="25"/>
      <c r="R294" s="25"/>
      <c r="S294" s="25"/>
      <c r="T294" s="25"/>
      <c r="U294" s="25"/>
    </row>
    <row r="295">
      <c r="C295" s="47"/>
      <c r="P295" s="25"/>
      <c r="Q295" s="25"/>
      <c r="R295" s="25"/>
      <c r="S295" s="25"/>
      <c r="T295" s="25"/>
      <c r="U295" s="25"/>
    </row>
    <row r="296">
      <c r="C296" s="47"/>
      <c r="P296" s="25"/>
      <c r="Q296" s="25"/>
      <c r="R296" s="25"/>
      <c r="S296" s="25"/>
      <c r="T296" s="25"/>
      <c r="U296" s="25"/>
    </row>
    <row r="297">
      <c r="C297" s="47"/>
      <c r="P297" s="25"/>
      <c r="Q297" s="25"/>
      <c r="R297" s="25"/>
      <c r="S297" s="25"/>
      <c r="T297" s="25"/>
      <c r="U297" s="25"/>
    </row>
    <row r="298">
      <c r="C298" s="47"/>
      <c r="P298" s="25"/>
      <c r="Q298" s="25"/>
      <c r="R298" s="25"/>
      <c r="S298" s="25"/>
      <c r="T298" s="25"/>
      <c r="U298" s="25"/>
    </row>
    <row r="299">
      <c r="C299" s="47"/>
      <c r="P299" s="25"/>
      <c r="Q299" s="25"/>
      <c r="R299" s="25"/>
      <c r="S299" s="25"/>
      <c r="T299" s="25"/>
      <c r="U299" s="25"/>
    </row>
    <row r="300">
      <c r="C300" s="47"/>
      <c r="P300" s="25"/>
      <c r="Q300" s="25"/>
      <c r="R300" s="25"/>
      <c r="S300" s="25"/>
      <c r="T300" s="25"/>
      <c r="U300" s="25"/>
    </row>
    <row r="301">
      <c r="C301" s="47"/>
      <c r="P301" s="25"/>
      <c r="Q301" s="25"/>
      <c r="R301" s="25"/>
      <c r="S301" s="25"/>
      <c r="T301" s="25"/>
      <c r="U301" s="25"/>
    </row>
    <row r="302">
      <c r="C302" s="47"/>
      <c r="P302" s="25"/>
      <c r="Q302" s="25"/>
      <c r="R302" s="25"/>
      <c r="S302" s="25"/>
      <c r="T302" s="25"/>
      <c r="U302" s="25"/>
    </row>
    <row r="303">
      <c r="C303" s="47"/>
      <c r="P303" s="25"/>
      <c r="Q303" s="25"/>
      <c r="R303" s="25"/>
      <c r="S303" s="25"/>
      <c r="T303" s="25"/>
      <c r="U303" s="25"/>
    </row>
    <row r="304">
      <c r="C304" s="47"/>
      <c r="P304" s="25"/>
      <c r="Q304" s="25"/>
      <c r="R304" s="25"/>
      <c r="S304" s="25"/>
      <c r="T304" s="25"/>
      <c r="U304" s="25"/>
    </row>
    <row r="305">
      <c r="C305" s="47"/>
      <c r="P305" s="25"/>
      <c r="Q305" s="25"/>
      <c r="R305" s="25"/>
      <c r="S305" s="25"/>
      <c r="T305" s="25"/>
      <c r="U305" s="25"/>
    </row>
    <row r="306">
      <c r="C306" s="47"/>
      <c r="P306" s="25"/>
      <c r="Q306" s="25"/>
      <c r="R306" s="25"/>
      <c r="S306" s="25"/>
      <c r="T306" s="25"/>
      <c r="U306" s="25"/>
    </row>
    <row r="307">
      <c r="C307" s="47"/>
      <c r="P307" s="25"/>
      <c r="Q307" s="25"/>
      <c r="R307" s="25"/>
      <c r="S307" s="25"/>
      <c r="T307" s="25"/>
      <c r="U307" s="25"/>
    </row>
    <row r="308">
      <c r="C308" s="47"/>
      <c r="P308" s="25"/>
      <c r="Q308" s="25"/>
      <c r="R308" s="25"/>
      <c r="S308" s="25"/>
      <c r="T308" s="25"/>
      <c r="U308" s="25"/>
    </row>
    <row r="309">
      <c r="C309" s="47"/>
      <c r="P309" s="25"/>
      <c r="Q309" s="25"/>
      <c r="R309" s="25"/>
      <c r="S309" s="25"/>
      <c r="T309" s="25"/>
      <c r="U309" s="25"/>
    </row>
    <row r="310">
      <c r="C310" s="47"/>
      <c r="P310" s="25"/>
      <c r="Q310" s="25"/>
      <c r="R310" s="25"/>
      <c r="S310" s="25"/>
      <c r="T310" s="25"/>
      <c r="U310" s="25"/>
    </row>
    <row r="311">
      <c r="C311" s="47"/>
      <c r="P311" s="25"/>
      <c r="Q311" s="25"/>
      <c r="R311" s="25"/>
      <c r="S311" s="25"/>
      <c r="T311" s="25"/>
      <c r="U311" s="25"/>
    </row>
    <row r="312">
      <c r="C312" s="47"/>
      <c r="P312" s="25"/>
      <c r="Q312" s="25"/>
      <c r="R312" s="25"/>
      <c r="S312" s="25"/>
      <c r="T312" s="25"/>
      <c r="U312" s="25"/>
    </row>
    <row r="313">
      <c r="C313" s="47"/>
      <c r="P313" s="25"/>
      <c r="Q313" s="25"/>
      <c r="R313" s="25"/>
      <c r="S313" s="25"/>
      <c r="T313" s="25"/>
      <c r="U313" s="25"/>
    </row>
    <row r="314">
      <c r="C314" s="47"/>
      <c r="P314" s="25"/>
      <c r="Q314" s="25"/>
      <c r="R314" s="25"/>
      <c r="S314" s="25"/>
      <c r="T314" s="25"/>
      <c r="U314" s="25"/>
    </row>
    <row r="315">
      <c r="C315" s="47"/>
      <c r="P315" s="25"/>
      <c r="Q315" s="25"/>
      <c r="R315" s="25"/>
      <c r="S315" s="25"/>
      <c r="T315" s="25"/>
      <c r="U315" s="25"/>
    </row>
    <row r="316">
      <c r="C316" s="47"/>
      <c r="P316" s="25"/>
      <c r="Q316" s="25"/>
      <c r="R316" s="25"/>
      <c r="S316" s="25"/>
      <c r="T316" s="25"/>
      <c r="U316" s="25"/>
    </row>
    <row r="317">
      <c r="C317" s="47"/>
      <c r="P317" s="25"/>
      <c r="Q317" s="25"/>
      <c r="R317" s="25"/>
      <c r="S317" s="25"/>
      <c r="T317" s="25"/>
      <c r="U317" s="25"/>
    </row>
    <row r="318">
      <c r="C318" s="47"/>
      <c r="P318" s="25"/>
      <c r="Q318" s="25"/>
      <c r="R318" s="25"/>
      <c r="S318" s="25"/>
      <c r="T318" s="25"/>
      <c r="U318" s="25"/>
    </row>
    <row r="319">
      <c r="C319" s="47"/>
      <c r="P319" s="25"/>
      <c r="Q319" s="25"/>
      <c r="R319" s="25"/>
      <c r="S319" s="25"/>
      <c r="T319" s="25"/>
      <c r="U319" s="25"/>
    </row>
    <row r="320">
      <c r="C320" s="47"/>
      <c r="P320" s="25"/>
      <c r="Q320" s="25"/>
      <c r="R320" s="25"/>
      <c r="S320" s="25"/>
      <c r="T320" s="25"/>
      <c r="U320" s="25"/>
    </row>
    <row r="321">
      <c r="C321" s="47"/>
      <c r="P321" s="25"/>
      <c r="Q321" s="25"/>
      <c r="R321" s="25"/>
      <c r="S321" s="25"/>
      <c r="T321" s="25"/>
      <c r="U321" s="25"/>
    </row>
    <row r="322">
      <c r="C322" s="47"/>
      <c r="P322" s="25"/>
      <c r="Q322" s="25"/>
      <c r="R322" s="25"/>
      <c r="S322" s="25"/>
      <c r="T322" s="25"/>
      <c r="U322" s="25"/>
    </row>
    <row r="323">
      <c r="C323" s="47"/>
      <c r="P323" s="25"/>
      <c r="Q323" s="25"/>
      <c r="R323" s="25"/>
      <c r="S323" s="25"/>
      <c r="T323" s="25"/>
      <c r="U323" s="25"/>
    </row>
    <row r="324">
      <c r="C324" s="47"/>
      <c r="P324" s="25"/>
      <c r="Q324" s="25"/>
      <c r="R324" s="25"/>
      <c r="S324" s="25"/>
      <c r="T324" s="25"/>
      <c r="U324" s="25"/>
    </row>
    <row r="325">
      <c r="C325" s="47"/>
      <c r="P325" s="25"/>
      <c r="Q325" s="25"/>
      <c r="R325" s="25"/>
      <c r="S325" s="25"/>
      <c r="T325" s="25"/>
      <c r="U325" s="25"/>
    </row>
    <row r="326">
      <c r="C326" s="47"/>
      <c r="P326" s="25"/>
      <c r="Q326" s="25"/>
      <c r="R326" s="25"/>
      <c r="S326" s="25"/>
      <c r="T326" s="25"/>
      <c r="U326" s="25"/>
    </row>
    <row r="327">
      <c r="C327" s="47"/>
      <c r="P327" s="25"/>
      <c r="Q327" s="25"/>
      <c r="R327" s="25"/>
      <c r="S327" s="25"/>
      <c r="T327" s="25"/>
      <c r="U327" s="25"/>
    </row>
    <row r="328">
      <c r="C328" s="47"/>
      <c r="P328" s="25"/>
      <c r="Q328" s="25"/>
      <c r="R328" s="25"/>
      <c r="S328" s="25"/>
      <c r="T328" s="25"/>
      <c r="U328" s="25"/>
    </row>
    <row r="329">
      <c r="C329" s="47"/>
      <c r="P329" s="25"/>
      <c r="Q329" s="25"/>
      <c r="R329" s="25"/>
      <c r="S329" s="25"/>
      <c r="T329" s="25"/>
      <c r="U329" s="25"/>
    </row>
    <row r="330">
      <c r="C330" s="47"/>
      <c r="P330" s="25"/>
      <c r="Q330" s="25"/>
      <c r="R330" s="25"/>
      <c r="S330" s="25"/>
      <c r="T330" s="25"/>
      <c r="U330" s="25"/>
    </row>
    <row r="331">
      <c r="C331" s="47"/>
      <c r="P331" s="25"/>
      <c r="Q331" s="25"/>
      <c r="R331" s="25"/>
      <c r="S331" s="25"/>
      <c r="T331" s="25"/>
      <c r="U331" s="25"/>
    </row>
    <row r="332">
      <c r="C332" s="47"/>
      <c r="P332" s="25"/>
      <c r="Q332" s="25"/>
      <c r="R332" s="25"/>
      <c r="S332" s="25"/>
      <c r="T332" s="25"/>
      <c r="U332" s="25"/>
    </row>
    <row r="333">
      <c r="C333" s="47"/>
      <c r="P333" s="25"/>
      <c r="Q333" s="25"/>
      <c r="R333" s="25"/>
      <c r="S333" s="25"/>
      <c r="T333" s="25"/>
      <c r="U333" s="25"/>
    </row>
    <row r="334">
      <c r="C334" s="47"/>
      <c r="P334" s="25"/>
      <c r="Q334" s="25"/>
      <c r="R334" s="25"/>
      <c r="S334" s="25"/>
      <c r="T334" s="25"/>
      <c r="U334" s="25"/>
    </row>
    <row r="335">
      <c r="C335" s="47"/>
      <c r="P335" s="25"/>
      <c r="Q335" s="25"/>
      <c r="R335" s="25"/>
      <c r="S335" s="25"/>
      <c r="T335" s="25"/>
      <c r="U335" s="25"/>
    </row>
    <row r="336">
      <c r="C336" s="47"/>
      <c r="P336" s="25"/>
      <c r="Q336" s="25"/>
      <c r="R336" s="25"/>
      <c r="S336" s="25"/>
      <c r="T336" s="25"/>
      <c r="U336" s="25"/>
    </row>
    <row r="337">
      <c r="C337" s="47"/>
      <c r="P337" s="25"/>
      <c r="Q337" s="25"/>
      <c r="R337" s="25"/>
      <c r="S337" s="25"/>
      <c r="T337" s="25"/>
      <c r="U337" s="25"/>
    </row>
    <row r="338">
      <c r="C338" s="47"/>
      <c r="P338" s="25"/>
      <c r="Q338" s="25"/>
      <c r="R338" s="25"/>
      <c r="S338" s="25"/>
      <c r="T338" s="25"/>
      <c r="U338" s="25"/>
    </row>
    <row r="339">
      <c r="C339" s="47"/>
      <c r="P339" s="25"/>
      <c r="Q339" s="25"/>
      <c r="R339" s="25"/>
      <c r="S339" s="25"/>
      <c r="T339" s="25"/>
      <c r="U339" s="25"/>
    </row>
    <row r="340">
      <c r="C340" s="47"/>
      <c r="P340" s="25"/>
      <c r="Q340" s="25"/>
      <c r="R340" s="25"/>
      <c r="S340" s="25"/>
      <c r="T340" s="25"/>
      <c r="U340" s="25"/>
    </row>
    <row r="341">
      <c r="C341" s="47"/>
      <c r="P341" s="25"/>
      <c r="Q341" s="25"/>
      <c r="R341" s="25"/>
      <c r="S341" s="25"/>
      <c r="T341" s="25"/>
      <c r="U341" s="25"/>
    </row>
    <row r="342">
      <c r="C342" s="47"/>
      <c r="P342" s="25"/>
      <c r="Q342" s="25"/>
      <c r="R342" s="25"/>
      <c r="S342" s="25"/>
      <c r="T342" s="25"/>
      <c r="U342" s="25"/>
    </row>
    <row r="343">
      <c r="C343" s="47"/>
      <c r="P343" s="25"/>
      <c r="Q343" s="25"/>
      <c r="R343" s="25"/>
      <c r="S343" s="25"/>
      <c r="T343" s="25"/>
      <c r="U343" s="25"/>
    </row>
    <row r="344">
      <c r="C344" s="47"/>
      <c r="P344" s="25"/>
      <c r="Q344" s="25"/>
      <c r="R344" s="25"/>
      <c r="S344" s="25"/>
      <c r="T344" s="25"/>
      <c r="U344" s="25"/>
    </row>
    <row r="345">
      <c r="C345" s="47"/>
      <c r="P345" s="25"/>
      <c r="Q345" s="25"/>
      <c r="R345" s="25"/>
      <c r="S345" s="25"/>
      <c r="T345" s="25"/>
      <c r="U345" s="25"/>
    </row>
    <row r="346">
      <c r="C346" s="47"/>
      <c r="P346" s="25"/>
      <c r="Q346" s="25"/>
      <c r="R346" s="25"/>
      <c r="S346" s="25"/>
      <c r="T346" s="25"/>
      <c r="U346" s="25"/>
    </row>
    <row r="347">
      <c r="C347" s="47"/>
      <c r="P347" s="25"/>
      <c r="Q347" s="25"/>
      <c r="R347" s="25"/>
      <c r="S347" s="25"/>
      <c r="T347" s="25"/>
      <c r="U347" s="25"/>
    </row>
    <row r="348">
      <c r="C348" s="47"/>
      <c r="P348" s="25"/>
      <c r="Q348" s="25"/>
      <c r="R348" s="25"/>
      <c r="S348" s="25"/>
      <c r="T348" s="25"/>
      <c r="U348" s="25"/>
    </row>
    <row r="349">
      <c r="C349" s="47"/>
      <c r="P349" s="25"/>
      <c r="Q349" s="25"/>
      <c r="R349" s="25"/>
      <c r="S349" s="25"/>
      <c r="T349" s="25"/>
      <c r="U349" s="25"/>
    </row>
    <row r="350">
      <c r="C350" s="47"/>
      <c r="P350" s="25"/>
      <c r="Q350" s="25"/>
      <c r="R350" s="25"/>
      <c r="S350" s="25"/>
      <c r="T350" s="25"/>
      <c r="U350" s="25"/>
    </row>
    <row r="351">
      <c r="C351" s="47"/>
      <c r="P351" s="25"/>
      <c r="Q351" s="25"/>
      <c r="R351" s="25"/>
      <c r="S351" s="25"/>
      <c r="T351" s="25"/>
      <c r="U351" s="25"/>
    </row>
    <row r="352">
      <c r="C352" s="47"/>
      <c r="P352" s="25"/>
      <c r="Q352" s="25"/>
      <c r="R352" s="25"/>
      <c r="S352" s="25"/>
      <c r="T352" s="25"/>
      <c r="U352" s="25"/>
    </row>
    <row r="353">
      <c r="C353" s="47"/>
      <c r="P353" s="25"/>
      <c r="Q353" s="25"/>
      <c r="R353" s="25"/>
      <c r="S353" s="25"/>
      <c r="T353" s="25"/>
      <c r="U353" s="25"/>
    </row>
    <row r="354">
      <c r="C354" s="47"/>
      <c r="P354" s="25"/>
      <c r="Q354" s="25"/>
      <c r="R354" s="25"/>
      <c r="S354" s="25"/>
      <c r="T354" s="25"/>
      <c r="U354" s="25"/>
    </row>
    <row r="355">
      <c r="C355" s="47"/>
      <c r="P355" s="25"/>
      <c r="Q355" s="25"/>
      <c r="R355" s="25"/>
      <c r="S355" s="25"/>
      <c r="T355" s="25"/>
      <c r="U355" s="25"/>
    </row>
    <row r="356">
      <c r="C356" s="47"/>
      <c r="P356" s="25"/>
      <c r="Q356" s="25"/>
      <c r="R356" s="25"/>
      <c r="S356" s="25"/>
      <c r="T356" s="25"/>
      <c r="U356" s="25"/>
    </row>
    <row r="357">
      <c r="C357" s="47"/>
      <c r="P357" s="25"/>
      <c r="Q357" s="25"/>
      <c r="R357" s="25"/>
      <c r="S357" s="25"/>
      <c r="T357" s="25"/>
      <c r="U357" s="25"/>
    </row>
    <row r="358">
      <c r="C358" s="47"/>
      <c r="P358" s="25"/>
      <c r="Q358" s="25"/>
      <c r="R358" s="25"/>
      <c r="S358" s="25"/>
      <c r="T358" s="25"/>
      <c r="U358" s="25"/>
    </row>
    <row r="359">
      <c r="C359" s="47"/>
      <c r="P359" s="25"/>
      <c r="Q359" s="25"/>
      <c r="R359" s="25"/>
      <c r="S359" s="25"/>
      <c r="T359" s="25"/>
      <c r="U359" s="25"/>
    </row>
    <row r="360">
      <c r="C360" s="47"/>
      <c r="P360" s="25"/>
      <c r="Q360" s="25"/>
      <c r="R360" s="25"/>
      <c r="S360" s="25"/>
      <c r="T360" s="25"/>
      <c r="U360" s="25"/>
    </row>
    <row r="361">
      <c r="C361" s="47"/>
      <c r="P361" s="25"/>
      <c r="Q361" s="25"/>
      <c r="R361" s="25"/>
      <c r="S361" s="25"/>
      <c r="T361" s="25"/>
      <c r="U361" s="25"/>
    </row>
    <row r="362">
      <c r="C362" s="47"/>
      <c r="P362" s="25"/>
      <c r="Q362" s="25"/>
      <c r="R362" s="25"/>
      <c r="S362" s="25"/>
      <c r="T362" s="25"/>
      <c r="U362" s="25"/>
    </row>
    <row r="363">
      <c r="C363" s="47"/>
      <c r="P363" s="25"/>
      <c r="Q363" s="25"/>
      <c r="R363" s="25"/>
      <c r="S363" s="25"/>
      <c r="T363" s="25"/>
      <c r="U363" s="25"/>
    </row>
    <row r="364">
      <c r="C364" s="47"/>
      <c r="P364" s="25"/>
      <c r="Q364" s="25"/>
      <c r="R364" s="25"/>
      <c r="S364" s="25"/>
      <c r="T364" s="25"/>
      <c r="U364" s="25"/>
    </row>
    <row r="365">
      <c r="C365" s="47"/>
      <c r="P365" s="25"/>
      <c r="Q365" s="25"/>
      <c r="R365" s="25"/>
      <c r="S365" s="25"/>
      <c r="T365" s="25"/>
      <c r="U365" s="25"/>
    </row>
    <row r="366">
      <c r="C366" s="47"/>
      <c r="P366" s="25"/>
      <c r="Q366" s="25"/>
      <c r="R366" s="25"/>
      <c r="S366" s="25"/>
      <c r="T366" s="25"/>
      <c r="U366" s="25"/>
    </row>
    <row r="367">
      <c r="C367" s="47"/>
      <c r="P367" s="25"/>
      <c r="Q367" s="25"/>
      <c r="R367" s="25"/>
      <c r="S367" s="25"/>
      <c r="T367" s="25"/>
      <c r="U367" s="25"/>
    </row>
    <row r="368">
      <c r="C368" s="47"/>
      <c r="P368" s="25"/>
      <c r="Q368" s="25"/>
      <c r="R368" s="25"/>
      <c r="S368" s="25"/>
      <c r="T368" s="25"/>
      <c r="U368" s="25"/>
    </row>
    <row r="369">
      <c r="C369" s="47"/>
      <c r="P369" s="25"/>
      <c r="Q369" s="25"/>
      <c r="R369" s="25"/>
      <c r="S369" s="25"/>
      <c r="T369" s="25"/>
      <c r="U369" s="25"/>
    </row>
    <row r="370">
      <c r="C370" s="47"/>
      <c r="P370" s="25"/>
      <c r="Q370" s="25"/>
      <c r="R370" s="25"/>
      <c r="S370" s="25"/>
      <c r="T370" s="25"/>
      <c r="U370" s="25"/>
    </row>
    <row r="371">
      <c r="C371" s="47"/>
      <c r="P371" s="25"/>
      <c r="Q371" s="25"/>
      <c r="R371" s="25"/>
      <c r="S371" s="25"/>
      <c r="T371" s="25"/>
      <c r="U371" s="25"/>
    </row>
    <row r="372">
      <c r="C372" s="47"/>
      <c r="P372" s="25"/>
      <c r="Q372" s="25"/>
      <c r="R372" s="25"/>
      <c r="S372" s="25"/>
      <c r="T372" s="25"/>
      <c r="U372" s="25"/>
    </row>
    <row r="373">
      <c r="C373" s="47"/>
      <c r="P373" s="25"/>
      <c r="Q373" s="25"/>
      <c r="R373" s="25"/>
      <c r="S373" s="25"/>
      <c r="T373" s="25"/>
      <c r="U373" s="25"/>
    </row>
    <row r="374">
      <c r="C374" s="47"/>
      <c r="P374" s="25"/>
      <c r="Q374" s="25"/>
      <c r="R374" s="25"/>
      <c r="S374" s="25"/>
      <c r="T374" s="25"/>
      <c r="U374" s="25"/>
    </row>
    <row r="375">
      <c r="C375" s="47"/>
      <c r="P375" s="25"/>
      <c r="Q375" s="25"/>
      <c r="R375" s="25"/>
      <c r="S375" s="25"/>
      <c r="T375" s="25"/>
      <c r="U375" s="25"/>
    </row>
    <row r="376">
      <c r="C376" s="47"/>
      <c r="P376" s="25"/>
      <c r="Q376" s="25"/>
      <c r="R376" s="25"/>
      <c r="S376" s="25"/>
      <c r="T376" s="25"/>
      <c r="U376" s="25"/>
    </row>
    <row r="377">
      <c r="C377" s="47"/>
      <c r="P377" s="25"/>
      <c r="Q377" s="25"/>
      <c r="R377" s="25"/>
      <c r="S377" s="25"/>
      <c r="T377" s="25"/>
      <c r="U377" s="25"/>
    </row>
    <row r="378">
      <c r="C378" s="47"/>
      <c r="P378" s="25"/>
      <c r="Q378" s="25"/>
      <c r="R378" s="25"/>
      <c r="S378" s="25"/>
      <c r="T378" s="25"/>
      <c r="U378" s="25"/>
    </row>
    <row r="379">
      <c r="C379" s="47"/>
      <c r="P379" s="25"/>
      <c r="Q379" s="25"/>
      <c r="R379" s="25"/>
      <c r="S379" s="25"/>
      <c r="T379" s="25"/>
      <c r="U379" s="25"/>
    </row>
    <row r="380">
      <c r="C380" s="47"/>
      <c r="P380" s="25"/>
      <c r="Q380" s="25"/>
      <c r="R380" s="25"/>
      <c r="S380" s="25"/>
      <c r="T380" s="25"/>
      <c r="U380" s="25"/>
    </row>
    <row r="381">
      <c r="C381" s="47"/>
      <c r="P381" s="25"/>
      <c r="Q381" s="25"/>
      <c r="R381" s="25"/>
      <c r="S381" s="25"/>
      <c r="T381" s="25"/>
      <c r="U381" s="25"/>
    </row>
    <row r="382">
      <c r="C382" s="47"/>
      <c r="P382" s="25"/>
      <c r="Q382" s="25"/>
      <c r="R382" s="25"/>
      <c r="S382" s="25"/>
      <c r="T382" s="25"/>
      <c r="U382" s="25"/>
    </row>
    <row r="383">
      <c r="C383" s="47"/>
      <c r="P383" s="25"/>
      <c r="Q383" s="25"/>
      <c r="R383" s="25"/>
      <c r="S383" s="25"/>
      <c r="T383" s="25"/>
      <c r="U383" s="25"/>
    </row>
    <row r="384">
      <c r="C384" s="47"/>
      <c r="P384" s="25"/>
      <c r="Q384" s="25"/>
      <c r="R384" s="25"/>
      <c r="S384" s="25"/>
      <c r="T384" s="25"/>
      <c r="U384" s="25"/>
    </row>
    <row r="385">
      <c r="C385" s="47"/>
      <c r="P385" s="25"/>
      <c r="Q385" s="25"/>
      <c r="R385" s="25"/>
      <c r="S385" s="25"/>
      <c r="T385" s="25"/>
      <c r="U385" s="25"/>
    </row>
    <row r="386">
      <c r="C386" s="47"/>
      <c r="P386" s="25"/>
      <c r="Q386" s="25"/>
      <c r="R386" s="25"/>
      <c r="S386" s="25"/>
      <c r="T386" s="25"/>
      <c r="U386" s="25"/>
    </row>
    <row r="387">
      <c r="C387" s="47"/>
      <c r="P387" s="25"/>
      <c r="Q387" s="25"/>
      <c r="R387" s="25"/>
      <c r="S387" s="25"/>
      <c r="T387" s="25"/>
      <c r="U387" s="25"/>
    </row>
    <row r="388">
      <c r="C388" s="47"/>
      <c r="P388" s="25"/>
      <c r="Q388" s="25"/>
      <c r="R388" s="25"/>
      <c r="S388" s="25"/>
      <c r="T388" s="25"/>
      <c r="U388" s="25"/>
    </row>
    <row r="389">
      <c r="C389" s="47"/>
      <c r="P389" s="25"/>
      <c r="Q389" s="25"/>
      <c r="R389" s="25"/>
      <c r="S389" s="25"/>
      <c r="T389" s="25"/>
      <c r="U389" s="25"/>
    </row>
    <row r="390">
      <c r="C390" s="47"/>
      <c r="P390" s="25"/>
      <c r="Q390" s="25"/>
      <c r="R390" s="25"/>
      <c r="S390" s="25"/>
      <c r="T390" s="25"/>
      <c r="U390" s="25"/>
    </row>
    <row r="391">
      <c r="C391" s="47"/>
      <c r="P391" s="25"/>
      <c r="Q391" s="25"/>
      <c r="R391" s="25"/>
      <c r="S391" s="25"/>
      <c r="T391" s="25"/>
      <c r="U391" s="25"/>
    </row>
    <row r="392">
      <c r="C392" s="47"/>
      <c r="P392" s="25"/>
      <c r="Q392" s="25"/>
      <c r="R392" s="25"/>
      <c r="S392" s="25"/>
      <c r="T392" s="25"/>
      <c r="U392" s="25"/>
    </row>
    <row r="393">
      <c r="C393" s="47"/>
      <c r="P393" s="25"/>
      <c r="Q393" s="25"/>
      <c r="R393" s="25"/>
      <c r="S393" s="25"/>
      <c r="T393" s="25"/>
      <c r="U393" s="25"/>
    </row>
    <row r="394">
      <c r="C394" s="47"/>
      <c r="P394" s="25"/>
      <c r="Q394" s="25"/>
      <c r="R394" s="25"/>
      <c r="S394" s="25"/>
      <c r="T394" s="25"/>
      <c r="U394" s="25"/>
    </row>
    <row r="395">
      <c r="C395" s="47"/>
      <c r="P395" s="25"/>
      <c r="Q395" s="25"/>
      <c r="R395" s="25"/>
      <c r="S395" s="25"/>
      <c r="T395" s="25"/>
      <c r="U395" s="25"/>
    </row>
    <row r="396">
      <c r="C396" s="47"/>
      <c r="P396" s="25"/>
      <c r="Q396" s="25"/>
      <c r="R396" s="25"/>
      <c r="S396" s="25"/>
      <c r="T396" s="25"/>
      <c r="U396" s="25"/>
    </row>
    <row r="397">
      <c r="C397" s="47"/>
      <c r="P397" s="25"/>
      <c r="Q397" s="25"/>
      <c r="R397" s="25"/>
      <c r="S397" s="25"/>
      <c r="T397" s="25"/>
      <c r="U397" s="25"/>
    </row>
    <row r="398">
      <c r="C398" s="47"/>
      <c r="P398" s="25"/>
      <c r="Q398" s="25"/>
      <c r="R398" s="25"/>
      <c r="S398" s="25"/>
      <c r="T398" s="25"/>
      <c r="U398" s="25"/>
    </row>
    <row r="399">
      <c r="C399" s="47"/>
      <c r="P399" s="25"/>
      <c r="Q399" s="25"/>
      <c r="R399" s="25"/>
      <c r="S399" s="25"/>
      <c r="T399" s="25"/>
      <c r="U399" s="25"/>
    </row>
    <row r="400">
      <c r="C400" s="47"/>
      <c r="P400" s="25"/>
      <c r="Q400" s="25"/>
      <c r="R400" s="25"/>
      <c r="S400" s="25"/>
      <c r="T400" s="25"/>
      <c r="U400" s="25"/>
    </row>
    <row r="401">
      <c r="C401" s="47"/>
      <c r="P401" s="25"/>
      <c r="Q401" s="25"/>
      <c r="R401" s="25"/>
      <c r="S401" s="25"/>
      <c r="T401" s="25"/>
      <c r="U401" s="25"/>
    </row>
    <row r="402">
      <c r="C402" s="47"/>
      <c r="P402" s="25"/>
      <c r="Q402" s="25"/>
      <c r="R402" s="25"/>
      <c r="S402" s="25"/>
      <c r="T402" s="25"/>
      <c r="U402" s="25"/>
    </row>
    <row r="403">
      <c r="C403" s="47"/>
      <c r="P403" s="25"/>
      <c r="Q403" s="25"/>
      <c r="R403" s="25"/>
      <c r="S403" s="25"/>
      <c r="T403" s="25"/>
      <c r="U403" s="25"/>
    </row>
    <row r="404">
      <c r="C404" s="47"/>
      <c r="P404" s="25"/>
      <c r="Q404" s="25"/>
      <c r="R404" s="25"/>
      <c r="S404" s="25"/>
      <c r="T404" s="25"/>
      <c r="U404" s="25"/>
    </row>
    <row r="405">
      <c r="C405" s="47"/>
      <c r="P405" s="25"/>
      <c r="Q405" s="25"/>
      <c r="R405" s="25"/>
      <c r="S405" s="25"/>
      <c r="T405" s="25"/>
      <c r="U405" s="25"/>
    </row>
    <row r="406">
      <c r="C406" s="47"/>
      <c r="P406" s="25"/>
      <c r="Q406" s="25"/>
      <c r="R406" s="25"/>
      <c r="S406" s="25"/>
      <c r="T406" s="25"/>
      <c r="U406" s="25"/>
    </row>
    <row r="407">
      <c r="C407" s="47"/>
      <c r="P407" s="25"/>
      <c r="Q407" s="25"/>
      <c r="R407" s="25"/>
      <c r="S407" s="25"/>
      <c r="T407" s="25"/>
      <c r="U407" s="25"/>
    </row>
    <row r="408">
      <c r="C408" s="47"/>
      <c r="P408" s="25"/>
      <c r="Q408" s="25"/>
      <c r="R408" s="25"/>
      <c r="S408" s="25"/>
      <c r="T408" s="25"/>
      <c r="U408" s="25"/>
    </row>
    <row r="409">
      <c r="C409" s="47"/>
      <c r="P409" s="25"/>
      <c r="Q409" s="25"/>
      <c r="R409" s="25"/>
      <c r="S409" s="25"/>
      <c r="T409" s="25"/>
      <c r="U409" s="25"/>
    </row>
    <row r="410">
      <c r="C410" s="47"/>
      <c r="P410" s="25"/>
      <c r="Q410" s="25"/>
      <c r="R410" s="25"/>
      <c r="S410" s="25"/>
      <c r="T410" s="25"/>
      <c r="U410" s="25"/>
    </row>
    <row r="411">
      <c r="C411" s="47"/>
      <c r="P411" s="25"/>
      <c r="Q411" s="25"/>
      <c r="R411" s="25"/>
      <c r="S411" s="25"/>
      <c r="T411" s="25"/>
      <c r="U411" s="25"/>
    </row>
    <row r="412">
      <c r="C412" s="47"/>
      <c r="P412" s="25"/>
      <c r="Q412" s="25"/>
      <c r="R412" s="25"/>
      <c r="S412" s="25"/>
      <c r="T412" s="25"/>
      <c r="U412" s="25"/>
    </row>
    <row r="413">
      <c r="C413" s="47"/>
      <c r="P413" s="25"/>
      <c r="Q413" s="25"/>
      <c r="R413" s="25"/>
      <c r="S413" s="25"/>
      <c r="T413" s="25"/>
      <c r="U413" s="25"/>
    </row>
    <row r="414">
      <c r="C414" s="47"/>
      <c r="P414" s="25"/>
      <c r="Q414" s="25"/>
      <c r="R414" s="25"/>
      <c r="S414" s="25"/>
      <c r="T414" s="25"/>
      <c r="U414" s="25"/>
    </row>
    <row r="415">
      <c r="C415" s="47"/>
      <c r="P415" s="25"/>
      <c r="Q415" s="25"/>
      <c r="R415" s="25"/>
      <c r="S415" s="25"/>
      <c r="T415" s="25"/>
      <c r="U415" s="25"/>
    </row>
    <row r="416">
      <c r="C416" s="47"/>
      <c r="P416" s="25"/>
      <c r="Q416" s="25"/>
      <c r="R416" s="25"/>
      <c r="S416" s="25"/>
      <c r="T416" s="25"/>
      <c r="U416" s="25"/>
    </row>
    <row r="417">
      <c r="C417" s="47"/>
      <c r="P417" s="25"/>
      <c r="Q417" s="25"/>
      <c r="R417" s="25"/>
      <c r="S417" s="25"/>
      <c r="T417" s="25"/>
      <c r="U417" s="25"/>
    </row>
    <row r="418">
      <c r="C418" s="47"/>
      <c r="P418" s="25"/>
      <c r="Q418" s="25"/>
      <c r="R418" s="25"/>
      <c r="S418" s="25"/>
      <c r="T418" s="25"/>
      <c r="U418" s="25"/>
    </row>
    <row r="419">
      <c r="C419" s="47"/>
      <c r="P419" s="25"/>
      <c r="Q419" s="25"/>
      <c r="R419" s="25"/>
      <c r="S419" s="25"/>
      <c r="T419" s="25"/>
      <c r="U419" s="25"/>
    </row>
    <row r="420">
      <c r="C420" s="47"/>
      <c r="P420" s="25"/>
      <c r="Q420" s="25"/>
      <c r="R420" s="25"/>
      <c r="S420" s="25"/>
      <c r="T420" s="25"/>
      <c r="U420" s="25"/>
    </row>
    <row r="421">
      <c r="C421" s="47"/>
      <c r="P421" s="25"/>
      <c r="Q421" s="25"/>
      <c r="R421" s="25"/>
      <c r="S421" s="25"/>
      <c r="T421" s="25"/>
      <c r="U421" s="25"/>
    </row>
    <row r="422">
      <c r="C422" s="47"/>
      <c r="P422" s="25"/>
      <c r="Q422" s="25"/>
      <c r="R422" s="25"/>
      <c r="S422" s="25"/>
      <c r="T422" s="25"/>
      <c r="U422" s="25"/>
    </row>
    <row r="423">
      <c r="C423" s="47"/>
      <c r="P423" s="25"/>
      <c r="Q423" s="25"/>
      <c r="R423" s="25"/>
      <c r="S423" s="25"/>
      <c r="T423" s="25"/>
      <c r="U423" s="25"/>
    </row>
    <row r="424">
      <c r="C424" s="47"/>
      <c r="P424" s="25"/>
      <c r="Q424" s="25"/>
      <c r="R424" s="25"/>
      <c r="S424" s="25"/>
      <c r="T424" s="25"/>
      <c r="U424" s="25"/>
    </row>
    <row r="425">
      <c r="C425" s="47"/>
      <c r="P425" s="25"/>
      <c r="Q425" s="25"/>
      <c r="R425" s="25"/>
      <c r="S425" s="25"/>
      <c r="T425" s="25"/>
      <c r="U425" s="25"/>
    </row>
    <row r="426">
      <c r="C426" s="47"/>
      <c r="P426" s="25"/>
      <c r="Q426" s="25"/>
      <c r="R426" s="25"/>
      <c r="S426" s="25"/>
      <c r="T426" s="25"/>
      <c r="U426" s="25"/>
    </row>
    <row r="427">
      <c r="C427" s="47"/>
      <c r="P427" s="25"/>
      <c r="Q427" s="25"/>
      <c r="R427" s="25"/>
      <c r="S427" s="25"/>
      <c r="T427" s="25"/>
      <c r="U427" s="25"/>
    </row>
    <row r="428">
      <c r="C428" s="47"/>
      <c r="P428" s="25"/>
      <c r="Q428" s="25"/>
      <c r="R428" s="25"/>
      <c r="S428" s="25"/>
      <c r="T428" s="25"/>
      <c r="U428" s="25"/>
    </row>
    <row r="429">
      <c r="C429" s="47"/>
      <c r="P429" s="25"/>
      <c r="Q429" s="25"/>
      <c r="R429" s="25"/>
      <c r="S429" s="25"/>
      <c r="T429" s="25"/>
      <c r="U429" s="25"/>
    </row>
    <row r="430">
      <c r="C430" s="47"/>
      <c r="P430" s="25"/>
      <c r="Q430" s="25"/>
      <c r="R430" s="25"/>
      <c r="S430" s="25"/>
      <c r="T430" s="25"/>
      <c r="U430" s="25"/>
    </row>
    <row r="431">
      <c r="C431" s="47"/>
      <c r="P431" s="25"/>
      <c r="Q431" s="25"/>
      <c r="R431" s="25"/>
      <c r="S431" s="25"/>
      <c r="T431" s="25"/>
      <c r="U431" s="25"/>
    </row>
    <row r="432">
      <c r="C432" s="47"/>
      <c r="P432" s="25"/>
      <c r="Q432" s="25"/>
      <c r="R432" s="25"/>
      <c r="S432" s="25"/>
      <c r="T432" s="25"/>
      <c r="U432" s="25"/>
    </row>
    <row r="433">
      <c r="C433" s="47"/>
      <c r="P433" s="25"/>
      <c r="Q433" s="25"/>
      <c r="R433" s="25"/>
      <c r="S433" s="25"/>
      <c r="T433" s="25"/>
      <c r="U433" s="25"/>
    </row>
    <row r="434">
      <c r="C434" s="47"/>
      <c r="P434" s="25"/>
      <c r="Q434" s="25"/>
      <c r="R434" s="25"/>
      <c r="S434" s="25"/>
      <c r="T434" s="25"/>
      <c r="U434" s="25"/>
    </row>
    <row r="435">
      <c r="C435" s="47"/>
      <c r="P435" s="25"/>
      <c r="Q435" s="25"/>
      <c r="R435" s="25"/>
      <c r="S435" s="25"/>
      <c r="T435" s="25"/>
      <c r="U435" s="25"/>
    </row>
    <row r="436">
      <c r="C436" s="47"/>
      <c r="P436" s="25"/>
      <c r="Q436" s="25"/>
      <c r="R436" s="25"/>
      <c r="S436" s="25"/>
      <c r="T436" s="25"/>
      <c r="U436" s="25"/>
    </row>
    <row r="437">
      <c r="C437" s="47"/>
      <c r="P437" s="25"/>
      <c r="Q437" s="25"/>
      <c r="R437" s="25"/>
      <c r="S437" s="25"/>
      <c r="T437" s="25"/>
      <c r="U437" s="25"/>
    </row>
    <row r="438">
      <c r="C438" s="47"/>
      <c r="P438" s="25"/>
      <c r="Q438" s="25"/>
      <c r="R438" s="25"/>
      <c r="S438" s="25"/>
      <c r="T438" s="25"/>
      <c r="U438" s="25"/>
    </row>
    <row r="439">
      <c r="C439" s="47"/>
      <c r="P439" s="25"/>
      <c r="Q439" s="25"/>
      <c r="R439" s="25"/>
      <c r="S439" s="25"/>
      <c r="T439" s="25"/>
      <c r="U439" s="25"/>
    </row>
    <row r="440">
      <c r="C440" s="47"/>
      <c r="P440" s="25"/>
      <c r="Q440" s="25"/>
      <c r="R440" s="25"/>
      <c r="S440" s="25"/>
      <c r="T440" s="25"/>
      <c r="U440" s="25"/>
    </row>
    <row r="441">
      <c r="C441" s="47"/>
      <c r="P441" s="25"/>
      <c r="Q441" s="25"/>
      <c r="R441" s="25"/>
      <c r="S441" s="25"/>
      <c r="T441" s="25"/>
      <c r="U441" s="25"/>
    </row>
    <row r="442">
      <c r="C442" s="47"/>
      <c r="P442" s="25"/>
      <c r="Q442" s="25"/>
      <c r="R442" s="25"/>
      <c r="S442" s="25"/>
      <c r="T442" s="25"/>
      <c r="U442" s="25"/>
    </row>
    <row r="443">
      <c r="C443" s="47"/>
      <c r="P443" s="25"/>
      <c r="Q443" s="25"/>
      <c r="R443" s="25"/>
      <c r="S443" s="25"/>
      <c r="T443" s="25"/>
      <c r="U443" s="25"/>
    </row>
    <row r="444">
      <c r="C444" s="47"/>
      <c r="P444" s="25"/>
      <c r="Q444" s="25"/>
      <c r="R444" s="25"/>
      <c r="S444" s="25"/>
      <c r="T444" s="25"/>
      <c r="U444" s="25"/>
    </row>
    <row r="445">
      <c r="C445" s="47"/>
      <c r="P445" s="25"/>
      <c r="Q445" s="25"/>
      <c r="R445" s="25"/>
      <c r="S445" s="25"/>
      <c r="T445" s="25"/>
      <c r="U445" s="25"/>
    </row>
    <row r="446">
      <c r="C446" s="47"/>
      <c r="P446" s="25"/>
      <c r="Q446" s="25"/>
      <c r="R446" s="25"/>
      <c r="S446" s="25"/>
      <c r="T446" s="25"/>
      <c r="U446" s="25"/>
    </row>
    <row r="447">
      <c r="C447" s="47"/>
      <c r="P447" s="25"/>
      <c r="Q447" s="25"/>
      <c r="R447" s="25"/>
      <c r="S447" s="25"/>
      <c r="T447" s="25"/>
      <c r="U447" s="25"/>
    </row>
    <row r="448">
      <c r="C448" s="47"/>
      <c r="P448" s="25"/>
      <c r="Q448" s="25"/>
      <c r="R448" s="25"/>
      <c r="S448" s="25"/>
      <c r="T448" s="25"/>
      <c r="U448" s="25"/>
    </row>
    <row r="449">
      <c r="C449" s="47"/>
      <c r="P449" s="25"/>
      <c r="Q449" s="25"/>
      <c r="R449" s="25"/>
      <c r="S449" s="25"/>
      <c r="T449" s="25"/>
      <c r="U449" s="25"/>
    </row>
    <row r="450">
      <c r="C450" s="47"/>
      <c r="P450" s="25"/>
      <c r="Q450" s="25"/>
      <c r="R450" s="25"/>
      <c r="S450" s="25"/>
      <c r="T450" s="25"/>
      <c r="U450" s="25"/>
    </row>
    <row r="451">
      <c r="C451" s="47"/>
      <c r="P451" s="25"/>
      <c r="Q451" s="25"/>
      <c r="R451" s="25"/>
      <c r="S451" s="25"/>
      <c r="T451" s="25"/>
      <c r="U451" s="25"/>
    </row>
    <row r="452">
      <c r="C452" s="47"/>
      <c r="P452" s="25"/>
      <c r="Q452" s="25"/>
      <c r="R452" s="25"/>
      <c r="S452" s="25"/>
      <c r="T452" s="25"/>
      <c r="U452" s="25"/>
    </row>
    <row r="453">
      <c r="C453" s="47"/>
      <c r="P453" s="25"/>
      <c r="Q453" s="25"/>
      <c r="R453" s="25"/>
      <c r="S453" s="25"/>
      <c r="T453" s="25"/>
      <c r="U453" s="25"/>
    </row>
    <row r="454">
      <c r="C454" s="47"/>
      <c r="P454" s="25"/>
      <c r="Q454" s="25"/>
      <c r="R454" s="25"/>
      <c r="S454" s="25"/>
      <c r="T454" s="25"/>
      <c r="U454" s="25"/>
    </row>
    <row r="455">
      <c r="C455" s="47"/>
      <c r="P455" s="25"/>
      <c r="Q455" s="25"/>
      <c r="R455" s="25"/>
      <c r="S455" s="25"/>
      <c r="T455" s="25"/>
      <c r="U455" s="25"/>
    </row>
    <row r="456">
      <c r="C456" s="47"/>
      <c r="P456" s="25"/>
      <c r="Q456" s="25"/>
      <c r="R456" s="25"/>
      <c r="S456" s="25"/>
      <c r="T456" s="25"/>
      <c r="U456" s="25"/>
    </row>
    <row r="457">
      <c r="C457" s="47"/>
      <c r="P457" s="25"/>
      <c r="Q457" s="25"/>
      <c r="R457" s="25"/>
      <c r="S457" s="25"/>
      <c r="T457" s="25"/>
      <c r="U457" s="25"/>
    </row>
    <row r="458">
      <c r="C458" s="47"/>
      <c r="P458" s="25"/>
      <c r="Q458" s="25"/>
      <c r="R458" s="25"/>
      <c r="S458" s="25"/>
      <c r="T458" s="25"/>
      <c r="U458" s="25"/>
    </row>
    <row r="459">
      <c r="C459" s="47"/>
      <c r="P459" s="25"/>
      <c r="Q459" s="25"/>
      <c r="R459" s="25"/>
      <c r="S459" s="25"/>
      <c r="T459" s="25"/>
      <c r="U459" s="25"/>
    </row>
    <row r="460">
      <c r="C460" s="47"/>
      <c r="P460" s="25"/>
      <c r="Q460" s="25"/>
      <c r="R460" s="25"/>
      <c r="S460" s="25"/>
      <c r="T460" s="25"/>
      <c r="U460" s="25"/>
    </row>
    <row r="461">
      <c r="C461" s="47"/>
      <c r="P461" s="25"/>
      <c r="Q461" s="25"/>
      <c r="R461" s="25"/>
      <c r="S461" s="25"/>
      <c r="T461" s="25"/>
      <c r="U461" s="25"/>
    </row>
    <row r="462">
      <c r="C462" s="47"/>
      <c r="P462" s="25"/>
      <c r="Q462" s="25"/>
      <c r="R462" s="25"/>
      <c r="S462" s="25"/>
      <c r="T462" s="25"/>
      <c r="U462" s="25"/>
    </row>
    <row r="463">
      <c r="C463" s="47"/>
      <c r="P463" s="25"/>
      <c r="Q463" s="25"/>
      <c r="R463" s="25"/>
      <c r="S463" s="25"/>
      <c r="T463" s="25"/>
      <c r="U463" s="25"/>
    </row>
    <row r="464">
      <c r="C464" s="47"/>
      <c r="P464" s="25"/>
      <c r="Q464" s="25"/>
      <c r="R464" s="25"/>
      <c r="S464" s="25"/>
      <c r="T464" s="25"/>
      <c r="U464" s="25"/>
    </row>
    <row r="465">
      <c r="C465" s="47"/>
      <c r="P465" s="25"/>
      <c r="Q465" s="25"/>
      <c r="R465" s="25"/>
      <c r="S465" s="25"/>
      <c r="T465" s="25"/>
      <c r="U465" s="25"/>
    </row>
    <row r="466">
      <c r="C466" s="47"/>
      <c r="P466" s="25"/>
      <c r="Q466" s="25"/>
      <c r="R466" s="25"/>
      <c r="S466" s="25"/>
      <c r="T466" s="25"/>
      <c r="U466" s="25"/>
    </row>
    <row r="467">
      <c r="C467" s="47"/>
      <c r="P467" s="25"/>
      <c r="Q467" s="25"/>
      <c r="R467" s="25"/>
      <c r="S467" s="25"/>
      <c r="T467" s="25"/>
      <c r="U467" s="25"/>
    </row>
    <row r="468">
      <c r="C468" s="47"/>
      <c r="P468" s="25"/>
      <c r="Q468" s="25"/>
      <c r="R468" s="25"/>
      <c r="S468" s="25"/>
      <c r="T468" s="25"/>
      <c r="U468" s="25"/>
    </row>
    <row r="469">
      <c r="C469" s="47"/>
      <c r="P469" s="25"/>
      <c r="Q469" s="25"/>
      <c r="R469" s="25"/>
      <c r="S469" s="25"/>
      <c r="T469" s="25"/>
      <c r="U469" s="25"/>
    </row>
    <row r="470">
      <c r="C470" s="47"/>
      <c r="P470" s="25"/>
      <c r="Q470" s="25"/>
      <c r="R470" s="25"/>
      <c r="S470" s="25"/>
      <c r="T470" s="25"/>
      <c r="U470" s="25"/>
    </row>
    <row r="471">
      <c r="C471" s="47"/>
      <c r="P471" s="25"/>
      <c r="Q471" s="25"/>
      <c r="R471" s="25"/>
      <c r="S471" s="25"/>
      <c r="T471" s="25"/>
      <c r="U471" s="25"/>
    </row>
    <row r="472">
      <c r="C472" s="47"/>
      <c r="P472" s="25"/>
      <c r="Q472" s="25"/>
      <c r="R472" s="25"/>
      <c r="S472" s="25"/>
      <c r="T472" s="25"/>
      <c r="U472" s="25"/>
    </row>
    <row r="473">
      <c r="C473" s="47"/>
      <c r="P473" s="25"/>
      <c r="Q473" s="25"/>
      <c r="R473" s="25"/>
      <c r="S473" s="25"/>
      <c r="T473" s="25"/>
      <c r="U473" s="25"/>
    </row>
    <row r="474">
      <c r="C474" s="47"/>
      <c r="P474" s="25"/>
      <c r="Q474" s="25"/>
      <c r="R474" s="25"/>
      <c r="S474" s="25"/>
      <c r="T474" s="25"/>
      <c r="U474" s="25"/>
    </row>
    <row r="475">
      <c r="C475" s="47"/>
      <c r="P475" s="25"/>
      <c r="Q475" s="25"/>
      <c r="R475" s="25"/>
      <c r="S475" s="25"/>
      <c r="T475" s="25"/>
      <c r="U475" s="25"/>
    </row>
    <row r="476">
      <c r="C476" s="47"/>
      <c r="P476" s="25"/>
      <c r="Q476" s="25"/>
      <c r="R476" s="25"/>
      <c r="S476" s="25"/>
      <c r="T476" s="25"/>
      <c r="U476" s="25"/>
    </row>
    <row r="477">
      <c r="C477" s="47"/>
      <c r="P477" s="25"/>
      <c r="Q477" s="25"/>
      <c r="R477" s="25"/>
      <c r="S477" s="25"/>
      <c r="T477" s="25"/>
      <c r="U477" s="25"/>
    </row>
    <row r="478">
      <c r="C478" s="47"/>
      <c r="P478" s="25"/>
      <c r="Q478" s="25"/>
      <c r="R478" s="25"/>
      <c r="S478" s="25"/>
      <c r="T478" s="25"/>
      <c r="U478" s="25"/>
    </row>
    <row r="479">
      <c r="C479" s="47"/>
      <c r="P479" s="25"/>
      <c r="Q479" s="25"/>
      <c r="R479" s="25"/>
      <c r="S479" s="25"/>
      <c r="T479" s="25"/>
      <c r="U479" s="25"/>
    </row>
    <row r="480">
      <c r="C480" s="47"/>
      <c r="P480" s="25"/>
      <c r="Q480" s="25"/>
      <c r="R480" s="25"/>
      <c r="S480" s="25"/>
      <c r="T480" s="25"/>
      <c r="U480" s="25"/>
    </row>
    <row r="481">
      <c r="C481" s="47"/>
      <c r="P481" s="25"/>
      <c r="Q481" s="25"/>
      <c r="R481" s="25"/>
      <c r="S481" s="25"/>
      <c r="T481" s="25"/>
      <c r="U481" s="25"/>
    </row>
    <row r="482">
      <c r="C482" s="47"/>
      <c r="P482" s="25"/>
      <c r="Q482" s="25"/>
      <c r="R482" s="25"/>
      <c r="S482" s="25"/>
      <c r="T482" s="25"/>
      <c r="U482" s="25"/>
    </row>
    <row r="483">
      <c r="C483" s="47"/>
      <c r="P483" s="25"/>
      <c r="Q483" s="25"/>
      <c r="R483" s="25"/>
      <c r="S483" s="25"/>
      <c r="T483" s="25"/>
      <c r="U483" s="25"/>
    </row>
    <row r="484">
      <c r="C484" s="47"/>
      <c r="P484" s="25"/>
      <c r="Q484" s="25"/>
      <c r="R484" s="25"/>
      <c r="S484" s="25"/>
      <c r="T484" s="25"/>
      <c r="U484" s="25"/>
    </row>
    <row r="485">
      <c r="C485" s="47"/>
      <c r="P485" s="25"/>
      <c r="Q485" s="25"/>
      <c r="R485" s="25"/>
      <c r="S485" s="25"/>
      <c r="T485" s="25"/>
      <c r="U485" s="25"/>
    </row>
    <row r="486">
      <c r="C486" s="47"/>
      <c r="P486" s="25"/>
      <c r="Q486" s="25"/>
      <c r="R486" s="25"/>
      <c r="S486" s="25"/>
      <c r="T486" s="25"/>
      <c r="U486" s="25"/>
    </row>
    <row r="487">
      <c r="C487" s="47"/>
      <c r="P487" s="25"/>
      <c r="Q487" s="25"/>
      <c r="R487" s="25"/>
      <c r="S487" s="25"/>
      <c r="T487" s="25"/>
      <c r="U487" s="25"/>
    </row>
    <row r="488">
      <c r="C488" s="47"/>
      <c r="P488" s="25"/>
      <c r="Q488" s="25"/>
      <c r="R488" s="25"/>
      <c r="S488" s="25"/>
      <c r="T488" s="25"/>
      <c r="U488" s="25"/>
    </row>
    <row r="489">
      <c r="C489" s="47"/>
      <c r="P489" s="25"/>
      <c r="Q489" s="25"/>
      <c r="R489" s="25"/>
      <c r="S489" s="25"/>
      <c r="T489" s="25"/>
      <c r="U489" s="25"/>
    </row>
    <row r="490">
      <c r="C490" s="47"/>
      <c r="P490" s="25"/>
      <c r="Q490" s="25"/>
      <c r="R490" s="25"/>
      <c r="S490" s="25"/>
      <c r="T490" s="25"/>
      <c r="U490" s="25"/>
    </row>
    <row r="491">
      <c r="C491" s="47"/>
      <c r="P491" s="25"/>
      <c r="Q491" s="25"/>
      <c r="R491" s="25"/>
      <c r="S491" s="25"/>
      <c r="T491" s="25"/>
      <c r="U491" s="25"/>
    </row>
    <row r="492">
      <c r="C492" s="47"/>
      <c r="P492" s="25"/>
      <c r="Q492" s="25"/>
      <c r="R492" s="25"/>
      <c r="S492" s="25"/>
      <c r="T492" s="25"/>
      <c r="U492" s="25"/>
    </row>
    <row r="493">
      <c r="C493" s="47"/>
      <c r="P493" s="25"/>
      <c r="Q493" s="25"/>
      <c r="R493" s="25"/>
      <c r="S493" s="25"/>
      <c r="T493" s="25"/>
      <c r="U493" s="25"/>
    </row>
    <row r="494">
      <c r="C494" s="47"/>
      <c r="P494" s="25"/>
      <c r="Q494" s="25"/>
      <c r="R494" s="25"/>
      <c r="S494" s="25"/>
      <c r="T494" s="25"/>
      <c r="U494" s="25"/>
    </row>
    <row r="495">
      <c r="C495" s="47"/>
      <c r="P495" s="25"/>
      <c r="Q495" s="25"/>
      <c r="R495" s="25"/>
      <c r="S495" s="25"/>
      <c r="T495" s="25"/>
      <c r="U495" s="25"/>
    </row>
    <row r="496">
      <c r="C496" s="47"/>
      <c r="P496" s="25"/>
      <c r="Q496" s="25"/>
      <c r="R496" s="25"/>
      <c r="S496" s="25"/>
      <c r="T496" s="25"/>
      <c r="U496" s="25"/>
    </row>
    <row r="497">
      <c r="C497" s="47"/>
      <c r="P497" s="25"/>
      <c r="Q497" s="25"/>
      <c r="R497" s="25"/>
      <c r="S497" s="25"/>
      <c r="T497" s="25"/>
      <c r="U497" s="25"/>
    </row>
    <row r="498">
      <c r="C498" s="47"/>
      <c r="P498" s="25"/>
      <c r="Q498" s="25"/>
      <c r="R498" s="25"/>
      <c r="S498" s="25"/>
      <c r="T498" s="25"/>
      <c r="U498" s="25"/>
    </row>
    <row r="499">
      <c r="C499" s="47"/>
      <c r="P499" s="25"/>
      <c r="Q499" s="25"/>
      <c r="R499" s="25"/>
      <c r="S499" s="25"/>
      <c r="T499" s="25"/>
      <c r="U499" s="25"/>
    </row>
    <row r="500">
      <c r="C500" s="47"/>
      <c r="P500" s="25"/>
      <c r="Q500" s="25"/>
      <c r="R500" s="25"/>
      <c r="S500" s="25"/>
      <c r="T500" s="25"/>
      <c r="U500" s="25"/>
    </row>
    <row r="501">
      <c r="C501" s="47"/>
      <c r="P501" s="25"/>
      <c r="Q501" s="25"/>
      <c r="R501" s="25"/>
      <c r="S501" s="25"/>
      <c r="T501" s="25"/>
      <c r="U501" s="25"/>
    </row>
    <row r="502">
      <c r="C502" s="47"/>
      <c r="P502" s="25"/>
      <c r="Q502" s="25"/>
      <c r="R502" s="25"/>
      <c r="S502" s="25"/>
      <c r="T502" s="25"/>
      <c r="U502" s="25"/>
    </row>
    <row r="503">
      <c r="C503" s="47"/>
      <c r="P503" s="25"/>
      <c r="Q503" s="25"/>
      <c r="R503" s="25"/>
      <c r="S503" s="25"/>
      <c r="T503" s="25"/>
      <c r="U503" s="25"/>
    </row>
    <row r="504">
      <c r="C504" s="47"/>
      <c r="P504" s="25"/>
      <c r="Q504" s="25"/>
      <c r="R504" s="25"/>
      <c r="S504" s="25"/>
      <c r="T504" s="25"/>
      <c r="U504" s="25"/>
    </row>
    <row r="505">
      <c r="C505" s="47"/>
      <c r="P505" s="25"/>
      <c r="Q505" s="25"/>
      <c r="R505" s="25"/>
      <c r="S505" s="25"/>
      <c r="T505" s="25"/>
      <c r="U505" s="25"/>
    </row>
    <row r="506">
      <c r="C506" s="47"/>
      <c r="P506" s="25"/>
      <c r="Q506" s="25"/>
      <c r="R506" s="25"/>
      <c r="S506" s="25"/>
      <c r="T506" s="25"/>
      <c r="U506" s="25"/>
    </row>
    <row r="507">
      <c r="C507" s="47"/>
      <c r="P507" s="25"/>
      <c r="Q507" s="25"/>
      <c r="R507" s="25"/>
      <c r="S507" s="25"/>
      <c r="T507" s="25"/>
      <c r="U507" s="25"/>
    </row>
    <row r="508">
      <c r="C508" s="47"/>
      <c r="P508" s="25"/>
      <c r="Q508" s="25"/>
      <c r="R508" s="25"/>
      <c r="S508" s="25"/>
      <c r="T508" s="25"/>
      <c r="U508" s="25"/>
    </row>
    <row r="509">
      <c r="C509" s="47"/>
      <c r="P509" s="25"/>
      <c r="Q509" s="25"/>
      <c r="R509" s="25"/>
      <c r="S509" s="25"/>
      <c r="T509" s="25"/>
      <c r="U509" s="25"/>
    </row>
    <row r="510">
      <c r="C510" s="47"/>
      <c r="P510" s="25"/>
      <c r="Q510" s="25"/>
      <c r="R510" s="25"/>
      <c r="S510" s="25"/>
      <c r="T510" s="25"/>
      <c r="U510" s="25"/>
    </row>
    <row r="511">
      <c r="C511" s="47"/>
      <c r="P511" s="25"/>
      <c r="Q511" s="25"/>
      <c r="R511" s="25"/>
      <c r="S511" s="25"/>
      <c r="T511" s="25"/>
      <c r="U511" s="25"/>
    </row>
    <row r="512">
      <c r="C512" s="47"/>
      <c r="P512" s="25"/>
      <c r="Q512" s="25"/>
      <c r="R512" s="25"/>
      <c r="S512" s="25"/>
      <c r="T512" s="25"/>
      <c r="U512" s="25"/>
    </row>
    <row r="513">
      <c r="C513" s="47"/>
      <c r="P513" s="25"/>
      <c r="Q513" s="25"/>
      <c r="R513" s="25"/>
      <c r="S513" s="25"/>
      <c r="T513" s="25"/>
      <c r="U513" s="25"/>
    </row>
    <row r="514">
      <c r="C514" s="47"/>
      <c r="P514" s="25"/>
      <c r="Q514" s="25"/>
      <c r="R514" s="25"/>
      <c r="S514" s="25"/>
      <c r="T514" s="25"/>
      <c r="U514" s="25"/>
    </row>
    <row r="515">
      <c r="C515" s="47"/>
      <c r="P515" s="25"/>
      <c r="Q515" s="25"/>
      <c r="R515" s="25"/>
      <c r="S515" s="25"/>
      <c r="T515" s="25"/>
      <c r="U515" s="25"/>
    </row>
    <row r="516">
      <c r="C516" s="47"/>
      <c r="P516" s="25"/>
      <c r="Q516" s="25"/>
      <c r="R516" s="25"/>
      <c r="S516" s="25"/>
      <c r="T516" s="25"/>
      <c r="U516" s="25"/>
    </row>
    <row r="517">
      <c r="C517" s="47"/>
      <c r="P517" s="25"/>
      <c r="Q517" s="25"/>
      <c r="R517" s="25"/>
      <c r="S517" s="25"/>
      <c r="T517" s="25"/>
      <c r="U517" s="25"/>
    </row>
    <row r="518">
      <c r="C518" s="47"/>
      <c r="P518" s="25"/>
      <c r="Q518" s="25"/>
      <c r="R518" s="25"/>
      <c r="S518" s="25"/>
      <c r="T518" s="25"/>
      <c r="U518" s="25"/>
    </row>
    <row r="519">
      <c r="C519" s="47"/>
      <c r="P519" s="25"/>
      <c r="Q519" s="25"/>
      <c r="R519" s="25"/>
      <c r="S519" s="25"/>
      <c r="T519" s="25"/>
      <c r="U519" s="25"/>
    </row>
    <row r="520">
      <c r="C520" s="47"/>
      <c r="P520" s="25"/>
      <c r="Q520" s="25"/>
      <c r="R520" s="25"/>
      <c r="S520" s="25"/>
      <c r="T520" s="25"/>
      <c r="U520" s="25"/>
    </row>
    <row r="521">
      <c r="C521" s="47"/>
      <c r="P521" s="25"/>
      <c r="Q521" s="25"/>
      <c r="R521" s="25"/>
      <c r="S521" s="25"/>
      <c r="T521" s="25"/>
      <c r="U521" s="25"/>
    </row>
    <row r="522">
      <c r="C522" s="47"/>
      <c r="P522" s="25"/>
      <c r="Q522" s="25"/>
      <c r="R522" s="25"/>
      <c r="S522" s="25"/>
      <c r="T522" s="25"/>
      <c r="U522" s="25"/>
    </row>
    <row r="523">
      <c r="C523" s="47"/>
      <c r="P523" s="25"/>
      <c r="Q523" s="25"/>
      <c r="R523" s="25"/>
      <c r="S523" s="25"/>
      <c r="T523" s="25"/>
      <c r="U523" s="25"/>
    </row>
    <row r="524">
      <c r="C524" s="47"/>
      <c r="P524" s="25"/>
      <c r="Q524" s="25"/>
      <c r="R524" s="25"/>
      <c r="S524" s="25"/>
      <c r="T524" s="25"/>
      <c r="U524" s="25"/>
    </row>
    <row r="525">
      <c r="C525" s="47"/>
      <c r="P525" s="25"/>
      <c r="Q525" s="25"/>
      <c r="R525" s="25"/>
      <c r="S525" s="25"/>
      <c r="T525" s="25"/>
      <c r="U525" s="25"/>
    </row>
    <row r="526">
      <c r="C526" s="47"/>
      <c r="P526" s="25"/>
      <c r="Q526" s="25"/>
      <c r="R526" s="25"/>
      <c r="S526" s="25"/>
      <c r="T526" s="25"/>
      <c r="U526" s="25"/>
    </row>
    <row r="527">
      <c r="C527" s="47"/>
      <c r="P527" s="25"/>
      <c r="Q527" s="25"/>
      <c r="R527" s="25"/>
      <c r="S527" s="25"/>
      <c r="T527" s="25"/>
      <c r="U527" s="25"/>
    </row>
    <row r="528">
      <c r="C528" s="47"/>
      <c r="P528" s="25"/>
      <c r="Q528" s="25"/>
      <c r="R528" s="25"/>
      <c r="S528" s="25"/>
      <c r="T528" s="25"/>
      <c r="U528" s="25"/>
    </row>
    <row r="529">
      <c r="C529" s="47"/>
      <c r="P529" s="25"/>
      <c r="Q529" s="25"/>
      <c r="R529" s="25"/>
      <c r="S529" s="25"/>
      <c r="T529" s="25"/>
      <c r="U529" s="25"/>
    </row>
    <row r="530">
      <c r="C530" s="47"/>
      <c r="P530" s="25"/>
      <c r="Q530" s="25"/>
      <c r="R530" s="25"/>
      <c r="S530" s="25"/>
      <c r="T530" s="25"/>
      <c r="U530" s="25"/>
    </row>
    <row r="531">
      <c r="C531" s="47"/>
      <c r="P531" s="25"/>
      <c r="Q531" s="25"/>
      <c r="R531" s="25"/>
      <c r="S531" s="25"/>
      <c r="T531" s="25"/>
      <c r="U531" s="25"/>
    </row>
    <row r="532">
      <c r="C532" s="47"/>
      <c r="P532" s="25"/>
      <c r="Q532" s="25"/>
      <c r="R532" s="25"/>
      <c r="S532" s="25"/>
      <c r="T532" s="25"/>
      <c r="U532" s="25"/>
    </row>
    <row r="533">
      <c r="C533" s="47"/>
      <c r="P533" s="25"/>
      <c r="Q533" s="25"/>
      <c r="R533" s="25"/>
      <c r="S533" s="25"/>
      <c r="T533" s="25"/>
      <c r="U533" s="25"/>
    </row>
    <row r="534">
      <c r="C534" s="47"/>
      <c r="P534" s="25"/>
      <c r="Q534" s="25"/>
      <c r="R534" s="25"/>
      <c r="S534" s="25"/>
      <c r="T534" s="25"/>
      <c r="U534" s="25"/>
    </row>
    <row r="535">
      <c r="C535" s="47"/>
      <c r="P535" s="25"/>
      <c r="Q535" s="25"/>
      <c r="R535" s="25"/>
      <c r="S535" s="25"/>
      <c r="T535" s="25"/>
      <c r="U535" s="25"/>
    </row>
    <row r="536">
      <c r="C536" s="47"/>
      <c r="P536" s="25"/>
      <c r="Q536" s="25"/>
      <c r="R536" s="25"/>
      <c r="S536" s="25"/>
      <c r="T536" s="25"/>
      <c r="U536" s="25"/>
    </row>
    <row r="537">
      <c r="C537" s="47"/>
      <c r="P537" s="25"/>
      <c r="Q537" s="25"/>
      <c r="R537" s="25"/>
      <c r="S537" s="25"/>
      <c r="T537" s="25"/>
      <c r="U537" s="25"/>
    </row>
    <row r="538">
      <c r="C538" s="47"/>
      <c r="P538" s="25"/>
      <c r="Q538" s="25"/>
      <c r="R538" s="25"/>
      <c r="S538" s="25"/>
      <c r="T538" s="25"/>
      <c r="U538" s="25"/>
    </row>
    <row r="539">
      <c r="C539" s="47"/>
      <c r="P539" s="25"/>
      <c r="Q539" s="25"/>
      <c r="R539" s="25"/>
      <c r="S539" s="25"/>
      <c r="T539" s="25"/>
      <c r="U539" s="25"/>
    </row>
    <row r="540">
      <c r="C540" s="47"/>
      <c r="P540" s="25"/>
      <c r="Q540" s="25"/>
      <c r="R540" s="25"/>
      <c r="S540" s="25"/>
      <c r="T540" s="25"/>
      <c r="U540" s="25"/>
    </row>
    <row r="541">
      <c r="C541" s="47"/>
      <c r="P541" s="25"/>
      <c r="Q541" s="25"/>
      <c r="R541" s="25"/>
      <c r="S541" s="25"/>
      <c r="T541" s="25"/>
      <c r="U541" s="25"/>
    </row>
    <row r="542">
      <c r="C542" s="47"/>
      <c r="P542" s="25"/>
      <c r="Q542" s="25"/>
      <c r="R542" s="25"/>
      <c r="S542" s="25"/>
      <c r="T542" s="25"/>
      <c r="U542" s="25"/>
    </row>
    <row r="543">
      <c r="C543" s="47"/>
      <c r="P543" s="25"/>
      <c r="Q543" s="25"/>
      <c r="R543" s="25"/>
      <c r="S543" s="25"/>
      <c r="T543" s="25"/>
      <c r="U543" s="25"/>
    </row>
    <row r="544">
      <c r="C544" s="47"/>
      <c r="P544" s="25"/>
      <c r="Q544" s="25"/>
      <c r="R544" s="25"/>
      <c r="S544" s="25"/>
      <c r="T544" s="25"/>
      <c r="U544" s="25"/>
    </row>
    <row r="545">
      <c r="C545" s="47"/>
      <c r="P545" s="25"/>
      <c r="Q545" s="25"/>
      <c r="R545" s="25"/>
      <c r="S545" s="25"/>
      <c r="T545" s="25"/>
      <c r="U545" s="25"/>
    </row>
    <row r="546">
      <c r="C546" s="47"/>
      <c r="P546" s="25"/>
      <c r="Q546" s="25"/>
      <c r="R546" s="25"/>
      <c r="S546" s="25"/>
      <c r="T546" s="25"/>
      <c r="U546" s="25"/>
    </row>
    <row r="547">
      <c r="C547" s="47"/>
      <c r="P547" s="25"/>
      <c r="Q547" s="25"/>
      <c r="R547" s="25"/>
      <c r="S547" s="25"/>
      <c r="T547" s="25"/>
      <c r="U547" s="25"/>
    </row>
    <row r="548">
      <c r="C548" s="47"/>
      <c r="P548" s="25"/>
      <c r="Q548" s="25"/>
      <c r="R548" s="25"/>
      <c r="S548" s="25"/>
      <c r="T548" s="25"/>
      <c r="U548" s="25"/>
    </row>
    <row r="549">
      <c r="C549" s="47"/>
      <c r="P549" s="25"/>
      <c r="Q549" s="25"/>
      <c r="R549" s="25"/>
      <c r="S549" s="25"/>
      <c r="T549" s="25"/>
      <c r="U549" s="25"/>
    </row>
    <row r="550">
      <c r="C550" s="47"/>
      <c r="P550" s="25"/>
      <c r="Q550" s="25"/>
      <c r="R550" s="25"/>
      <c r="S550" s="25"/>
      <c r="T550" s="25"/>
      <c r="U550" s="25"/>
    </row>
    <row r="551">
      <c r="C551" s="47"/>
      <c r="P551" s="25"/>
      <c r="Q551" s="25"/>
      <c r="R551" s="25"/>
      <c r="S551" s="25"/>
      <c r="T551" s="25"/>
      <c r="U551" s="25"/>
    </row>
    <row r="552">
      <c r="C552" s="47"/>
      <c r="P552" s="25"/>
      <c r="Q552" s="25"/>
      <c r="R552" s="25"/>
      <c r="S552" s="25"/>
      <c r="T552" s="25"/>
      <c r="U552" s="25"/>
    </row>
    <row r="553">
      <c r="C553" s="47"/>
      <c r="P553" s="25"/>
      <c r="Q553" s="25"/>
      <c r="R553" s="25"/>
      <c r="S553" s="25"/>
      <c r="T553" s="25"/>
      <c r="U553" s="25"/>
    </row>
    <row r="554">
      <c r="C554" s="47"/>
      <c r="P554" s="25"/>
      <c r="Q554" s="25"/>
      <c r="R554" s="25"/>
      <c r="S554" s="25"/>
      <c r="T554" s="25"/>
      <c r="U554" s="25"/>
    </row>
    <row r="555">
      <c r="C555" s="47"/>
      <c r="P555" s="25"/>
      <c r="Q555" s="25"/>
      <c r="R555" s="25"/>
      <c r="S555" s="25"/>
      <c r="T555" s="25"/>
      <c r="U555" s="25"/>
    </row>
    <row r="556">
      <c r="C556" s="47"/>
      <c r="P556" s="25"/>
      <c r="Q556" s="25"/>
      <c r="R556" s="25"/>
      <c r="S556" s="25"/>
      <c r="T556" s="25"/>
      <c r="U556" s="25"/>
    </row>
    <row r="557">
      <c r="C557" s="47"/>
      <c r="P557" s="25"/>
      <c r="Q557" s="25"/>
      <c r="R557" s="25"/>
      <c r="S557" s="25"/>
      <c r="T557" s="25"/>
      <c r="U557" s="25"/>
    </row>
    <row r="558">
      <c r="C558" s="47"/>
      <c r="P558" s="25"/>
      <c r="Q558" s="25"/>
      <c r="R558" s="25"/>
      <c r="S558" s="25"/>
      <c r="T558" s="25"/>
      <c r="U558" s="25"/>
    </row>
    <row r="559">
      <c r="C559" s="47"/>
      <c r="P559" s="25"/>
      <c r="Q559" s="25"/>
      <c r="R559" s="25"/>
      <c r="S559" s="25"/>
      <c r="T559" s="25"/>
      <c r="U559" s="25"/>
    </row>
    <row r="560">
      <c r="C560" s="47"/>
      <c r="P560" s="25"/>
      <c r="Q560" s="25"/>
      <c r="R560" s="25"/>
      <c r="S560" s="25"/>
      <c r="T560" s="25"/>
      <c r="U560" s="25"/>
    </row>
    <row r="561">
      <c r="C561" s="47"/>
      <c r="P561" s="25"/>
      <c r="Q561" s="25"/>
      <c r="R561" s="25"/>
      <c r="S561" s="25"/>
      <c r="T561" s="25"/>
      <c r="U561" s="25"/>
    </row>
    <row r="562">
      <c r="C562" s="47"/>
      <c r="P562" s="25"/>
      <c r="Q562" s="25"/>
      <c r="R562" s="25"/>
      <c r="S562" s="25"/>
      <c r="T562" s="25"/>
      <c r="U562" s="25"/>
    </row>
    <row r="563">
      <c r="C563" s="47"/>
      <c r="P563" s="25"/>
      <c r="Q563" s="25"/>
      <c r="R563" s="25"/>
      <c r="S563" s="25"/>
      <c r="T563" s="25"/>
      <c r="U563" s="25"/>
    </row>
    <row r="564">
      <c r="C564" s="47"/>
      <c r="P564" s="25"/>
      <c r="Q564" s="25"/>
      <c r="R564" s="25"/>
      <c r="S564" s="25"/>
      <c r="T564" s="25"/>
      <c r="U564" s="25"/>
    </row>
    <row r="565">
      <c r="C565" s="47"/>
      <c r="P565" s="25"/>
      <c r="Q565" s="25"/>
      <c r="R565" s="25"/>
      <c r="S565" s="25"/>
      <c r="T565" s="25"/>
      <c r="U565" s="25"/>
    </row>
    <row r="566">
      <c r="C566" s="47"/>
      <c r="P566" s="25"/>
      <c r="Q566" s="25"/>
      <c r="R566" s="25"/>
      <c r="S566" s="25"/>
      <c r="T566" s="25"/>
      <c r="U566" s="25"/>
    </row>
    <row r="567">
      <c r="C567" s="47"/>
      <c r="P567" s="25"/>
      <c r="Q567" s="25"/>
      <c r="R567" s="25"/>
      <c r="S567" s="25"/>
      <c r="T567" s="25"/>
      <c r="U567" s="25"/>
    </row>
    <row r="568">
      <c r="C568" s="47"/>
      <c r="P568" s="25"/>
      <c r="Q568" s="25"/>
      <c r="R568" s="25"/>
      <c r="S568" s="25"/>
      <c r="T568" s="25"/>
      <c r="U568" s="25"/>
    </row>
    <row r="569">
      <c r="C569" s="47"/>
      <c r="P569" s="25"/>
      <c r="Q569" s="25"/>
      <c r="R569" s="25"/>
      <c r="S569" s="25"/>
      <c r="T569" s="25"/>
      <c r="U569" s="25"/>
    </row>
    <row r="570">
      <c r="C570" s="47"/>
      <c r="P570" s="25"/>
      <c r="Q570" s="25"/>
      <c r="R570" s="25"/>
      <c r="S570" s="25"/>
      <c r="T570" s="25"/>
      <c r="U570" s="25"/>
    </row>
    <row r="571">
      <c r="C571" s="47"/>
      <c r="P571" s="25"/>
      <c r="Q571" s="25"/>
      <c r="R571" s="25"/>
      <c r="S571" s="25"/>
      <c r="T571" s="25"/>
      <c r="U571" s="25"/>
    </row>
    <row r="572">
      <c r="C572" s="47"/>
      <c r="P572" s="25"/>
      <c r="Q572" s="25"/>
      <c r="R572" s="25"/>
      <c r="S572" s="25"/>
      <c r="T572" s="25"/>
      <c r="U572" s="25"/>
    </row>
    <row r="573">
      <c r="C573" s="47"/>
      <c r="P573" s="25"/>
      <c r="Q573" s="25"/>
      <c r="R573" s="25"/>
      <c r="S573" s="25"/>
      <c r="T573" s="25"/>
      <c r="U573" s="25"/>
    </row>
    <row r="574">
      <c r="C574" s="47"/>
      <c r="P574" s="25"/>
      <c r="Q574" s="25"/>
      <c r="R574" s="25"/>
      <c r="S574" s="25"/>
      <c r="T574" s="25"/>
      <c r="U574" s="25"/>
    </row>
    <row r="575">
      <c r="C575" s="47"/>
      <c r="P575" s="25"/>
      <c r="Q575" s="25"/>
      <c r="R575" s="25"/>
      <c r="S575" s="25"/>
      <c r="T575" s="25"/>
      <c r="U575" s="25"/>
    </row>
    <row r="576">
      <c r="C576" s="47"/>
      <c r="P576" s="25"/>
      <c r="Q576" s="25"/>
      <c r="R576" s="25"/>
      <c r="S576" s="25"/>
      <c r="T576" s="25"/>
      <c r="U576" s="25"/>
    </row>
    <row r="577">
      <c r="C577" s="47"/>
      <c r="P577" s="25"/>
      <c r="Q577" s="25"/>
      <c r="R577" s="25"/>
      <c r="S577" s="25"/>
      <c r="T577" s="25"/>
      <c r="U577" s="25"/>
    </row>
    <row r="578">
      <c r="C578" s="47"/>
      <c r="P578" s="25"/>
      <c r="Q578" s="25"/>
      <c r="R578" s="25"/>
      <c r="S578" s="25"/>
      <c r="T578" s="25"/>
      <c r="U578" s="25"/>
    </row>
    <row r="579">
      <c r="C579" s="47"/>
      <c r="P579" s="25"/>
      <c r="Q579" s="25"/>
      <c r="R579" s="25"/>
      <c r="S579" s="25"/>
      <c r="T579" s="25"/>
      <c r="U579" s="25"/>
    </row>
    <row r="580">
      <c r="C580" s="47"/>
      <c r="P580" s="25"/>
      <c r="Q580" s="25"/>
      <c r="R580" s="25"/>
      <c r="S580" s="25"/>
      <c r="T580" s="25"/>
      <c r="U580" s="25"/>
    </row>
    <row r="581">
      <c r="C581" s="47"/>
      <c r="P581" s="25"/>
      <c r="Q581" s="25"/>
      <c r="R581" s="25"/>
      <c r="S581" s="25"/>
      <c r="T581" s="25"/>
      <c r="U581" s="25"/>
    </row>
    <row r="582">
      <c r="C582" s="47"/>
      <c r="P582" s="25"/>
      <c r="Q582" s="25"/>
      <c r="R582" s="25"/>
      <c r="S582" s="25"/>
      <c r="T582" s="25"/>
      <c r="U582" s="25"/>
    </row>
    <row r="583">
      <c r="C583" s="47"/>
      <c r="P583" s="25"/>
      <c r="Q583" s="25"/>
      <c r="R583" s="25"/>
      <c r="S583" s="25"/>
      <c r="T583" s="25"/>
      <c r="U583" s="25"/>
    </row>
    <row r="584">
      <c r="C584" s="47"/>
      <c r="P584" s="25"/>
      <c r="Q584" s="25"/>
      <c r="R584" s="25"/>
      <c r="S584" s="25"/>
      <c r="T584" s="25"/>
      <c r="U584" s="25"/>
    </row>
    <row r="585">
      <c r="C585" s="47"/>
      <c r="P585" s="25"/>
      <c r="Q585" s="25"/>
      <c r="R585" s="25"/>
      <c r="S585" s="25"/>
      <c r="T585" s="25"/>
      <c r="U585" s="25"/>
    </row>
    <row r="586">
      <c r="C586" s="47"/>
      <c r="P586" s="25"/>
      <c r="Q586" s="25"/>
      <c r="R586" s="25"/>
      <c r="S586" s="25"/>
      <c r="T586" s="25"/>
      <c r="U586" s="25"/>
    </row>
    <row r="587">
      <c r="C587" s="47"/>
      <c r="P587" s="25"/>
      <c r="Q587" s="25"/>
      <c r="R587" s="25"/>
      <c r="S587" s="25"/>
      <c r="T587" s="25"/>
      <c r="U587" s="25"/>
    </row>
    <row r="588">
      <c r="C588" s="47"/>
      <c r="P588" s="25"/>
      <c r="Q588" s="25"/>
      <c r="R588" s="25"/>
      <c r="S588" s="25"/>
      <c r="T588" s="25"/>
      <c r="U588" s="25"/>
    </row>
    <row r="589">
      <c r="C589" s="47"/>
      <c r="P589" s="25"/>
      <c r="Q589" s="25"/>
      <c r="R589" s="25"/>
      <c r="S589" s="25"/>
      <c r="T589" s="25"/>
      <c r="U589" s="25"/>
    </row>
    <row r="590">
      <c r="C590" s="47"/>
      <c r="P590" s="25"/>
      <c r="Q590" s="25"/>
      <c r="R590" s="25"/>
      <c r="S590" s="25"/>
      <c r="T590" s="25"/>
      <c r="U590" s="25"/>
    </row>
    <row r="591">
      <c r="C591" s="47"/>
      <c r="P591" s="25"/>
      <c r="Q591" s="25"/>
      <c r="R591" s="25"/>
      <c r="S591" s="25"/>
      <c r="T591" s="25"/>
      <c r="U591" s="25"/>
    </row>
    <row r="592">
      <c r="C592" s="47"/>
      <c r="P592" s="25"/>
      <c r="Q592" s="25"/>
      <c r="R592" s="25"/>
      <c r="S592" s="25"/>
      <c r="T592" s="25"/>
      <c r="U592" s="25"/>
    </row>
    <row r="593">
      <c r="C593" s="47"/>
      <c r="P593" s="25"/>
      <c r="Q593" s="25"/>
      <c r="R593" s="25"/>
      <c r="S593" s="25"/>
      <c r="T593" s="25"/>
      <c r="U593" s="25"/>
    </row>
    <row r="594">
      <c r="C594" s="47"/>
      <c r="P594" s="25"/>
      <c r="Q594" s="25"/>
      <c r="R594" s="25"/>
      <c r="S594" s="25"/>
      <c r="T594" s="25"/>
      <c r="U594" s="25"/>
    </row>
    <row r="595">
      <c r="C595" s="47"/>
      <c r="P595" s="25"/>
      <c r="Q595" s="25"/>
      <c r="R595" s="25"/>
      <c r="S595" s="25"/>
      <c r="T595" s="25"/>
      <c r="U595" s="25"/>
    </row>
    <row r="596">
      <c r="C596" s="47"/>
      <c r="P596" s="25"/>
      <c r="Q596" s="25"/>
      <c r="R596" s="25"/>
      <c r="S596" s="25"/>
      <c r="T596" s="25"/>
      <c r="U596" s="25"/>
    </row>
    <row r="597">
      <c r="C597" s="47"/>
      <c r="P597" s="25"/>
      <c r="Q597" s="25"/>
      <c r="R597" s="25"/>
      <c r="S597" s="25"/>
      <c r="T597" s="25"/>
      <c r="U597" s="25"/>
    </row>
    <row r="598">
      <c r="C598" s="47"/>
      <c r="P598" s="25"/>
      <c r="Q598" s="25"/>
      <c r="R598" s="25"/>
      <c r="S598" s="25"/>
      <c r="T598" s="25"/>
      <c r="U598" s="25"/>
    </row>
    <row r="599">
      <c r="C599" s="47"/>
      <c r="P599" s="25"/>
      <c r="Q599" s="25"/>
      <c r="R599" s="25"/>
      <c r="S599" s="25"/>
      <c r="T599" s="25"/>
      <c r="U599" s="25"/>
    </row>
    <row r="600">
      <c r="C600" s="47"/>
      <c r="P600" s="25"/>
      <c r="Q600" s="25"/>
      <c r="R600" s="25"/>
      <c r="S600" s="25"/>
      <c r="T600" s="25"/>
      <c r="U600" s="25"/>
    </row>
    <row r="601">
      <c r="C601" s="47"/>
      <c r="P601" s="25"/>
      <c r="Q601" s="25"/>
      <c r="R601" s="25"/>
      <c r="S601" s="25"/>
      <c r="T601" s="25"/>
      <c r="U601" s="25"/>
    </row>
    <row r="602">
      <c r="C602" s="47"/>
      <c r="P602" s="25"/>
      <c r="Q602" s="25"/>
      <c r="R602" s="25"/>
      <c r="S602" s="25"/>
      <c r="T602" s="25"/>
      <c r="U602" s="25"/>
    </row>
    <row r="603">
      <c r="C603" s="47"/>
      <c r="P603" s="25"/>
      <c r="Q603" s="25"/>
      <c r="R603" s="25"/>
      <c r="S603" s="25"/>
      <c r="T603" s="25"/>
      <c r="U603" s="25"/>
    </row>
    <row r="604">
      <c r="C604" s="47"/>
      <c r="P604" s="25"/>
      <c r="Q604" s="25"/>
      <c r="R604" s="25"/>
      <c r="S604" s="25"/>
      <c r="T604" s="25"/>
      <c r="U604" s="25"/>
    </row>
    <row r="605">
      <c r="C605" s="47"/>
      <c r="P605" s="25"/>
      <c r="Q605" s="25"/>
      <c r="R605" s="25"/>
      <c r="S605" s="25"/>
      <c r="T605" s="25"/>
      <c r="U605" s="25"/>
    </row>
    <row r="606">
      <c r="C606" s="47"/>
      <c r="P606" s="25"/>
      <c r="Q606" s="25"/>
      <c r="R606" s="25"/>
      <c r="S606" s="25"/>
      <c r="T606" s="25"/>
      <c r="U606" s="25"/>
    </row>
    <row r="607">
      <c r="C607" s="47"/>
      <c r="P607" s="25"/>
      <c r="Q607" s="25"/>
      <c r="R607" s="25"/>
      <c r="S607" s="25"/>
      <c r="T607" s="25"/>
      <c r="U607" s="25"/>
    </row>
    <row r="608">
      <c r="C608" s="47"/>
      <c r="P608" s="25"/>
      <c r="Q608" s="25"/>
      <c r="R608" s="25"/>
      <c r="S608" s="25"/>
      <c r="T608" s="25"/>
      <c r="U608" s="25"/>
    </row>
    <row r="609">
      <c r="C609" s="47"/>
      <c r="P609" s="25"/>
      <c r="Q609" s="25"/>
      <c r="R609" s="25"/>
      <c r="S609" s="25"/>
      <c r="T609" s="25"/>
      <c r="U609" s="25"/>
    </row>
    <row r="610">
      <c r="C610" s="47"/>
      <c r="P610" s="25"/>
      <c r="Q610" s="25"/>
      <c r="R610" s="25"/>
      <c r="S610" s="25"/>
      <c r="T610" s="25"/>
      <c r="U610" s="25"/>
    </row>
    <row r="611">
      <c r="C611" s="47"/>
      <c r="P611" s="25"/>
      <c r="Q611" s="25"/>
      <c r="R611" s="25"/>
      <c r="S611" s="25"/>
      <c r="T611" s="25"/>
      <c r="U611" s="25"/>
    </row>
    <row r="612">
      <c r="C612" s="47"/>
      <c r="P612" s="25"/>
      <c r="Q612" s="25"/>
      <c r="R612" s="25"/>
      <c r="S612" s="25"/>
      <c r="T612" s="25"/>
      <c r="U612" s="25"/>
    </row>
    <row r="613">
      <c r="C613" s="47"/>
      <c r="P613" s="25"/>
      <c r="Q613" s="25"/>
      <c r="R613" s="25"/>
      <c r="S613" s="25"/>
      <c r="T613" s="25"/>
      <c r="U613" s="25"/>
    </row>
    <row r="614">
      <c r="C614" s="47"/>
      <c r="P614" s="25"/>
      <c r="Q614" s="25"/>
      <c r="R614" s="25"/>
      <c r="S614" s="25"/>
      <c r="T614" s="25"/>
      <c r="U614" s="25"/>
    </row>
    <row r="615">
      <c r="C615" s="47"/>
      <c r="P615" s="25"/>
      <c r="Q615" s="25"/>
      <c r="R615" s="25"/>
      <c r="S615" s="25"/>
      <c r="T615" s="25"/>
      <c r="U615" s="25"/>
    </row>
    <row r="616">
      <c r="C616" s="47"/>
      <c r="P616" s="25"/>
      <c r="Q616" s="25"/>
      <c r="R616" s="25"/>
      <c r="S616" s="25"/>
      <c r="T616" s="25"/>
      <c r="U616" s="25"/>
    </row>
    <row r="617">
      <c r="C617" s="47"/>
      <c r="P617" s="25"/>
      <c r="Q617" s="25"/>
      <c r="R617" s="25"/>
      <c r="S617" s="25"/>
      <c r="T617" s="25"/>
      <c r="U617" s="25"/>
    </row>
    <row r="618">
      <c r="C618" s="47"/>
      <c r="P618" s="25"/>
      <c r="Q618" s="25"/>
      <c r="R618" s="25"/>
      <c r="S618" s="25"/>
      <c r="T618" s="25"/>
      <c r="U618" s="25"/>
    </row>
    <row r="619">
      <c r="C619" s="47"/>
      <c r="P619" s="25"/>
      <c r="Q619" s="25"/>
      <c r="R619" s="25"/>
      <c r="S619" s="25"/>
      <c r="T619" s="25"/>
      <c r="U619" s="25"/>
    </row>
    <row r="620">
      <c r="C620" s="47"/>
      <c r="P620" s="25"/>
      <c r="Q620" s="25"/>
      <c r="R620" s="25"/>
      <c r="S620" s="25"/>
      <c r="T620" s="25"/>
      <c r="U620" s="25"/>
    </row>
    <row r="621">
      <c r="C621" s="47"/>
      <c r="P621" s="25"/>
      <c r="Q621" s="25"/>
      <c r="R621" s="25"/>
      <c r="S621" s="25"/>
      <c r="T621" s="25"/>
      <c r="U621" s="25"/>
    </row>
    <row r="622">
      <c r="C622" s="47"/>
      <c r="P622" s="25"/>
      <c r="Q622" s="25"/>
      <c r="R622" s="25"/>
      <c r="S622" s="25"/>
      <c r="T622" s="25"/>
      <c r="U622" s="25"/>
    </row>
    <row r="623">
      <c r="C623" s="47"/>
      <c r="P623" s="25"/>
      <c r="Q623" s="25"/>
      <c r="R623" s="25"/>
      <c r="S623" s="25"/>
      <c r="T623" s="25"/>
      <c r="U623" s="25"/>
    </row>
    <row r="624">
      <c r="C624" s="47"/>
      <c r="P624" s="25"/>
      <c r="Q624" s="25"/>
      <c r="R624" s="25"/>
      <c r="S624" s="25"/>
      <c r="T624" s="25"/>
      <c r="U624" s="25"/>
    </row>
    <row r="625">
      <c r="C625" s="47"/>
      <c r="P625" s="25"/>
      <c r="Q625" s="25"/>
      <c r="R625" s="25"/>
      <c r="S625" s="25"/>
      <c r="T625" s="25"/>
      <c r="U625" s="25"/>
    </row>
    <row r="626">
      <c r="C626" s="47"/>
      <c r="P626" s="25"/>
      <c r="Q626" s="25"/>
      <c r="R626" s="25"/>
      <c r="S626" s="25"/>
      <c r="T626" s="25"/>
      <c r="U626" s="25"/>
    </row>
    <row r="627">
      <c r="C627" s="47"/>
      <c r="P627" s="25"/>
      <c r="Q627" s="25"/>
      <c r="R627" s="25"/>
      <c r="S627" s="25"/>
      <c r="T627" s="25"/>
      <c r="U627" s="25"/>
    </row>
    <row r="628">
      <c r="C628" s="47"/>
      <c r="P628" s="25"/>
      <c r="Q628" s="25"/>
      <c r="R628" s="25"/>
      <c r="S628" s="25"/>
      <c r="T628" s="25"/>
      <c r="U628" s="25"/>
    </row>
    <row r="629">
      <c r="C629" s="47"/>
      <c r="P629" s="25"/>
      <c r="Q629" s="25"/>
      <c r="R629" s="25"/>
      <c r="S629" s="25"/>
      <c r="T629" s="25"/>
      <c r="U629" s="25"/>
    </row>
    <row r="630">
      <c r="C630" s="47"/>
      <c r="P630" s="25"/>
      <c r="Q630" s="25"/>
      <c r="R630" s="25"/>
      <c r="S630" s="25"/>
      <c r="T630" s="25"/>
      <c r="U630" s="25"/>
    </row>
    <row r="631">
      <c r="C631" s="47"/>
      <c r="P631" s="25"/>
      <c r="Q631" s="25"/>
      <c r="R631" s="25"/>
      <c r="S631" s="25"/>
      <c r="T631" s="25"/>
      <c r="U631" s="25"/>
    </row>
    <row r="632">
      <c r="C632" s="47"/>
      <c r="P632" s="25"/>
      <c r="Q632" s="25"/>
      <c r="R632" s="25"/>
      <c r="S632" s="25"/>
      <c r="T632" s="25"/>
      <c r="U632" s="25"/>
    </row>
    <row r="633">
      <c r="C633" s="47"/>
      <c r="P633" s="25"/>
      <c r="Q633" s="25"/>
      <c r="R633" s="25"/>
      <c r="S633" s="25"/>
      <c r="T633" s="25"/>
      <c r="U633" s="25"/>
    </row>
    <row r="634">
      <c r="C634" s="47"/>
      <c r="P634" s="25"/>
      <c r="Q634" s="25"/>
      <c r="R634" s="25"/>
      <c r="S634" s="25"/>
      <c r="T634" s="25"/>
      <c r="U634" s="25"/>
    </row>
    <row r="635">
      <c r="C635" s="47"/>
      <c r="P635" s="25"/>
      <c r="Q635" s="25"/>
      <c r="R635" s="25"/>
      <c r="S635" s="25"/>
      <c r="T635" s="25"/>
      <c r="U635" s="25"/>
    </row>
    <row r="636">
      <c r="C636" s="47"/>
      <c r="P636" s="25"/>
      <c r="Q636" s="25"/>
      <c r="R636" s="25"/>
      <c r="S636" s="25"/>
      <c r="T636" s="25"/>
      <c r="U636" s="25"/>
    </row>
    <row r="637">
      <c r="C637" s="47"/>
      <c r="P637" s="25"/>
      <c r="Q637" s="25"/>
      <c r="R637" s="25"/>
      <c r="S637" s="25"/>
      <c r="T637" s="25"/>
      <c r="U637" s="25"/>
    </row>
    <row r="638">
      <c r="C638" s="47"/>
      <c r="P638" s="25"/>
      <c r="Q638" s="25"/>
      <c r="R638" s="25"/>
      <c r="S638" s="25"/>
      <c r="T638" s="25"/>
      <c r="U638" s="25"/>
    </row>
    <row r="639">
      <c r="C639" s="47"/>
      <c r="P639" s="25"/>
      <c r="Q639" s="25"/>
      <c r="R639" s="25"/>
      <c r="S639" s="25"/>
      <c r="T639" s="25"/>
      <c r="U639" s="25"/>
    </row>
    <row r="640">
      <c r="C640" s="47"/>
      <c r="P640" s="25"/>
      <c r="Q640" s="25"/>
      <c r="R640" s="25"/>
      <c r="S640" s="25"/>
      <c r="T640" s="25"/>
      <c r="U640" s="25"/>
    </row>
    <row r="641">
      <c r="C641" s="47"/>
      <c r="P641" s="25"/>
      <c r="Q641" s="25"/>
      <c r="R641" s="25"/>
      <c r="S641" s="25"/>
      <c r="T641" s="25"/>
      <c r="U641" s="25"/>
    </row>
    <row r="642">
      <c r="C642" s="47"/>
      <c r="P642" s="25"/>
      <c r="Q642" s="25"/>
      <c r="R642" s="25"/>
      <c r="S642" s="25"/>
      <c r="T642" s="25"/>
      <c r="U642" s="25"/>
    </row>
    <row r="643">
      <c r="C643" s="47"/>
      <c r="P643" s="25"/>
      <c r="Q643" s="25"/>
      <c r="R643" s="25"/>
      <c r="S643" s="25"/>
      <c r="T643" s="25"/>
      <c r="U643" s="25"/>
    </row>
    <row r="644">
      <c r="C644" s="47"/>
      <c r="P644" s="25"/>
      <c r="Q644" s="25"/>
      <c r="R644" s="25"/>
      <c r="S644" s="25"/>
      <c r="T644" s="25"/>
      <c r="U644" s="25"/>
    </row>
    <row r="645">
      <c r="C645" s="47"/>
      <c r="P645" s="25"/>
      <c r="Q645" s="25"/>
      <c r="R645" s="25"/>
      <c r="S645" s="25"/>
      <c r="T645" s="25"/>
      <c r="U645" s="25"/>
    </row>
    <row r="646">
      <c r="C646" s="47"/>
      <c r="P646" s="25"/>
      <c r="Q646" s="25"/>
      <c r="R646" s="25"/>
      <c r="S646" s="25"/>
      <c r="T646" s="25"/>
      <c r="U646" s="25"/>
    </row>
    <row r="647">
      <c r="C647" s="47"/>
      <c r="P647" s="25"/>
      <c r="Q647" s="25"/>
      <c r="R647" s="25"/>
      <c r="S647" s="25"/>
      <c r="T647" s="25"/>
      <c r="U647" s="25"/>
    </row>
    <row r="648">
      <c r="C648" s="47"/>
      <c r="P648" s="25"/>
      <c r="Q648" s="25"/>
      <c r="R648" s="25"/>
      <c r="S648" s="25"/>
      <c r="T648" s="25"/>
      <c r="U648" s="25"/>
    </row>
    <row r="649">
      <c r="C649" s="47"/>
      <c r="P649" s="25"/>
      <c r="Q649" s="25"/>
      <c r="R649" s="25"/>
      <c r="S649" s="25"/>
      <c r="T649" s="25"/>
      <c r="U649" s="25"/>
    </row>
    <row r="650">
      <c r="C650" s="47"/>
      <c r="P650" s="25"/>
      <c r="Q650" s="25"/>
      <c r="R650" s="25"/>
      <c r="S650" s="25"/>
      <c r="T650" s="25"/>
      <c r="U650" s="25"/>
    </row>
    <row r="651">
      <c r="C651" s="47"/>
      <c r="P651" s="25"/>
      <c r="Q651" s="25"/>
      <c r="R651" s="25"/>
      <c r="S651" s="25"/>
      <c r="T651" s="25"/>
      <c r="U651" s="25"/>
    </row>
    <row r="652">
      <c r="C652" s="47"/>
      <c r="P652" s="25"/>
      <c r="Q652" s="25"/>
      <c r="R652" s="25"/>
      <c r="S652" s="25"/>
      <c r="T652" s="25"/>
      <c r="U652" s="25"/>
    </row>
    <row r="653">
      <c r="C653" s="47"/>
      <c r="P653" s="25"/>
      <c r="Q653" s="25"/>
      <c r="R653" s="25"/>
      <c r="S653" s="25"/>
      <c r="T653" s="25"/>
      <c r="U653" s="25"/>
    </row>
    <row r="654">
      <c r="C654" s="47"/>
      <c r="P654" s="25"/>
      <c r="Q654" s="25"/>
      <c r="R654" s="25"/>
      <c r="S654" s="25"/>
      <c r="T654" s="25"/>
      <c r="U654" s="25"/>
    </row>
    <row r="655">
      <c r="C655" s="47"/>
      <c r="P655" s="25"/>
      <c r="Q655" s="25"/>
      <c r="R655" s="25"/>
      <c r="S655" s="25"/>
      <c r="T655" s="25"/>
      <c r="U655" s="25"/>
    </row>
    <row r="656">
      <c r="C656" s="47"/>
      <c r="P656" s="25"/>
      <c r="Q656" s="25"/>
      <c r="R656" s="25"/>
      <c r="S656" s="25"/>
      <c r="T656" s="25"/>
      <c r="U656" s="25"/>
    </row>
    <row r="657">
      <c r="C657" s="47"/>
      <c r="P657" s="25"/>
      <c r="Q657" s="25"/>
      <c r="R657" s="25"/>
      <c r="S657" s="25"/>
      <c r="T657" s="25"/>
      <c r="U657" s="25"/>
    </row>
    <row r="658">
      <c r="C658" s="47"/>
      <c r="P658" s="25"/>
      <c r="Q658" s="25"/>
      <c r="R658" s="25"/>
      <c r="S658" s="25"/>
      <c r="T658" s="25"/>
      <c r="U658" s="25"/>
    </row>
    <row r="659">
      <c r="C659" s="47"/>
      <c r="P659" s="25"/>
      <c r="Q659" s="25"/>
      <c r="R659" s="25"/>
      <c r="S659" s="25"/>
      <c r="T659" s="25"/>
      <c r="U659" s="25"/>
    </row>
    <row r="660">
      <c r="C660" s="47"/>
      <c r="P660" s="25"/>
      <c r="Q660" s="25"/>
      <c r="R660" s="25"/>
      <c r="S660" s="25"/>
      <c r="T660" s="25"/>
      <c r="U660" s="25"/>
    </row>
    <row r="661">
      <c r="C661" s="47"/>
      <c r="P661" s="25"/>
      <c r="Q661" s="25"/>
      <c r="R661" s="25"/>
      <c r="S661" s="25"/>
      <c r="T661" s="25"/>
      <c r="U661" s="25"/>
    </row>
    <row r="662">
      <c r="C662" s="47"/>
      <c r="P662" s="25"/>
      <c r="Q662" s="25"/>
      <c r="R662" s="25"/>
      <c r="S662" s="25"/>
      <c r="T662" s="25"/>
      <c r="U662" s="25"/>
    </row>
    <row r="663">
      <c r="C663" s="47"/>
      <c r="P663" s="25"/>
      <c r="Q663" s="25"/>
      <c r="R663" s="25"/>
      <c r="S663" s="25"/>
      <c r="T663" s="25"/>
      <c r="U663" s="25"/>
    </row>
    <row r="664">
      <c r="C664" s="47"/>
      <c r="P664" s="25"/>
      <c r="Q664" s="25"/>
      <c r="R664" s="25"/>
      <c r="S664" s="25"/>
      <c r="T664" s="25"/>
      <c r="U664" s="25"/>
    </row>
    <row r="665">
      <c r="C665" s="47"/>
      <c r="P665" s="25"/>
      <c r="Q665" s="25"/>
      <c r="R665" s="25"/>
      <c r="S665" s="25"/>
      <c r="T665" s="25"/>
      <c r="U665" s="25"/>
    </row>
    <row r="666">
      <c r="C666" s="47"/>
      <c r="P666" s="25"/>
      <c r="Q666" s="25"/>
      <c r="R666" s="25"/>
      <c r="S666" s="25"/>
      <c r="T666" s="25"/>
      <c r="U666" s="25"/>
    </row>
    <row r="667">
      <c r="C667" s="47"/>
      <c r="P667" s="25"/>
      <c r="Q667" s="25"/>
      <c r="R667" s="25"/>
      <c r="S667" s="25"/>
      <c r="T667" s="25"/>
      <c r="U667" s="25"/>
    </row>
    <row r="668">
      <c r="C668" s="47"/>
      <c r="P668" s="25"/>
      <c r="Q668" s="25"/>
      <c r="R668" s="25"/>
      <c r="S668" s="25"/>
      <c r="T668" s="25"/>
      <c r="U668" s="25"/>
    </row>
    <row r="669">
      <c r="C669" s="47"/>
      <c r="P669" s="25"/>
      <c r="Q669" s="25"/>
      <c r="R669" s="25"/>
      <c r="S669" s="25"/>
      <c r="T669" s="25"/>
      <c r="U669" s="25"/>
    </row>
    <row r="670">
      <c r="C670" s="47"/>
      <c r="P670" s="25"/>
      <c r="Q670" s="25"/>
      <c r="R670" s="25"/>
      <c r="S670" s="25"/>
      <c r="T670" s="25"/>
      <c r="U670" s="25"/>
    </row>
    <row r="671">
      <c r="C671" s="47"/>
      <c r="P671" s="25"/>
      <c r="Q671" s="25"/>
      <c r="R671" s="25"/>
      <c r="S671" s="25"/>
      <c r="T671" s="25"/>
      <c r="U671" s="25"/>
    </row>
    <row r="672">
      <c r="C672" s="47"/>
      <c r="P672" s="25"/>
      <c r="Q672" s="25"/>
      <c r="R672" s="25"/>
      <c r="S672" s="25"/>
      <c r="T672" s="25"/>
      <c r="U672" s="25"/>
    </row>
    <row r="673">
      <c r="C673" s="47"/>
      <c r="P673" s="25"/>
      <c r="Q673" s="25"/>
      <c r="R673" s="25"/>
      <c r="S673" s="25"/>
      <c r="T673" s="25"/>
      <c r="U673" s="25"/>
    </row>
    <row r="674">
      <c r="C674" s="47"/>
      <c r="P674" s="25"/>
      <c r="Q674" s="25"/>
      <c r="R674" s="25"/>
      <c r="S674" s="25"/>
      <c r="T674" s="25"/>
      <c r="U674" s="25"/>
    </row>
    <row r="675">
      <c r="C675" s="47"/>
      <c r="P675" s="25"/>
      <c r="Q675" s="25"/>
      <c r="R675" s="25"/>
      <c r="S675" s="25"/>
      <c r="T675" s="25"/>
      <c r="U675" s="25"/>
    </row>
    <row r="676">
      <c r="C676" s="47"/>
      <c r="P676" s="25"/>
      <c r="Q676" s="25"/>
      <c r="R676" s="25"/>
      <c r="S676" s="25"/>
      <c r="T676" s="25"/>
      <c r="U676" s="25"/>
    </row>
    <row r="677">
      <c r="C677" s="47"/>
      <c r="P677" s="25"/>
      <c r="Q677" s="25"/>
      <c r="R677" s="25"/>
      <c r="S677" s="25"/>
      <c r="T677" s="25"/>
      <c r="U677" s="25"/>
    </row>
    <row r="678">
      <c r="C678" s="47"/>
      <c r="P678" s="25"/>
      <c r="Q678" s="25"/>
      <c r="R678" s="25"/>
      <c r="S678" s="25"/>
      <c r="T678" s="25"/>
      <c r="U678" s="25"/>
    </row>
    <row r="679">
      <c r="C679" s="47"/>
      <c r="P679" s="25"/>
      <c r="Q679" s="25"/>
      <c r="R679" s="25"/>
      <c r="S679" s="25"/>
      <c r="T679" s="25"/>
      <c r="U679" s="25"/>
    </row>
    <row r="680">
      <c r="C680" s="47"/>
      <c r="P680" s="25"/>
      <c r="Q680" s="25"/>
      <c r="R680" s="25"/>
      <c r="S680" s="25"/>
      <c r="T680" s="25"/>
      <c r="U680" s="25"/>
    </row>
    <row r="681">
      <c r="C681" s="47"/>
      <c r="P681" s="25"/>
      <c r="Q681" s="25"/>
      <c r="R681" s="25"/>
      <c r="S681" s="25"/>
      <c r="T681" s="25"/>
      <c r="U681" s="25"/>
    </row>
    <row r="682">
      <c r="C682" s="47"/>
      <c r="P682" s="25"/>
      <c r="Q682" s="25"/>
      <c r="R682" s="25"/>
      <c r="S682" s="25"/>
      <c r="T682" s="25"/>
      <c r="U682" s="25"/>
    </row>
    <row r="683">
      <c r="C683" s="47"/>
      <c r="P683" s="25"/>
      <c r="Q683" s="25"/>
      <c r="R683" s="25"/>
      <c r="S683" s="25"/>
      <c r="T683" s="25"/>
      <c r="U683" s="25"/>
    </row>
    <row r="684">
      <c r="C684" s="47"/>
      <c r="P684" s="25"/>
      <c r="Q684" s="25"/>
      <c r="R684" s="25"/>
      <c r="S684" s="25"/>
      <c r="T684" s="25"/>
      <c r="U684" s="25"/>
    </row>
    <row r="685">
      <c r="C685" s="47"/>
      <c r="P685" s="25"/>
      <c r="Q685" s="25"/>
      <c r="R685" s="25"/>
      <c r="S685" s="25"/>
      <c r="T685" s="25"/>
      <c r="U685" s="25"/>
    </row>
    <row r="686">
      <c r="C686" s="47"/>
      <c r="P686" s="25"/>
      <c r="Q686" s="25"/>
      <c r="R686" s="25"/>
      <c r="S686" s="25"/>
      <c r="T686" s="25"/>
      <c r="U686" s="25"/>
    </row>
    <row r="687">
      <c r="C687" s="47"/>
      <c r="P687" s="25"/>
      <c r="Q687" s="25"/>
      <c r="R687" s="25"/>
      <c r="S687" s="25"/>
      <c r="T687" s="25"/>
      <c r="U687" s="25"/>
    </row>
    <row r="688">
      <c r="C688" s="47"/>
      <c r="P688" s="25"/>
      <c r="Q688" s="25"/>
      <c r="R688" s="25"/>
      <c r="S688" s="25"/>
      <c r="T688" s="25"/>
      <c r="U688" s="25"/>
    </row>
    <row r="689">
      <c r="C689" s="47"/>
      <c r="P689" s="25"/>
      <c r="Q689" s="25"/>
      <c r="R689" s="25"/>
      <c r="S689" s="25"/>
      <c r="T689" s="25"/>
      <c r="U689" s="25"/>
    </row>
    <row r="690">
      <c r="C690" s="47"/>
      <c r="P690" s="25"/>
      <c r="Q690" s="25"/>
      <c r="R690" s="25"/>
      <c r="S690" s="25"/>
      <c r="T690" s="25"/>
      <c r="U690" s="25"/>
    </row>
    <row r="691">
      <c r="C691" s="47"/>
      <c r="P691" s="25"/>
      <c r="Q691" s="25"/>
      <c r="R691" s="25"/>
      <c r="S691" s="25"/>
      <c r="T691" s="25"/>
      <c r="U691" s="25"/>
    </row>
    <row r="692">
      <c r="C692" s="47"/>
      <c r="P692" s="25"/>
      <c r="Q692" s="25"/>
      <c r="R692" s="25"/>
      <c r="S692" s="25"/>
      <c r="T692" s="25"/>
      <c r="U692" s="25"/>
    </row>
    <row r="693">
      <c r="C693" s="47"/>
      <c r="P693" s="25"/>
      <c r="Q693" s="25"/>
      <c r="R693" s="25"/>
      <c r="S693" s="25"/>
      <c r="T693" s="25"/>
      <c r="U693" s="25"/>
    </row>
    <row r="694">
      <c r="C694" s="47"/>
      <c r="P694" s="25"/>
      <c r="Q694" s="25"/>
      <c r="R694" s="25"/>
      <c r="S694" s="25"/>
      <c r="T694" s="25"/>
      <c r="U694" s="25"/>
    </row>
    <row r="695">
      <c r="C695" s="47"/>
      <c r="P695" s="25"/>
      <c r="Q695" s="25"/>
      <c r="R695" s="25"/>
      <c r="S695" s="25"/>
      <c r="T695" s="25"/>
      <c r="U695" s="25"/>
    </row>
    <row r="696">
      <c r="C696" s="47"/>
      <c r="P696" s="25"/>
      <c r="Q696" s="25"/>
      <c r="R696" s="25"/>
      <c r="S696" s="25"/>
      <c r="T696" s="25"/>
      <c r="U696" s="25"/>
    </row>
    <row r="697">
      <c r="C697" s="47"/>
      <c r="P697" s="25"/>
      <c r="Q697" s="25"/>
      <c r="R697" s="25"/>
      <c r="S697" s="25"/>
      <c r="T697" s="25"/>
      <c r="U697" s="25"/>
    </row>
    <row r="698">
      <c r="C698" s="47"/>
      <c r="P698" s="25"/>
      <c r="Q698" s="25"/>
      <c r="R698" s="25"/>
      <c r="S698" s="25"/>
      <c r="T698" s="25"/>
      <c r="U698" s="25"/>
    </row>
    <row r="699">
      <c r="C699" s="47"/>
      <c r="P699" s="25"/>
      <c r="Q699" s="25"/>
      <c r="R699" s="25"/>
      <c r="S699" s="25"/>
      <c r="T699" s="25"/>
      <c r="U699" s="25"/>
    </row>
    <row r="700">
      <c r="C700" s="47"/>
      <c r="P700" s="25"/>
      <c r="Q700" s="25"/>
      <c r="R700" s="25"/>
      <c r="S700" s="25"/>
      <c r="T700" s="25"/>
      <c r="U700" s="25"/>
    </row>
    <row r="701">
      <c r="C701" s="47"/>
      <c r="P701" s="25"/>
      <c r="Q701" s="25"/>
      <c r="R701" s="25"/>
      <c r="S701" s="25"/>
      <c r="T701" s="25"/>
      <c r="U701" s="25"/>
    </row>
    <row r="702">
      <c r="C702" s="47"/>
      <c r="P702" s="25"/>
      <c r="Q702" s="25"/>
      <c r="R702" s="25"/>
      <c r="S702" s="25"/>
      <c r="T702" s="25"/>
      <c r="U702" s="25"/>
    </row>
    <row r="703">
      <c r="C703" s="47"/>
      <c r="P703" s="25"/>
      <c r="Q703" s="25"/>
      <c r="R703" s="25"/>
      <c r="S703" s="25"/>
      <c r="T703" s="25"/>
      <c r="U703" s="25"/>
    </row>
    <row r="704">
      <c r="C704" s="47"/>
      <c r="P704" s="25"/>
      <c r="Q704" s="25"/>
      <c r="R704" s="25"/>
      <c r="S704" s="25"/>
      <c r="T704" s="25"/>
      <c r="U704" s="25"/>
    </row>
    <row r="705">
      <c r="C705" s="47"/>
      <c r="P705" s="25"/>
      <c r="Q705" s="25"/>
      <c r="R705" s="25"/>
      <c r="S705" s="25"/>
      <c r="T705" s="25"/>
      <c r="U705" s="25"/>
    </row>
    <row r="706">
      <c r="C706" s="47"/>
      <c r="P706" s="25"/>
      <c r="Q706" s="25"/>
      <c r="R706" s="25"/>
      <c r="S706" s="25"/>
      <c r="T706" s="25"/>
      <c r="U706" s="25"/>
    </row>
    <row r="707">
      <c r="C707" s="47"/>
      <c r="P707" s="25"/>
      <c r="Q707" s="25"/>
      <c r="R707" s="25"/>
      <c r="S707" s="25"/>
      <c r="T707" s="25"/>
      <c r="U707" s="25"/>
    </row>
    <row r="708">
      <c r="C708" s="47"/>
      <c r="P708" s="25"/>
      <c r="Q708" s="25"/>
      <c r="R708" s="25"/>
      <c r="S708" s="25"/>
      <c r="T708" s="25"/>
      <c r="U708" s="25"/>
    </row>
    <row r="709">
      <c r="C709" s="47"/>
      <c r="P709" s="25"/>
      <c r="Q709" s="25"/>
      <c r="R709" s="25"/>
      <c r="S709" s="25"/>
      <c r="T709" s="25"/>
      <c r="U709" s="25"/>
    </row>
    <row r="710">
      <c r="C710" s="47"/>
      <c r="P710" s="25"/>
      <c r="Q710" s="25"/>
      <c r="R710" s="25"/>
      <c r="S710" s="25"/>
      <c r="T710" s="25"/>
      <c r="U710" s="25"/>
    </row>
    <row r="711">
      <c r="C711" s="47"/>
      <c r="P711" s="25"/>
      <c r="Q711" s="25"/>
      <c r="R711" s="25"/>
      <c r="S711" s="25"/>
      <c r="T711" s="25"/>
      <c r="U711" s="25"/>
    </row>
    <row r="712">
      <c r="C712" s="47"/>
      <c r="P712" s="25"/>
      <c r="Q712" s="25"/>
      <c r="R712" s="25"/>
      <c r="S712" s="25"/>
      <c r="T712" s="25"/>
      <c r="U712" s="25"/>
    </row>
    <row r="713">
      <c r="C713" s="47"/>
      <c r="P713" s="25"/>
      <c r="Q713" s="25"/>
      <c r="R713" s="25"/>
      <c r="S713" s="25"/>
      <c r="T713" s="25"/>
      <c r="U713" s="25"/>
    </row>
    <row r="714">
      <c r="C714" s="47"/>
      <c r="P714" s="25"/>
      <c r="Q714" s="25"/>
      <c r="R714" s="25"/>
      <c r="S714" s="25"/>
      <c r="T714" s="25"/>
      <c r="U714" s="25"/>
    </row>
    <row r="715">
      <c r="C715" s="47"/>
      <c r="P715" s="25"/>
      <c r="Q715" s="25"/>
      <c r="R715" s="25"/>
      <c r="S715" s="25"/>
      <c r="T715" s="25"/>
      <c r="U715" s="25"/>
    </row>
    <row r="716">
      <c r="C716" s="47"/>
      <c r="P716" s="25"/>
      <c r="Q716" s="25"/>
      <c r="R716" s="25"/>
      <c r="S716" s="25"/>
      <c r="T716" s="25"/>
      <c r="U716" s="25"/>
    </row>
    <row r="717">
      <c r="C717" s="47"/>
      <c r="P717" s="25"/>
      <c r="Q717" s="25"/>
      <c r="R717" s="25"/>
      <c r="S717" s="25"/>
      <c r="T717" s="25"/>
      <c r="U717" s="25"/>
    </row>
    <row r="718">
      <c r="C718" s="47"/>
      <c r="P718" s="25"/>
      <c r="Q718" s="25"/>
      <c r="R718" s="25"/>
      <c r="S718" s="25"/>
      <c r="T718" s="25"/>
      <c r="U718" s="25"/>
    </row>
    <row r="719">
      <c r="C719" s="47"/>
      <c r="P719" s="25"/>
      <c r="Q719" s="25"/>
      <c r="R719" s="25"/>
      <c r="S719" s="25"/>
      <c r="T719" s="25"/>
      <c r="U719" s="25"/>
    </row>
    <row r="720">
      <c r="C720" s="47"/>
      <c r="P720" s="25"/>
      <c r="Q720" s="25"/>
      <c r="R720" s="25"/>
      <c r="S720" s="25"/>
      <c r="T720" s="25"/>
      <c r="U720" s="25"/>
    </row>
    <row r="721">
      <c r="C721" s="47"/>
      <c r="P721" s="25"/>
      <c r="Q721" s="25"/>
      <c r="R721" s="25"/>
      <c r="S721" s="25"/>
      <c r="T721" s="25"/>
      <c r="U721" s="25"/>
    </row>
    <row r="722">
      <c r="C722" s="47"/>
      <c r="P722" s="25"/>
      <c r="Q722" s="25"/>
      <c r="R722" s="25"/>
      <c r="S722" s="25"/>
      <c r="T722" s="25"/>
      <c r="U722" s="25"/>
    </row>
    <row r="723">
      <c r="C723" s="47"/>
      <c r="P723" s="25"/>
      <c r="Q723" s="25"/>
      <c r="R723" s="25"/>
      <c r="S723" s="25"/>
      <c r="T723" s="25"/>
      <c r="U723" s="25"/>
    </row>
    <row r="724">
      <c r="C724" s="47"/>
      <c r="P724" s="25"/>
      <c r="Q724" s="25"/>
      <c r="R724" s="25"/>
      <c r="S724" s="25"/>
      <c r="T724" s="25"/>
      <c r="U724" s="25"/>
    </row>
    <row r="725">
      <c r="C725" s="47"/>
      <c r="P725" s="25"/>
      <c r="Q725" s="25"/>
      <c r="R725" s="25"/>
      <c r="S725" s="25"/>
      <c r="T725" s="25"/>
      <c r="U725" s="25"/>
    </row>
    <row r="726">
      <c r="C726" s="47"/>
      <c r="P726" s="25"/>
      <c r="Q726" s="25"/>
      <c r="R726" s="25"/>
      <c r="S726" s="25"/>
      <c r="T726" s="25"/>
      <c r="U726" s="25"/>
    </row>
    <row r="727">
      <c r="C727" s="47"/>
      <c r="P727" s="25"/>
      <c r="Q727" s="25"/>
      <c r="R727" s="25"/>
      <c r="S727" s="25"/>
      <c r="T727" s="25"/>
      <c r="U727" s="25"/>
    </row>
    <row r="728">
      <c r="C728" s="47"/>
      <c r="P728" s="25"/>
      <c r="Q728" s="25"/>
      <c r="R728" s="25"/>
      <c r="S728" s="25"/>
      <c r="T728" s="25"/>
      <c r="U728" s="25"/>
    </row>
    <row r="729">
      <c r="C729" s="47"/>
      <c r="P729" s="25"/>
      <c r="Q729" s="25"/>
      <c r="R729" s="25"/>
      <c r="S729" s="25"/>
      <c r="T729" s="25"/>
      <c r="U729" s="25"/>
    </row>
    <row r="730">
      <c r="C730" s="47"/>
      <c r="P730" s="25"/>
      <c r="Q730" s="25"/>
      <c r="R730" s="25"/>
      <c r="S730" s="25"/>
      <c r="T730" s="25"/>
      <c r="U730" s="25"/>
    </row>
    <row r="731">
      <c r="C731" s="47"/>
      <c r="P731" s="25"/>
      <c r="Q731" s="25"/>
      <c r="R731" s="25"/>
      <c r="S731" s="25"/>
      <c r="T731" s="25"/>
      <c r="U731" s="25"/>
    </row>
    <row r="732">
      <c r="C732" s="47"/>
      <c r="P732" s="25"/>
      <c r="Q732" s="25"/>
      <c r="R732" s="25"/>
      <c r="S732" s="25"/>
      <c r="T732" s="25"/>
      <c r="U732" s="25"/>
    </row>
    <row r="733">
      <c r="C733" s="47"/>
      <c r="P733" s="25"/>
      <c r="Q733" s="25"/>
      <c r="R733" s="25"/>
      <c r="S733" s="25"/>
      <c r="T733" s="25"/>
      <c r="U733" s="25"/>
    </row>
    <row r="734">
      <c r="C734" s="47"/>
      <c r="P734" s="25"/>
      <c r="Q734" s="25"/>
      <c r="R734" s="25"/>
      <c r="S734" s="25"/>
      <c r="T734" s="25"/>
      <c r="U734" s="25"/>
    </row>
    <row r="735">
      <c r="C735" s="47"/>
      <c r="P735" s="25"/>
      <c r="Q735" s="25"/>
      <c r="R735" s="25"/>
      <c r="S735" s="25"/>
      <c r="T735" s="25"/>
      <c r="U735" s="25"/>
    </row>
    <row r="736">
      <c r="C736" s="47"/>
      <c r="P736" s="25"/>
      <c r="Q736" s="25"/>
      <c r="R736" s="25"/>
      <c r="S736" s="25"/>
      <c r="T736" s="25"/>
      <c r="U736" s="25"/>
    </row>
    <row r="737">
      <c r="C737" s="47"/>
      <c r="P737" s="25"/>
      <c r="Q737" s="25"/>
      <c r="R737" s="25"/>
      <c r="S737" s="25"/>
      <c r="T737" s="25"/>
      <c r="U737" s="25"/>
    </row>
    <row r="738">
      <c r="C738" s="47"/>
      <c r="P738" s="25"/>
      <c r="Q738" s="25"/>
      <c r="R738" s="25"/>
      <c r="S738" s="25"/>
      <c r="T738" s="25"/>
      <c r="U738" s="25"/>
    </row>
    <row r="739">
      <c r="C739" s="47"/>
      <c r="P739" s="25"/>
      <c r="Q739" s="25"/>
      <c r="R739" s="25"/>
      <c r="S739" s="25"/>
      <c r="T739" s="25"/>
      <c r="U739" s="25"/>
    </row>
    <row r="740">
      <c r="C740" s="47"/>
      <c r="P740" s="25"/>
      <c r="Q740" s="25"/>
      <c r="R740" s="25"/>
      <c r="S740" s="25"/>
      <c r="T740" s="25"/>
      <c r="U740" s="25"/>
    </row>
    <row r="741">
      <c r="C741" s="47"/>
      <c r="P741" s="25"/>
      <c r="Q741" s="25"/>
      <c r="R741" s="25"/>
      <c r="S741" s="25"/>
      <c r="T741" s="25"/>
      <c r="U741" s="25"/>
    </row>
    <row r="742">
      <c r="C742" s="47"/>
      <c r="P742" s="25"/>
      <c r="Q742" s="25"/>
      <c r="R742" s="25"/>
      <c r="S742" s="25"/>
      <c r="T742" s="25"/>
      <c r="U742" s="25"/>
    </row>
    <row r="743">
      <c r="C743" s="47"/>
      <c r="P743" s="25"/>
      <c r="Q743" s="25"/>
      <c r="R743" s="25"/>
      <c r="S743" s="25"/>
      <c r="T743" s="25"/>
      <c r="U743" s="25"/>
    </row>
    <row r="744">
      <c r="C744" s="47"/>
      <c r="P744" s="25"/>
      <c r="Q744" s="25"/>
      <c r="R744" s="25"/>
      <c r="S744" s="25"/>
      <c r="T744" s="25"/>
      <c r="U744" s="25"/>
    </row>
    <row r="745">
      <c r="C745" s="47"/>
      <c r="P745" s="25"/>
      <c r="Q745" s="25"/>
      <c r="R745" s="25"/>
      <c r="S745" s="25"/>
      <c r="T745" s="25"/>
      <c r="U745" s="25"/>
    </row>
    <row r="746">
      <c r="C746" s="47"/>
      <c r="P746" s="25"/>
      <c r="Q746" s="25"/>
      <c r="R746" s="25"/>
      <c r="S746" s="25"/>
      <c r="T746" s="25"/>
      <c r="U746" s="25"/>
    </row>
    <row r="747">
      <c r="C747" s="47"/>
      <c r="P747" s="25"/>
      <c r="Q747" s="25"/>
      <c r="R747" s="25"/>
      <c r="S747" s="25"/>
      <c r="T747" s="25"/>
      <c r="U747" s="25"/>
    </row>
    <row r="748">
      <c r="C748" s="47"/>
      <c r="P748" s="25"/>
      <c r="Q748" s="25"/>
      <c r="R748" s="25"/>
      <c r="S748" s="25"/>
      <c r="T748" s="25"/>
      <c r="U748" s="25"/>
    </row>
    <row r="749">
      <c r="C749" s="47"/>
      <c r="P749" s="25"/>
      <c r="Q749" s="25"/>
      <c r="R749" s="25"/>
      <c r="S749" s="25"/>
      <c r="T749" s="25"/>
      <c r="U749" s="25"/>
    </row>
    <row r="750">
      <c r="C750" s="47"/>
      <c r="P750" s="25"/>
      <c r="Q750" s="25"/>
      <c r="R750" s="25"/>
      <c r="S750" s="25"/>
      <c r="T750" s="25"/>
      <c r="U750" s="25"/>
    </row>
    <row r="751">
      <c r="C751" s="47"/>
      <c r="P751" s="25"/>
      <c r="Q751" s="25"/>
      <c r="R751" s="25"/>
      <c r="S751" s="25"/>
      <c r="T751" s="25"/>
      <c r="U751" s="25"/>
    </row>
    <row r="752">
      <c r="C752" s="47"/>
      <c r="P752" s="25"/>
      <c r="Q752" s="25"/>
      <c r="R752" s="25"/>
      <c r="S752" s="25"/>
      <c r="T752" s="25"/>
      <c r="U752" s="25"/>
    </row>
    <row r="753">
      <c r="C753" s="47"/>
      <c r="P753" s="25"/>
      <c r="Q753" s="25"/>
      <c r="R753" s="25"/>
      <c r="S753" s="25"/>
      <c r="T753" s="25"/>
      <c r="U753" s="25"/>
    </row>
    <row r="754">
      <c r="C754" s="47"/>
      <c r="P754" s="25"/>
      <c r="Q754" s="25"/>
      <c r="R754" s="25"/>
      <c r="S754" s="25"/>
      <c r="T754" s="25"/>
      <c r="U754" s="25"/>
    </row>
    <row r="755">
      <c r="C755" s="47"/>
      <c r="P755" s="25"/>
      <c r="Q755" s="25"/>
      <c r="R755" s="25"/>
      <c r="S755" s="25"/>
      <c r="T755" s="25"/>
      <c r="U755" s="25"/>
    </row>
    <row r="756">
      <c r="C756" s="47"/>
      <c r="P756" s="25"/>
      <c r="Q756" s="25"/>
      <c r="R756" s="25"/>
      <c r="S756" s="25"/>
      <c r="T756" s="25"/>
      <c r="U756" s="25"/>
    </row>
    <row r="757">
      <c r="C757" s="47"/>
      <c r="P757" s="25"/>
      <c r="Q757" s="25"/>
      <c r="R757" s="25"/>
      <c r="S757" s="25"/>
      <c r="T757" s="25"/>
      <c r="U757" s="25"/>
    </row>
    <row r="758">
      <c r="C758" s="47"/>
      <c r="P758" s="25"/>
      <c r="Q758" s="25"/>
      <c r="R758" s="25"/>
      <c r="S758" s="25"/>
      <c r="T758" s="25"/>
      <c r="U758" s="25"/>
    </row>
    <row r="759">
      <c r="C759" s="47"/>
      <c r="P759" s="25"/>
      <c r="Q759" s="25"/>
      <c r="R759" s="25"/>
      <c r="S759" s="25"/>
      <c r="T759" s="25"/>
      <c r="U759" s="25"/>
    </row>
    <row r="760">
      <c r="C760" s="47"/>
      <c r="P760" s="25"/>
      <c r="Q760" s="25"/>
      <c r="R760" s="25"/>
      <c r="S760" s="25"/>
      <c r="T760" s="25"/>
      <c r="U760" s="25"/>
    </row>
    <row r="761">
      <c r="C761" s="47"/>
      <c r="P761" s="25"/>
      <c r="Q761" s="25"/>
      <c r="R761" s="25"/>
      <c r="S761" s="25"/>
      <c r="T761" s="25"/>
      <c r="U761" s="25"/>
    </row>
    <row r="762">
      <c r="C762" s="47"/>
      <c r="P762" s="25"/>
      <c r="Q762" s="25"/>
      <c r="R762" s="25"/>
      <c r="S762" s="25"/>
      <c r="T762" s="25"/>
      <c r="U762" s="25"/>
    </row>
    <row r="763">
      <c r="C763" s="47"/>
      <c r="P763" s="25"/>
      <c r="Q763" s="25"/>
      <c r="R763" s="25"/>
      <c r="S763" s="25"/>
      <c r="T763" s="25"/>
      <c r="U763" s="25"/>
    </row>
    <row r="764">
      <c r="C764" s="47"/>
      <c r="P764" s="25"/>
      <c r="Q764" s="25"/>
      <c r="R764" s="25"/>
      <c r="S764" s="25"/>
      <c r="T764" s="25"/>
      <c r="U764" s="25"/>
    </row>
    <row r="765">
      <c r="C765" s="47"/>
      <c r="P765" s="25"/>
      <c r="Q765" s="25"/>
      <c r="R765" s="25"/>
      <c r="S765" s="25"/>
      <c r="T765" s="25"/>
      <c r="U765" s="25"/>
    </row>
    <row r="766">
      <c r="C766" s="47"/>
      <c r="P766" s="25"/>
      <c r="Q766" s="25"/>
      <c r="R766" s="25"/>
      <c r="S766" s="25"/>
      <c r="T766" s="25"/>
      <c r="U766" s="25"/>
    </row>
    <row r="767">
      <c r="C767" s="47"/>
      <c r="P767" s="25"/>
      <c r="Q767" s="25"/>
      <c r="R767" s="25"/>
      <c r="S767" s="25"/>
      <c r="T767" s="25"/>
      <c r="U767" s="25"/>
    </row>
    <row r="768">
      <c r="C768" s="47"/>
      <c r="P768" s="25"/>
      <c r="Q768" s="25"/>
      <c r="R768" s="25"/>
      <c r="S768" s="25"/>
      <c r="T768" s="25"/>
      <c r="U768" s="25"/>
    </row>
    <row r="769">
      <c r="C769" s="47"/>
      <c r="P769" s="25"/>
      <c r="Q769" s="25"/>
      <c r="R769" s="25"/>
      <c r="S769" s="25"/>
      <c r="T769" s="25"/>
      <c r="U769" s="25"/>
    </row>
    <row r="770">
      <c r="C770" s="47"/>
      <c r="P770" s="25"/>
      <c r="Q770" s="25"/>
      <c r="R770" s="25"/>
      <c r="S770" s="25"/>
      <c r="T770" s="25"/>
      <c r="U770" s="25"/>
    </row>
    <row r="771">
      <c r="C771" s="47"/>
      <c r="P771" s="25"/>
      <c r="Q771" s="25"/>
      <c r="R771" s="25"/>
      <c r="S771" s="25"/>
      <c r="T771" s="25"/>
      <c r="U771" s="25"/>
    </row>
    <row r="772">
      <c r="C772" s="47"/>
      <c r="P772" s="25"/>
      <c r="Q772" s="25"/>
      <c r="R772" s="25"/>
      <c r="S772" s="25"/>
      <c r="T772" s="25"/>
      <c r="U772" s="25"/>
    </row>
    <row r="773">
      <c r="C773" s="47"/>
      <c r="P773" s="25"/>
      <c r="Q773" s="25"/>
      <c r="R773" s="25"/>
      <c r="S773" s="25"/>
      <c r="T773" s="25"/>
      <c r="U773" s="25"/>
    </row>
    <row r="774">
      <c r="C774" s="47"/>
      <c r="P774" s="25"/>
      <c r="Q774" s="25"/>
      <c r="R774" s="25"/>
      <c r="S774" s="25"/>
      <c r="T774" s="25"/>
      <c r="U774" s="25"/>
    </row>
    <row r="775">
      <c r="C775" s="47"/>
      <c r="P775" s="25"/>
      <c r="Q775" s="25"/>
      <c r="R775" s="25"/>
      <c r="S775" s="25"/>
      <c r="T775" s="25"/>
      <c r="U775" s="25"/>
    </row>
    <row r="776">
      <c r="C776" s="47"/>
      <c r="P776" s="25"/>
      <c r="Q776" s="25"/>
      <c r="R776" s="25"/>
      <c r="S776" s="25"/>
      <c r="T776" s="25"/>
      <c r="U776" s="25"/>
    </row>
    <row r="777">
      <c r="C777" s="47"/>
      <c r="P777" s="25"/>
      <c r="Q777" s="25"/>
      <c r="R777" s="25"/>
      <c r="S777" s="25"/>
      <c r="T777" s="25"/>
      <c r="U777" s="25"/>
    </row>
    <row r="778">
      <c r="C778" s="47"/>
      <c r="P778" s="25"/>
      <c r="Q778" s="25"/>
      <c r="R778" s="25"/>
      <c r="S778" s="25"/>
      <c r="T778" s="25"/>
      <c r="U778" s="25"/>
    </row>
    <row r="779">
      <c r="C779" s="47"/>
      <c r="P779" s="25"/>
      <c r="Q779" s="25"/>
      <c r="R779" s="25"/>
      <c r="S779" s="25"/>
      <c r="T779" s="25"/>
      <c r="U779" s="25"/>
    </row>
    <row r="780">
      <c r="C780" s="47"/>
      <c r="P780" s="25"/>
      <c r="Q780" s="25"/>
      <c r="R780" s="25"/>
      <c r="S780" s="25"/>
      <c r="T780" s="25"/>
      <c r="U780" s="25"/>
    </row>
    <row r="781">
      <c r="C781" s="47"/>
      <c r="P781" s="25"/>
      <c r="Q781" s="25"/>
      <c r="R781" s="25"/>
      <c r="S781" s="25"/>
      <c r="T781" s="25"/>
      <c r="U781" s="25"/>
    </row>
    <row r="782">
      <c r="C782" s="47"/>
      <c r="P782" s="25"/>
      <c r="Q782" s="25"/>
      <c r="R782" s="25"/>
      <c r="S782" s="25"/>
      <c r="T782" s="25"/>
      <c r="U782" s="25"/>
    </row>
    <row r="783">
      <c r="C783" s="47"/>
      <c r="P783" s="25"/>
      <c r="Q783" s="25"/>
      <c r="R783" s="25"/>
      <c r="S783" s="25"/>
      <c r="T783" s="25"/>
      <c r="U783" s="25"/>
    </row>
    <row r="784">
      <c r="C784" s="47"/>
      <c r="P784" s="25"/>
      <c r="Q784" s="25"/>
      <c r="R784" s="25"/>
      <c r="S784" s="25"/>
      <c r="T784" s="25"/>
      <c r="U784" s="25"/>
    </row>
    <row r="785">
      <c r="C785" s="47"/>
      <c r="P785" s="25"/>
      <c r="Q785" s="25"/>
      <c r="R785" s="25"/>
      <c r="S785" s="25"/>
      <c r="T785" s="25"/>
      <c r="U785" s="25"/>
    </row>
    <row r="786">
      <c r="C786" s="47"/>
      <c r="P786" s="25"/>
      <c r="Q786" s="25"/>
      <c r="R786" s="25"/>
      <c r="S786" s="25"/>
      <c r="T786" s="25"/>
      <c r="U786" s="25"/>
    </row>
    <row r="787">
      <c r="C787" s="47"/>
      <c r="P787" s="25"/>
      <c r="Q787" s="25"/>
      <c r="R787" s="25"/>
      <c r="S787" s="25"/>
      <c r="T787" s="25"/>
      <c r="U787" s="25"/>
    </row>
    <row r="788">
      <c r="C788" s="47"/>
      <c r="P788" s="25"/>
      <c r="Q788" s="25"/>
      <c r="R788" s="25"/>
      <c r="S788" s="25"/>
      <c r="T788" s="25"/>
      <c r="U788" s="25"/>
    </row>
    <row r="789">
      <c r="C789" s="47"/>
      <c r="P789" s="25"/>
      <c r="Q789" s="25"/>
      <c r="R789" s="25"/>
      <c r="S789" s="25"/>
      <c r="T789" s="25"/>
      <c r="U789" s="25"/>
    </row>
    <row r="790">
      <c r="C790" s="47"/>
      <c r="P790" s="25"/>
      <c r="Q790" s="25"/>
      <c r="R790" s="25"/>
      <c r="S790" s="25"/>
      <c r="T790" s="25"/>
      <c r="U790" s="25"/>
    </row>
    <row r="791">
      <c r="C791" s="47"/>
      <c r="P791" s="25"/>
      <c r="Q791" s="25"/>
      <c r="R791" s="25"/>
      <c r="S791" s="25"/>
      <c r="T791" s="25"/>
      <c r="U791" s="25"/>
    </row>
    <row r="792">
      <c r="C792" s="47"/>
      <c r="P792" s="25"/>
      <c r="Q792" s="25"/>
      <c r="R792" s="25"/>
      <c r="S792" s="25"/>
      <c r="T792" s="25"/>
      <c r="U792" s="25"/>
    </row>
    <row r="793">
      <c r="C793" s="47"/>
      <c r="P793" s="25"/>
      <c r="Q793" s="25"/>
      <c r="R793" s="25"/>
      <c r="S793" s="25"/>
      <c r="T793" s="25"/>
      <c r="U793" s="25"/>
    </row>
    <row r="794">
      <c r="C794" s="47"/>
      <c r="P794" s="25"/>
      <c r="Q794" s="25"/>
      <c r="R794" s="25"/>
      <c r="S794" s="25"/>
      <c r="T794" s="25"/>
      <c r="U794" s="25"/>
    </row>
    <row r="795">
      <c r="C795" s="47"/>
      <c r="P795" s="25"/>
      <c r="Q795" s="25"/>
      <c r="R795" s="25"/>
      <c r="S795" s="25"/>
      <c r="T795" s="25"/>
      <c r="U795" s="25"/>
    </row>
    <row r="796">
      <c r="C796" s="47"/>
      <c r="P796" s="25"/>
      <c r="Q796" s="25"/>
      <c r="R796" s="25"/>
      <c r="S796" s="25"/>
      <c r="T796" s="25"/>
      <c r="U796" s="25"/>
    </row>
    <row r="797">
      <c r="C797" s="47"/>
      <c r="P797" s="25"/>
      <c r="Q797" s="25"/>
      <c r="R797" s="25"/>
      <c r="S797" s="25"/>
      <c r="T797" s="25"/>
      <c r="U797" s="25"/>
    </row>
    <row r="798">
      <c r="C798" s="47"/>
      <c r="P798" s="25"/>
      <c r="Q798" s="25"/>
      <c r="R798" s="25"/>
      <c r="S798" s="25"/>
      <c r="T798" s="25"/>
      <c r="U798" s="25"/>
    </row>
    <row r="799">
      <c r="C799" s="47"/>
      <c r="P799" s="25"/>
      <c r="Q799" s="25"/>
      <c r="R799" s="25"/>
      <c r="S799" s="25"/>
      <c r="T799" s="25"/>
      <c r="U799" s="25"/>
    </row>
    <row r="800">
      <c r="C800" s="47"/>
      <c r="P800" s="25"/>
      <c r="Q800" s="25"/>
      <c r="R800" s="25"/>
      <c r="S800" s="25"/>
      <c r="T800" s="25"/>
      <c r="U800" s="25"/>
    </row>
    <row r="801">
      <c r="C801" s="47"/>
      <c r="P801" s="25"/>
      <c r="Q801" s="25"/>
      <c r="R801" s="25"/>
      <c r="S801" s="25"/>
      <c r="T801" s="25"/>
      <c r="U801" s="25"/>
    </row>
    <row r="802">
      <c r="C802" s="47"/>
      <c r="P802" s="25"/>
      <c r="Q802" s="25"/>
      <c r="R802" s="25"/>
      <c r="S802" s="25"/>
      <c r="T802" s="25"/>
      <c r="U802" s="25"/>
    </row>
    <row r="803">
      <c r="C803" s="47"/>
      <c r="P803" s="25"/>
      <c r="Q803" s="25"/>
      <c r="R803" s="25"/>
      <c r="S803" s="25"/>
      <c r="T803" s="25"/>
      <c r="U803" s="25"/>
    </row>
    <row r="804">
      <c r="C804" s="47"/>
      <c r="P804" s="25"/>
      <c r="Q804" s="25"/>
      <c r="R804" s="25"/>
      <c r="S804" s="25"/>
      <c r="T804" s="25"/>
      <c r="U804" s="25"/>
    </row>
    <row r="805">
      <c r="C805" s="47"/>
      <c r="P805" s="25"/>
      <c r="Q805" s="25"/>
      <c r="R805" s="25"/>
      <c r="S805" s="25"/>
      <c r="T805" s="25"/>
      <c r="U805" s="25"/>
    </row>
    <row r="806">
      <c r="C806" s="47"/>
      <c r="P806" s="25"/>
      <c r="Q806" s="25"/>
      <c r="R806" s="25"/>
      <c r="S806" s="25"/>
      <c r="T806" s="25"/>
      <c r="U806" s="25"/>
    </row>
    <row r="807">
      <c r="C807" s="47"/>
      <c r="P807" s="25"/>
      <c r="Q807" s="25"/>
      <c r="R807" s="25"/>
      <c r="S807" s="25"/>
      <c r="T807" s="25"/>
      <c r="U807" s="25"/>
    </row>
    <row r="808">
      <c r="C808" s="47"/>
      <c r="P808" s="25"/>
      <c r="Q808" s="25"/>
      <c r="R808" s="25"/>
      <c r="S808" s="25"/>
      <c r="T808" s="25"/>
      <c r="U808" s="25"/>
    </row>
    <row r="809">
      <c r="C809" s="47"/>
      <c r="P809" s="25"/>
      <c r="Q809" s="25"/>
      <c r="R809" s="25"/>
      <c r="S809" s="25"/>
      <c r="T809" s="25"/>
      <c r="U809" s="25"/>
    </row>
    <row r="810">
      <c r="C810" s="47"/>
      <c r="P810" s="25"/>
      <c r="Q810" s="25"/>
      <c r="R810" s="25"/>
      <c r="S810" s="25"/>
      <c r="T810" s="25"/>
      <c r="U810" s="25"/>
    </row>
    <row r="811">
      <c r="C811" s="47"/>
      <c r="P811" s="25"/>
      <c r="Q811" s="25"/>
      <c r="R811" s="25"/>
      <c r="S811" s="25"/>
      <c r="T811" s="25"/>
      <c r="U811" s="25"/>
    </row>
    <row r="812">
      <c r="C812" s="47"/>
      <c r="P812" s="25"/>
      <c r="Q812" s="25"/>
      <c r="R812" s="25"/>
      <c r="S812" s="25"/>
      <c r="T812" s="25"/>
      <c r="U812" s="25"/>
    </row>
    <row r="813">
      <c r="C813" s="47"/>
      <c r="P813" s="25"/>
      <c r="Q813" s="25"/>
      <c r="R813" s="25"/>
      <c r="S813" s="25"/>
      <c r="T813" s="25"/>
      <c r="U813" s="25"/>
    </row>
    <row r="814">
      <c r="C814" s="47"/>
      <c r="P814" s="25"/>
      <c r="Q814" s="25"/>
      <c r="R814" s="25"/>
      <c r="S814" s="25"/>
      <c r="T814" s="25"/>
      <c r="U814" s="25"/>
    </row>
    <row r="815">
      <c r="C815" s="47"/>
      <c r="P815" s="25"/>
      <c r="Q815" s="25"/>
      <c r="R815" s="25"/>
      <c r="S815" s="25"/>
      <c r="T815" s="25"/>
      <c r="U815" s="25"/>
    </row>
    <row r="816">
      <c r="C816" s="47"/>
      <c r="P816" s="25"/>
      <c r="Q816" s="25"/>
      <c r="R816" s="25"/>
      <c r="S816" s="25"/>
      <c r="T816" s="25"/>
      <c r="U816" s="25"/>
    </row>
    <row r="817">
      <c r="C817" s="47"/>
      <c r="P817" s="25"/>
      <c r="Q817" s="25"/>
      <c r="R817" s="25"/>
      <c r="S817" s="25"/>
      <c r="T817" s="25"/>
      <c r="U817" s="25"/>
    </row>
    <row r="818">
      <c r="C818" s="47"/>
      <c r="P818" s="25"/>
      <c r="Q818" s="25"/>
      <c r="R818" s="25"/>
      <c r="S818" s="25"/>
      <c r="T818" s="25"/>
      <c r="U818" s="25"/>
    </row>
    <row r="819">
      <c r="C819" s="47"/>
      <c r="P819" s="25"/>
      <c r="Q819" s="25"/>
      <c r="R819" s="25"/>
      <c r="S819" s="25"/>
      <c r="T819" s="25"/>
      <c r="U819" s="25"/>
    </row>
    <row r="820">
      <c r="C820" s="47"/>
      <c r="P820" s="25"/>
      <c r="Q820" s="25"/>
      <c r="R820" s="25"/>
      <c r="S820" s="25"/>
      <c r="T820" s="25"/>
      <c r="U820" s="25"/>
    </row>
    <row r="821">
      <c r="C821" s="47"/>
      <c r="P821" s="25"/>
      <c r="Q821" s="25"/>
      <c r="R821" s="25"/>
      <c r="S821" s="25"/>
      <c r="T821" s="25"/>
      <c r="U821" s="25"/>
    </row>
    <row r="822">
      <c r="C822" s="47"/>
      <c r="P822" s="25"/>
      <c r="Q822" s="25"/>
      <c r="R822" s="25"/>
      <c r="S822" s="25"/>
      <c r="T822" s="25"/>
      <c r="U822" s="25"/>
    </row>
    <row r="823">
      <c r="C823" s="47"/>
      <c r="P823" s="25"/>
      <c r="Q823" s="25"/>
      <c r="R823" s="25"/>
      <c r="S823" s="25"/>
      <c r="T823" s="25"/>
      <c r="U823" s="25"/>
    </row>
    <row r="824">
      <c r="C824" s="47"/>
      <c r="P824" s="25"/>
      <c r="Q824" s="25"/>
      <c r="R824" s="25"/>
      <c r="S824" s="25"/>
      <c r="T824" s="25"/>
      <c r="U824" s="25"/>
    </row>
    <row r="825">
      <c r="C825" s="47"/>
      <c r="P825" s="25"/>
      <c r="Q825" s="25"/>
      <c r="R825" s="25"/>
      <c r="S825" s="25"/>
      <c r="T825" s="25"/>
      <c r="U825" s="25"/>
    </row>
    <row r="826">
      <c r="C826" s="47"/>
      <c r="P826" s="25"/>
      <c r="Q826" s="25"/>
      <c r="R826" s="25"/>
      <c r="S826" s="25"/>
      <c r="T826" s="25"/>
      <c r="U826" s="25"/>
    </row>
    <row r="827">
      <c r="C827" s="47"/>
      <c r="P827" s="25"/>
      <c r="Q827" s="25"/>
      <c r="R827" s="25"/>
      <c r="S827" s="25"/>
      <c r="T827" s="25"/>
      <c r="U827" s="25"/>
    </row>
    <row r="828">
      <c r="C828" s="47"/>
      <c r="P828" s="25"/>
      <c r="Q828" s="25"/>
      <c r="R828" s="25"/>
      <c r="S828" s="25"/>
      <c r="T828" s="25"/>
      <c r="U828" s="25"/>
    </row>
    <row r="829">
      <c r="C829" s="47"/>
      <c r="P829" s="25"/>
      <c r="Q829" s="25"/>
      <c r="R829" s="25"/>
      <c r="S829" s="25"/>
      <c r="T829" s="25"/>
      <c r="U829" s="25"/>
    </row>
    <row r="830">
      <c r="C830" s="47"/>
      <c r="P830" s="25"/>
      <c r="Q830" s="25"/>
      <c r="R830" s="25"/>
      <c r="S830" s="25"/>
      <c r="T830" s="25"/>
      <c r="U830" s="25"/>
    </row>
    <row r="831">
      <c r="C831" s="47"/>
      <c r="P831" s="25"/>
      <c r="Q831" s="25"/>
      <c r="R831" s="25"/>
      <c r="S831" s="25"/>
      <c r="T831" s="25"/>
      <c r="U831" s="25"/>
    </row>
    <row r="832">
      <c r="C832" s="47"/>
      <c r="P832" s="25"/>
      <c r="Q832" s="25"/>
      <c r="R832" s="25"/>
      <c r="S832" s="25"/>
      <c r="T832" s="25"/>
      <c r="U832" s="25"/>
    </row>
    <row r="833">
      <c r="C833" s="47"/>
      <c r="P833" s="25"/>
      <c r="Q833" s="25"/>
      <c r="R833" s="25"/>
      <c r="S833" s="25"/>
      <c r="T833" s="25"/>
      <c r="U833" s="25"/>
    </row>
    <row r="834">
      <c r="C834" s="47"/>
      <c r="P834" s="25"/>
      <c r="Q834" s="25"/>
      <c r="R834" s="25"/>
      <c r="S834" s="25"/>
      <c r="T834" s="25"/>
      <c r="U834" s="25"/>
    </row>
    <row r="835">
      <c r="C835" s="47"/>
      <c r="P835" s="25"/>
      <c r="Q835" s="25"/>
      <c r="R835" s="25"/>
      <c r="S835" s="25"/>
      <c r="T835" s="25"/>
      <c r="U835" s="25"/>
    </row>
    <row r="836">
      <c r="C836" s="47"/>
      <c r="P836" s="25"/>
      <c r="Q836" s="25"/>
      <c r="R836" s="25"/>
      <c r="S836" s="25"/>
      <c r="T836" s="25"/>
      <c r="U836" s="25"/>
    </row>
    <row r="837">
      <c r="C837" s="47"/>
      <c r="P837" s="25"/>
      <c r="Q837" s="25"/>
      <c r="R837" s="25"/>
      <c r="S837" s="25"/>
      <c r="T837" s="25"/>
      <c r="U837" s="25"/>
    </row>
    <row r="838">
      <c r="C838" s="47"/>
      <c r="P838" s="25"/>
      <c r="Q838" s="25"/>
      <c r="R838" s="25"/>
      <c r="S838" s="25"/>
      <c r="T838" s="25"/>
      <c r="U838" s="25"/>
    </row>
    <row r="839">
      <c r="C839" s="47"/>
      <c r="P839" s="25"/>
      <c r="Q839" s="25"/>
      <c r="R839" s="25"/>
      <c r="S839" s="25"/>
      <c r="T839" s="25"/>
      <c r="U839" s="25"/>
    </row>
    <row r="840">
      <c r="C840" s="47"/>
      <c r="P840" s="25"/>
      <c r="Q840" s="25"/>
      <c r="R840" s="25"/>
      <c r="S840" s="25"/>
      <c r="T840" s="25"/>
      <c r="U840" s="25"/>
    </row>
    <row r="841">
      <c r="C841" s="47"/>
      <c r="P841" s="25"/>
      <c r="Q841" s="25"/>
      <c r="R841" s="25"/>
      <c r="S841" s="25"/>
      <c r="T841" s="25"/>
      <c r="U841" s="25"/>
    </row>
    <row r="842">
      <c r="C842" s="47"/>
      <c r="P842" s="25"/>
      <c r="Q842" s="25"/>
      <c r="R842" s="25"/>
      <c r="S842" s="25"/>
      <c r="T842" s="25"/>
      <c r="U842" s="25"/>
    </row>
    <row r="843">
      <c r="C843" s="47"/>
      <c r="P843" s="25"/>
      <c r="Q843" s="25"/>
      <c r="R843" s="25"/>
      <c r="S843" s="25"/>
      <c r="T843" s="25"/>
      <c r="U843" s="25"/>
    </row>
    <row r="844">
      <c r="C844" s="47"/>
      <c r="P844" s="25"/>
      <c r="Q844" s="25"/>
      <c r="R844" s="25"/>
      <c r="S844" s="25"/>
      <c r="T844" s="25"/>
      <c r="U844" s="25"/>
    </row>
    <row r="845">
      <c r="C845" s="47"/>
      <c r="P845" s="25"/>
      <c r="Q845" s="25"/>
      <c r="R845" s="25"/>
      <c r="S845" s="25"/>
      <c r="T845" s="25"/>
      <c r="U845" s="25"/>
    </row>
    <row r="846">
      <c r="C846" s="47"/>
      <c r="P846" s="25"/>
      <c r="Q846" s="25"/>
      <c r="R846" s="25"/>
      <c r="S846" s="25"/>
      <c r="T846" s="25"/>
      <c r="U846" s="25"/>
    </row>
    <row r="847">
      <c r="C847" s="47"/>
      <c r="P847" s="25"/>
      <c r="Q847" s="25"/>
      <c r="R847" s="25"/>
      <c r="S847" s="25"/>
      <c r="T847" s="25"/>
      <c r="U847" s="25"/>
    </row>
    <row r="848">
      <c r="C848" s="47"/>
      <c r="P848" s="25"/>
      <c r="Q848" s="25"/>
      <c r="R848" s="25"/>
      <c r="S848" s="25"/>
      <c r="T848" s="25"/>
      <c r="U848" s="25"/>
    </row>
    <row r="849">
      <c r="C849" s="47"/>
      <c r="P849" s="25"/>
      <c r="Q849" s="25"/>
      <c r="R849" s="25"/>
      <c r="S849" s="25"/>
      <c r="T849" s="25"/>
      <c r="U849" s="25"/>
    </row>
    <row r="850">
      <c r="C850" s="47"/>
      <c r="P850" s="25"/>
      <c r="Q850" s="25"/>
      <c r="R850" s="25"/>
      <c r="S850" s="25"/>
      <c r="T850" s="25"/>
      <c r="U850" s="25"/>
    </row>
    <row r="851">
      <c r="C851" s="47"/>
      <c r="P851" s="25"/>
      <c r="Q851" s="25"/>
      <c r="R851" s="25"/>
      <c r="S851" s="25"/>
      <c r="T851" s="25"/>
      <c r="U851" s="25"/>
    </row>
    <row r="852">
      <c r="C852" s="47"/>
      <c r="P852" s="25"/>
      <c r="Q852" s="25"/>
      <c r="R852" s="25"/>
      <c r="S852" s="25"/>
      <c r="T852" s="25"/>
      <c r="U852" s="25"/>
    </row>
    <row r="853">
      <c r="C853" s="47"/>
      <c r="P853" s="25"/>
      <c r="Q853" s="25"/>
      <c r="R853" s="25"/>
      <c r="S853" s="25"/>
      <c r="T853" s="25"/>
      <c r="U853" s="25"/>
    </row>
    <row r="854">
      <c r="C854" s="47"/>
      <c r="P854" s="25"/>
      <c r="Q854" s="25"/>
      <c r="R854" s="25"/>
      <c r="S854" s="25"/>
      <c r="T854" s="25"/>
      <c r="U854" s="25"/>
    </row>
    <row r="855">
      <c r="C855" s="47"/>
      <c r="P855" s="25"/>
      <c r="Q855" s="25"/>
      <c r="R855" s="25"/>
      <c r="S855" s="25"/>
      <c r="T855" s="25"/>
      <c r="U855" s="25"/>
    </row>
    <row r="856">
      <c r="C856" s="47"/>
      <c r="P856" s="25"/>
      <c r="Q856" s="25"/>
      <c r="R856" s="25"/>
      <c r="S856" s="25"/>
      <c r="T856" s="25"/>
      <c r="U856" s="25"/>
    </row>
    <row r="857">
      <c r="C857" s="47"/>
      <c r="P857" s="25"/>
      <c r="Q857" s="25"/>
      <c r="R857" s="25"/>
      <c r="S857" s="25"/>
      <c r="T857" s="25"/>
      <c r="U857" s="25"/>
    </row>
    <row r="858">
      <c r="C858" s="47"/>
      <c r="P858" s="25"/>
      <c r="Q858" s="25"/>
      <c r="R858" s="25"/>
      <c r="S858" s="25"/>
      <c r="T858" s="25"/>
      <c r="U858" s="25"/>
    </row>
    <row r="859">
      <c r="C859" s="47"/>
      <c r="P859" s="25"/>
      <c r="Q859" s="25"/>
      <c r="R859" s="25"/>
      <c r="S859" s="25"/>
      <c r="T859" s="25"/>
      <c r="U859" s="25"/>
    </row>
    <row r="860">
      <c r="C860" s="47"/>
      <c r="P860" s="25"/>
      <c r="Q860" s="25"/>
      <c r="R860" s="25"/>
      <c r="S860" s="25"/>
      <c r="T860" s="25"/>
      <c r="U860" s="25"/>
    </row>
    <row r="861">
      <c r="C861" s="47"/>
      <c r="P861" s="25"/>
      <c r="Q861" s="25"/>
      <c r="R861" s="25"/>
      <c r="S861" s="25"/>
      <c r="T861" s="25"/>
      <c r="U861" s="25"/>
    </row>
    <row r="862">
      <c r="C862" s="47"/>
      <c r="P862" s="25"/>
      <c r="Q862" s="25"/>
      <c r="R862" s="25"/>
      <c r="S862" s="25"/>
      <c r="T862" s="25"/>
      <c r="U862" s="25"/>
    </row>
    <row r="863">
      <c r="C863" s="47"/>
      <c r="P863" s="25"/>
      <c r="Q863" s="25"/>
      <c r="R863" s="25"/>
      <c r="S863" s="25"/>
      <c r="T863" s="25"/>
      <c r="U863" s="25"/>
    </row>
    <row r="864">
      <c r="C864" s="47"/>
      <c r="P864" s="25"/>
      <c r="Q864" s="25"/>
      <c r="R864" s="25"/>
      <c r="S864" s="25"/>
      <c r="T864" s="25"/>
      <c r="U864" s="25"/>
    </row>
    <row r="865">
      <c r="C865" s="47"/>
      <c r="P865" s="25"/>
      <c r="Q865" s="25"/>
      <c r="R865" s="25"/>
      <c r="S865" s="25"/>
      <c r="T865" s="25"/>
      <c r="U865" s="25"/>
    </row>
    <row r="866">
      <c r="C866" s="47"/>
      <c r="P866" s="25"/>
      <c r="Q866" s="25"/>
      <c r="R866" s="25"/>
      <c r="S866" s="25"/>
      <c r="T866" s="25"/>
      <c r="U866" s="25"/>
    </row>
    <row r="867">
      <c r="C867" s="47"/>
      <c r="P867" s="25"/>
      <c r="Q867" s="25"/>
      <c r="R867" s="25"/>
      <c r="S867" s="25"/>
      <c r="T867" s="25"/>
      <c r="U867" s="25"/>
    </row>
    <row r="868">
      <c r="C868" s="47"/>
      <c r="P868" s="25"/>
      <c r="Q868" s="25"/>
      <c r="R868" s="25"/>
      <c r="S868" s="25"/>
      <c r="T868" s="25"/>
      <c r="U868" s="25"/>
    </row>
    <row r="869">
      <c r="C869" s="47"/>
      <c r="P869" s="25"/>
      <c r="Q869" s="25"/>
      <c r="R869" s="25"/>
      <c r="S869" s="25"/>
      <c r="T869" s="25"/>
      <c r="U869" s="25"/>
    </row>
    <row r="870">
      <c r="C870" s="47"/>
      <c r="P870" s="25"/>
      <c r="Q870" s="25"/>
      <c r="R870" s="25"/>
      <c r="S870" s="25"/>
      <c r="T870" s="25"/>
      <c r="U870" s="25"/>
    </row>
    <row r="871">
      <c r="C871" s="47"/>
      <c r="P871" s="25"/>
      <c r="Q871" s="25"/>
      <c r="R871" s="25"/>
      <c r="S871" s="25"/>
      <c r="T871" s="25"/>
      <c r="U871" s="25"/>
    </row>
    <row r="872">
      <c r="C872" s="47"/>
      <c r="P872" s="25"/>
      <c r="Q872" s="25"/>
      <c r="R872" s="25"/>
      <c r="S872" s="25"/>
      <c r="T872" s="25"/>
      <c r="U872" s="25"/>
    </row>
    <row r="873">
      <c r="C873" s="47"/>
      <c r="P873" s="25"/>
      <c r="Q873" s="25"/>
      <c r="R873" s="25"/>
      <c r="S873" s="25"/>
      <c r="T873" s="25"/>
      <c r="U873" s="25"/>
    </row>
    <row r="874">
      <c r="C874" s="47"/>
      <c r="P874" s="25"/>
      <c r="Q874" s="25"/>
      <c r="R874" s="25"/>
      <c r="S874" s="25"/>
      <c r="T874" s="25"/>
      <c r="U874" s="25"/>
    </row>
    <row r="875">
      <c r="C875" s="47"/>
      <c r="P875" s="25"/>
      <c r="Q875" s="25"/>
      <c r="R875" s="25"/>
      <c r="S875" s="25"/>
      <c r="T875" s="25"/>
      <c r="U875" s="25"/>
    </row>
    <row r="876">
      <c r="C876" s="47"/>
      <c r="P876" s="25"/>
      <c r="Q876" s="25"/>
      <c r="R876" s="25"/>
      <c r="S876" s="25"/>
      <c r="T876" s="25"/>
      <c r="U876" s="25"/>
    </row>
    <row r="877">
      <c r="C877" s="47"/>
      <c r="P877" s="25"/>
      <c r="Q877" s="25"/>
      <c r="R877" s="25"/>
      <c r="S877" s="25"/>
      <c r="T877" s="25"/>
      <c r="U877" s="25"/>
    </row>
    <row r="878">
      <c r="C878" s="47"/>
      <c r="P878" s="25"/>
      <c r="Q878" s="25"/>
      <c r="R878" s="25"/>
      <c r="S878" s="25"/>
      <c r="T878" s="25"/>
      <c r="U878" s="25"/>
    </row>
    <row r="879">
      <c r="C879" s="47"/>
      <c r="P879" s="25"/>
      <c r="Q879" s="25"/>
      <c r="R879" s="25"/>
      <c r="S879" s="25"/>
      <c r="T879" s="25"/>
      <c r="U879" s="25"/>
    </row>
    <row r="880">
      <c r="C880" s="47"/>
      <c r="P880" s="25"/>
      <c r="Q880" s="25"/>
      <c r="R880" s="25"/>
      <c r="S880" s="25"/>
      <c r="T880" s="25"/>
      <c r="U880" s="25"/>
    </row>
    <row r="881">
      <c r="C881" s="47"/>
      <c r="P881" s="25"/>
      <c r="Q881" s="25"/>
      <c r="R881" s="25"/>
      <c r="S881" s="25"/>
      <c r="T881" s="25"/>
      <c r="U881" s="25"/>
    </row>
    <row r="882">
      <c r="C882" s="47"/>
      <c r="P882" s="25"/>
      <c r="Q882" s="25"/>
      <c r="R882" s="25"/>
      <c r="S882" s="25"/>
      <c r="T882" s="25"/>
      <c r="U882" s="25"/>
    </row>
    <row r="883">
      <c r="C883" s="47"/>
      <c r="P883" s="25"/>
      <c r="Q883" s="25"/>
      <c r="R883" s="25"/>
      <c r="S883" s="25"/>
      <c r="T883" s="25"/>
      <c r="U883" s="25"/>
    </row>
    <row r="884">
      <c r="C884" s="47"/>
      <c r="P884" s="25"/>
      <c r="Q884" s="25"/>
      <c r="R884" s="25"/>
      <c r="S884" s="25"/>
      <c r="T884" s="25"/>
      <c r="U884" s="25"/>
    </row>
    <row r="885">
      <c r="C885" s="47"/>
      <c r="P885" s="25"/>
      <c r="Q885" s="25"/>
      <c r="R885" s="25"/>
      <c r="S885" s="25"/>
      <c r="T885" s="25"/>
      <c r="U885" s="25"/>
    </row>
    <row r="886">
      <c r="C886" s="47"/>
      <c r="P886" s="25"/>
      <c r="Q886" s="25"/>
      <c r="R886" s="25"/>
      <c r="S886" s="25"/>
      <c r="T886" s="25"/>
      <c r="U886" s="25"/>
    </row>
    <row r="887">
      <c r="C887" s="47"/>
      <c r="P887" s="25"/>
      <c r="Q887" s="25"/>
      <c r="R887" s="25"/>
      <c r="S887" s="25"/>
      <c r="T887" s="25"/>
      <c r="U887" s="25"/>
    </row>
    <row r="888">
      <c r="C888" s="47"/>
      <c r="P888" s="25"/>
      <c r="Q888" s="25"/>
      <c r="R888" s="25"/>
      <c r="S888" s="25"/>
      <c r="T888" s="25"/>
      <c r="U888" s="25"/>
    </row>
    <row r="889">
      <c r="C889" s="47"/>
      <c r="P889" s="25"/>
      <c r="Q889" s="25"/>
      <c r="R889" s="25"/>
      <c r="S889" s="25"/>
      <c r="T889" s="25"/>
      <c r="U889" s="25"/>
    </row>
    <row r="890">
      <c r="C890" s="47"/>
      <c r="P890" s="25"/>
      <c r="Q890" s="25"/>
      <c r="R890" s="25"/>
      <c r="S890" s="25"/>
      <c r="T890" s="25"/>
      <c r="U890" s="25"/>
    </row>
    <row r="891">
      <c r="C891" s="47"/>
      <c r="P891" s="25"/>
      <c r="Q891" s="25"/>
      <c r="R891" s="25"/>
      <c r="S891" s="25"/>
      <c r="T891" s="25"/>
      <c r="U891" s="25"/>
    </row>
    <row r="892">
      <c r="C892" s="47"/>
      <c r="P892" s="25"/>
      <c r="Q892" s="25"/>
      <c r="R892" s="25"/>
      <c r="S892" s="25"/>
      <c r="T892" s="25"/>
      <c r="U892" s="25"/>
    </row>
    <row r="893">
      <c r="C893" s="47"/>
      <c r="P893" s="25"/>
      <c r="Q893" s="25"/>
      <c r="R893" s="25"/>
      <c r="S893" s="25"/>
      <c r="T893" s="25"/>
      <c r="U893" s="25"/>
    </row>
    <row r="894">
      <c r="C894" s="47"/>
      <c r="P894" s="25"/>
      <c r="Q894" s="25"/>
      <c r="R894" s="25"/>
      <c r="S894" s="25"/>
      <c r="T894" s="25"/>
      <c r="U894" s="25"/>
    </row>
    <row r="895">
      <c r="C895" s="47"/>
      <c r="P895" s="25"/>
      <c r="Q895" s="25"/>
      <c r="R895" s="25"/>
      <c r="S895" s="25"/>
      <c r="T895" s="25"/>
      <c r="U895" s="25"/>
    </row>
    <row r="896">
      <c r="C896" s="47"/>
      <c r="P896" s="25"/>
      <c r="Q896" s="25"/>
      <c r="R896" s="25"/>
      <c r="S896" s="25"/>
      <c r="T896" s="25"/>
      <c r="U896" s="25"/>
    </row>
    <row r="897">
      <c r="C897" s="47"/>
      <c r="P897" s="25"/>
      <c r="Q897" s="25"/>
      <c r="R897" s="25"/>
      <c r="S897" s="25"/>
      <c r="T897" s="25"/>
      <c r="U897" s="25"/>
    </row>
    <row r="898">
      <c r="C898" s="47"/>
      <c r="P898" s="25"/>
      <c r="Q898" s="25"/>
      <c r="R898" s="25"/>
      <c r="S898" s="25"/>
      <c r="T898" s="25"/>
      <c r="U898" s="25"/>
    </row>
    <row r="899">
      <c r="C899" s="47"/>
      <c r="P899" s="25"/>
      <c r="Q899" s="25"/>
      <c r="R899" s="25"/>
      <c r="S899" s="25"/>
      <c r="T899" s="25"/>
      <c r="U899" s="25"/>
    </row>
    <row r="900">
      <c r="C900" s="47"/>
      <c r="P900" s="25"/>
      <c r="Q900" s="25"/>
      <c r="R900" s="25"/>
      <c r="S900" s="25"/>
      <c r="T900" s="25"/>
      <c r="U900" s="25"/>
    </row>
    <row r="901">
      <c r="C901" s="47"/>
      <c r="P901" s="25"/>
      <c r="Q901" s="25"/>
      <c r="R901" s="25"/>
      <c r="S901" s="25"/>
      <c r="T901" s="25"/>
      <c r="U901" s="25"/>
    </row>
    <row r="902">
      <c r="C902" s="47"/>
      <c r="P902" s="25"/>
      <c r="Q902" s="25"/>
      <c r="R902" s="25"/>
      <c r="S902" s="25"/>
      <c r="T902" s="25"/>
      <c r="U902" s="25"/>
    </row>
    <row r="903">
      <c r="C903" s="47"/>
      <c r="P903" s="25"/>
      <c r="Q903" s="25"/>
      <c r="R903" s="25"/>
      <c r="S903" s="25"/>
      <c r="T903" s="25"/>
      <c r="U903" s="25"/>
    </row>
    <row r="904">
      <c r="C904" s="47"/>
      <c r="P904" s="25"/>
      <c r="Q904" s="25"/>
      <c r="R904" s="25"/>
      <c r="S904" s="25"/>
      <c r="T904" s="25"/>
      <c r="U904" s="25"/>
    </row>
    <row r="905">
      <c r="C905" s="47"/>
      <c r="P905" s="25"/>
      <c r="Q905" s="25"/>
      <c r="R905" s="25"/>
      <c r="S905" s="25"/>
      <c r="T905" s="25"/>
      <c r="U905" s="25"/>
    </row>
    <row r="906">
      <c r="C906" s="47"/>
      <c r="P906" s="25"/>
      <c r="Q906" s="25"/>
      <c r="R906" s="25"/>
      <c r="S906" s="25"/>
      <c r="T906" s="25"/>
      <c r="U906" s="25"/>
    </row>
    <row r="907">
      <c r="C907" s="47"/>
      <c r="P907" s="25"/>
      <c r="Q907" s="25"/>
      <c r="R907" s="25"/>
      <c r="S907" s="25"/>
      <c r="T907" s="25"/>
      <c r="U907" s="25"/>
    </row>
    <row r="908">
      <c r="C908" s="47"/>
      <c r="P908" s="25"/>
      <c r="Q908" s="25"/>
      <c r="R908" s="25"/>
      <c r="S908" s="25"/>
      <c r="T908" s="25"/>
      <c r="U908" s="25"/>
    </row>
    <row r="909">
      <c r="C909" s="47"/>
      <c r="P909" s="25"/>
      <c r="Q909" s="25"/>
      <c r="R909" s="25"/>
      <c r="S909" s="25"/>
      <c r="T909" s="25"/>
      <c r="U909" s="25"/>
    </row>
    <row r="910">
      <c r="C910" s="47"/>
      <c r="P910" s="25"/>
      <c r="Q910" s="25"/>
      <c r="R910" s="25"/>
      <c r="S910" s="25"/>
      <c r="T910" s="25"/>
      <c r="U910" s="25"/>
    </row>
    <row r="911">
      <c r="C911" s="47"/>
      <c r="P911" s="25"/>
      <c r="Q911" s="25"/>
      <c r="R911" s="25"/>
      <c r="S911" s="25"/>
      <c r="T911" s="25"/>
      <c r="U911" s="25"/>
    </row>
    <row r="912">
      <c r="C912" s="47"/>
      <c r="P912" s="25"/>
      <c r="Q912" s="25"/>
      <c r="R912" s="25"/>
      <c r="S912" s="25"/>
      <c r="T912" s="25"/>
      <c r="U912" s="25"/>
    </row>
    <row r="913">
      <c r="C913" s="47"/>
      <c r="P913" s="25"/>
      <c r="Q913" s="25"/>
      <c r="R913" s="25"/>
      <c r="S913" s="25"/>
      <c r="T913" s="25"/>
      <c r="U913" s="25"/>
    </row>
    <row r="914">
      <c r="C914" s="47"/>
      <c r="P914" s="25"/>
      <c r="Q914" s="25"/>
      <c r="R914" s="25"/>
      <c r="S914" s="25"/>
      <c r="T914" s="25"/>
      <c r="U914" s="25"/>
    </row>
    <row r="915">
      <c r="C915" s="47"/>
      <c r="P915" s="25"/>
      <c r="Q915" s="25"/>
      <c r="R915" s="25"/>
      <c r="S915" s="25"/>
      <c r="T915" s="25"/>
      <c r="U915" s="25"/>
    </row>
    <row r="916">
      <c r="C916" s="47"/>
      <c r="P916" s="25"/>
      <c r="Q916" s="25"/>
      <c r="R916" s="25"/>
      <c r="S916" s="25"/>
      <c r="T916" s="25"/>
      <c r="U916" s="25"/>
    </row>
    <row r="917">
      <c r="C917" s="47"/>
      <c r="P917" s="25"/>
      <c r="Q917" s="25"/>
      <c r="R917" s="25"/>
      <c r="S917" s="25"/>
      <c r="T917" s="25"/>
      <c r="U917" s="25"/>
    </row>
    <row r="918">
      <c r="C918" s="47"/>
      <c r="P918" s="25"/>
      <c r="Q918" s="25"/>
      <c r="R918" s="25"/>
      <c r="S918" s="25"/>
      <c r="T918" s="25"/>
      <c r="U918" s="25"/>
    </row>
    <row r="919">
      <c r="C919" s="47"/>
      <c r="P919" s="25"/>
      <c r="Q919" s="25"/>
      <c r="R919" s="25"/>
      <c r="S919" s="25"/>
      <c r="T919" s="25"/>
      <c r="U919" s="25"/>
    </row>
    <row r="920">
      <c r="C920" s="47"/>
      <c r="P920" s="25"/>
      <c r="Q920" s="25"/>
      <c r="R920" s="25"/>
      <c r="S920" s="25"/>
      <c r="T920" s="25"/>
      <c r="U920" s="25"/>
    </row>
    <row r="921">
      <c r="C921" s="47"/>
      <c r="P921" s="25"/>
      <c r="Q921" s="25"/>
      <c r="R921" s="25"/>
      <c r="S921" s="25"/>
      <c r="T921" s="25"/>
      <c r="U921" s="25"/>
    </row>
    <row r="922">
      <c r="C922" s="47"/>
      <c r="P922" s="25"/>
      <c r="Q922" s="25"/>
      <c r="R922" s="25"/>
      <c r="S922" s="25"/>
      <c r="T922" s="25"/>
      <c r="U922" s="25"/>
    </row>
    <row r="923">
      <c r="C923" s="47"/>
      <c r="P923" s="25"/>
      <c r="Q923" s="25"/>
      <c r="R923" s="25"/>
      <c r="S923" s="25"/>
      <c r="T923" s="25"/>
      <c r="U923" s="25"/>
    </row>
    <row r="924">
      <c r="C924" s="47"/>
      <c r="P924" s="25"/>
      <c r="Q924" s="25"/>
      <c r="R924" s="25"/>
      <c r="S924" s="25"/>
      <c r="T924" s="25"/>
      <c r="U924" s="25"/>
    </row>
    <row r="925">
      <c r="C925" s="47"/>
      <c r="P925" s="25"/>
      <c r="Q925" s="25"/>
      <c r="R925" s="25"/>
      <c r="S925" s="25"/>
      <c r="T925" s="25"/>
      <c r="U925" s="25"/>
    </row>
    <row r="926">
      <c r="C926" s="47"/>
      <c r="P926" s="25"/>
      <c r="Q926" s="25"/>
      <c r="R926" s="25"/>
      <c r="S926" s="25"/>
      <c r="T926" s="25"/>
      <c r="U926" s="25"/>
    </row>
    <row r="927">
      <c r="C927" s="47"/>
      <c r="P927" s="25"/>
      <c r="Q927" s="25"/>
      <c r="R927" s="25"/>
      <c r="S927" s="25"/>
      <c r="T927" s="25"/>
      <c r="U927" s="25"/>
    </row>
    <row r="928">
      <c r="C928" s="47"/>
      <c r="P928" s="25"/>
      <c r="Q928" s="25"/>
      <c r="R928" s="25"/>
      <c r="S928" s="25"/>
      <c r="T928" s="25"/>
      <c r="U928" s="25"/>
    </row>
    <row r="929">
      <c r="C929" s="47"/>
      <c r="P929" s="25"/>
      <c r="Q929" s="25"/>
      <c r="R929" s="25"/>
      <c r="S929" s="25"/>
      <c r="T929" s="25"/>
      <c r="U929" s="25"/>
    </row>
    <row r="930">
      <c r="C930" s="47"/>
      <c r="P930" s="25"/>
      <c r="Q930" s="25"/>
      <c r="R930" s="25"/>
      <c r="S930" s="25"/>
      <c r="T930" s="25"/>
      <c r="U930" s="25"/>
    </row>
    <row r="931">
      <c r="C931" s="47"/>
      <c r="P931" s="25"/>
      <c r="Q931" s="25"/>
      <c r="R931" s="25"/>
      <c r="S931" s="25"/>
      <c r="T931" s="25"/>
      <c r="U931" s="25"/>
    </row>
    <row r="932">
      <c r="C932" s="47"/>
      <c r="P932" s="25"/>
      <c r="Q932" s="25"/>
      <c r="R932" s="25"/>
      <c r="S932" s="25"/>
      <c r="T932" s="25"/>
      <c r="U932" s="25"/>
    </row>
    <row r="933">
      <c r="C933" s="47"/>
      <c r="P933" s="25"/>
      <c r="Q933" s="25"/>
      <c r="R933" s="25"/>
      <c r="S933" s="25"/>
      <c r="T933" s="25"/>
      <c r="U933" s="25"/>
    </row>
    <row r="934">
      <c r="C934" s="47"/>
      <c r="P934" s="25"/>
      <c r="Q934" s="25"/>
      <c r="R934" s="25"/>
      <c r="S934" s="25"/>
      <c r="T934" s="25"/>
      <c r="U934" s="25"/>
    </row>
    <row r="935">
      <c r="C935" s="47"/>
      <c r="P935" s="25"/>
      <c r="Q935" s="25"/>
      <c r="R935" s="25"/>
      <c r="S935" s="25"/>
      <c r="T935" s="25"/>
      <c r="U935" s="25"/>
    </row>
    <row r="936">
      <c r="C936" s="47"/>
      <c r="P936" s="25"/>
      <c r="Q936" s="25"/>
      <c r="R936" s="25"/>
      <c r="S936" s="25"/>
      <c r="T936" s="25"/>
      <c r="U936" s="25"/>
    </row>
    <row r="937">
      <c r="C937" s="47"/>
      <c r="P937" s="25"/>
      <c r="Q937" s="25"/>
      <c r="R937" s="25"/>
      <c r="S937" s="25"/>
      <c r="T937" s="25"/>
      <c r="U937" s="25"/>
    </row>
    <row r="938">
      <c r="C938" s="47"/>
      <c r="P938" s="25"/>
      <c r="Q938" s="25"/>
      <c r="R938" s="25"/>
      <c r="S938" s="25"/>
      <c r="T938" s="25"/>
      <c r="U938" s="25"/>
    </row>
    <row r="939">
      <c r="C939" s="47"/>
      <c r="P939" s="25"/>
      <c r="Q939" s="25"/>
      <c r="R939" s="25"/>
      <c r="S939" s="25"/>
      <c r="T939" s="25"/>
      <c r="U939" s="25"/>
    </row>
    <row r="940">
      <c r="C940" s="47"/>
      <c r="P940" s="25"/>
      <c r="Q940" s="25"/>
      <c r="R940" s="25"/>
      <c r="S940" s="25"/>
      <c r="T940" s="25"/>
      <c r="U940" s="25"/>
    </row>
    <row r="941">
      <c r="C941" s="47"/>
      <c r="P941" s="25"/>
      <c r="Q941" s="25"/>
      <c r="R941" s="25"/>
      <c r="S941" s="25"/>
      <c r="T941" s="25"/>
      <c r="U941" s="25"/>
    </row>
    <row r="942">
      <c r="C942" s="47"/>
      <c r="P942" s="25"/>
      <c r="Q942" s="25"/>
      <c r="R942" s="25"/>
      <c r="S942" s="25"/>
      <c r="T942" s="25"/>
      <c r="U942" s="25"/>
    </row>
    <row r="943">
      <c r="C943" s="47"/>
      <c r="P943" s="25"/>
      <c r="Q943" s="25"/>
      <c r="R943" s="25"/>
      <c r="S943" s="25"/>
      <c r="T943" s="25"/>
      <c r="U943" s="25"/>
    </row>
    <row r="944">
      <c r="C944" s="47"/>
      <c r="P944" s="25"/>
      <c r="Q944" s="25"/>
      <c r="R944" s="25"/>
      <c r="S944" s="25"/>
      <c r="T944" s="25"/>
      <c r="U944" s="25"/>
    </row>
    <row r="945">
      <c r="C945" s="47"/>
      <c r="P945" s="25"/>
      <c r="Q945" s="25"/>
      <c r="R945" s="25"/>
      <c r="S945" s="25"/>
      <c r="T945" s="25"/>
      <c r="U945" s="25"/>
    </row>
    <row r="946">
      <c r="C946" s="47"/>
      <c r="P946" s="25"/>
      <c r="Q946" s="25"/>
      <c r="R946" s="25"/>
      <c r="S946" s="25"/>
      <c r="T946" s="25"/>
      <c r="U946" s="25"/>
    </row>
    <row r="947">
      <c r="C947" s="47"/>
      <c r="P947" s="25"/>
      <c r="Q947" s="25"/>
      <c r="R947" s="25"/>
      <c r="S947" s="25"/>
      <c r="T947" s="25"/>
      <c r="U947" s="25"/>
    </row>
    <row r="948">
      <c r="C948" s="47"/>
      <c r="P948" s="25"/>
      <c r="Q948" s="25"/>
      <c r="R948" s="25"/>
      <c r="S948" s="25"/>
      <c r="T948" s="25"/>
      <c r="U948" s="25"/>
    </row>
    <row r="949">
      <c r="C949" s="47"/>
      <c r="P949" s="25"/>
      <c r="Q949" s="25"/>
      <c r="R949" s="25"/>
      <c r="S949" s="25"/>
      <c r="T949" s="25"/>
      <c r="U949" s="25"/>
    </row>
    <row r="950">
      <c r="C950" s="47"/>
      <c r="P950" s="25"/>
      <c r="Q950" s="25"/>
      <c r="R950" s="25"/>
      <c r="S950" s="25"/>
      <c r="T950" s="25"/>
      <c r="U950" s="25"/>
    </row>
    <row r="951">
      <c r="C951" s="47"/>
      <c r="P951" s="25"/>
      <c r="Q951" s="25"/>
      <c r="R951" s="25"/>
      <c r="S951" s="25"/>
      <c r="T951" s="25"/>
      <c r="U951" s="25"/>
    </row>
    <row r="952">
      <c r="C952" s="47"/>
      <c r="P952" s="25"/>
      <c r="Q952" s="25"/>
      <c r="R952" s="25"/>
      <c r="S952" s="25"/>
      <c r="T952" s="25"/>
      <c r="U952" s="25"/>
    </row>
    <row r="953">
      <c r="C953" s="47"/>
      <c r="P953" s="25"/>
      <c r="Q953" s="25"/>
      <c r="R953" s="25"/>
      <c r="S953" s="25"/>
      <c r="T953" s="25"/>
      <c r="U953" s="25"/>
    </row>
    <row r="954">
      <c r="C954" s="47"/>
      <c r="P954" s="25"/>
      <c r="Q954" s="25"/>
      <c r="R954" s="25"/>
      <c r="S954" s="25"/>
      <c r="T954" s="25"/>
      <c r="U954" s="25"/>
    </row>
    <row r="955">
      <c r="C955" s="47"/>
      <c r="P955" s="25"/>
      <c r="Q955" s="25"/>
      <c r="R955" s="25"/>
      <c r="S955" s="25"/>
      <c r="T955" s="25"/>
      <c r="U955" s="25"/>
    </row>
    <row r="956">
      <c r="C956" s="47"/>
      <c r="P956" s="25"/>
      <c r="Q956" s="25"/>
      <c r="R956" s="25"/>
      <c r="S956" s="25"/>
      <c r="T956" s="25"/>
      <c r="U956" s="25"/>
    </row>
    <row r="957">
      <c r="C957" s="47"/>
      <c r="P957" s="25"/>
      <c r="Q957" s="25"/>
      <c r="R957" s="25"/>
      <c r="S957" s="25"/>
      <c r="T957" s="25"/>
      <c r="U957" s="25"/>
    </row>
    <row r="958">
      <c r="C958" s="47"/>
      <c r="P958" s="25"/>
      <c r="Q958" s="25"/>
      <c r="R958" s="25"/>
      <c r="S958" s="25"/>
      <c r="T958" s="25"/>
      <c r="U958" s="25"/>
    </row>
    <row r="959">
      <c r="C959" s="47"/>
      <c r="P959" s="25"/>
      <c r="Q959" s="25"/>
      <c r="R959" s="25"/>
      <c r="S959" s="25"/>
      <c r="T959" s="25"/>
      <c r="U959" s="25"/>
    </row>
    <row r="960">
      <c r="C960" s="47"/>
      <c r="P960" s="25"/>
      <c r="Q960" s="25"/>
      <c r="R960" s="25"/>
      <c r="S960" s="25"/>
      <c r="T960" s="25"/>
      <c r="U960" s="25"/>
    </row>
    <row r="961">
      <c r="C961" s="47"/>
      <c r="P961" s="25"/>
      <c r="Q961" s="25"/>
      <c r="R961" s="25"/>
      <c r="S961" s="25"/>
      <c r="T961" s="25"/>
      <c r="U961" s="25"/>
    </row>
    <row r="962">
      <c r="C962" s="47"/>
      <c r="P962" s="25"/>
      <c r="Q962" s="25"/>
      <c r="R962" s="25"/>
      <c r="S962" s="25"/>
      <c r="T962" s="25"/>
      <c r="U962" s="25"/>
    </row>
    <row r="963">
      <c r="C963" s="47"/>
      <c r="P963" s="25"/>
      <c r="Q963" s="25"/>
      <c r="R963" s="25"/>
      <c r="S963" s="25"/>
      <c r="T963" s="25"/>
      <c r="U963" s="25"/>
    </row>
    <row r="964">
      <c r="C964" s="47"/>
      <c r="P964" s="25"/>
      <c r="Q964" s="25"/>
      <c r="R964" s="25"/>
      <c r="S964" s="25"/>
      <c r="T964" s="25"/>
      <c r="U964" s="25"/>
    </row>
    <row r="965">
      <c r="C965" s="47"/>
      <c r="P965" s="25"/>
      <c r="Q965" s="25"/>
      <c r="R965" s="25"/>
      <c r="S965" s="25"/>
      <c r="T965" s="25"/>
      <c r="U965" s="25"/>
    </row>
    <row r="966">
      <c r="C966" s="47"/>
      <c r="P966" s="25"/>
      <c r="Q966" s="25"/>
      <c r="R966" s="25"/>
      <c r="S966" s="25"/>
      <c r="T966" s="25"/>
      <c r="U966" s="25"/>
    </row>
    <row r="967">
      <c r="C967" s="47"/>
      <c r="P967" s="25"/>
      <c r="Q967" s="25"/>
      <c r="R967" s="25"/>
      <c r="S967" s="25"/>
      <c r="T967" s="25"/>
      <c r="U967" s="25"/>
    </row>
    <row r="968">
      <c r="C968" s="47"/>
      <c r="P968" s="25"/>
      <c r="Q968" s="25"/>
      <c r="R968" s="25"/>
      <c r="S968" s="25"/>
      <c r="T968" s="25"/>
      <c r="U968" s="25"/>
    </row>
    <row r="969">
      <c r="C969" s="47"/>
      <c r="P969" s="25"/>
      <c r="Q969" s="25"/>
      <c r="R969" s="25"/>
      <c r="S969" s="25"/>
      <c r="T969" s="25"/>
      <c r="U969" s="25"/>
    </row>
    <row r="970">
      <c r="C970" s="47"/>
      <c r="P970" s="25"/>
      <c r="Q970" s="25"/>
      <c r="R970" s="25"/>
      <c r="S970" s="25"/>
      <c r="T970" s="25"/>
      <c r="U970" s="25"/>
    </row>
    <row r="971">
      <c r="C971" s="47"/>
      <c r="P971" s="25"/>
      <c r="Q971" s="25"/>
      <c r="R971" s="25"/>
      <c r="S971" s="25"/>
      <c r="T971" s="25"/>
      <c r="U971" s="25"/>
    </row>
    <row r="972">
      <c r="C972" s="47"/>
      <c r="P972" s="25"/>
      <c r="Q972" s="25"/>
      <c r="R972" s="25"/>
      <c r="S972" s="25"/>
      <c r="T972" s="25"/>
      <c r="U972" s="25"/>
    </row>
    <row r="973">
      <c r="C973" s="47"/>
      <c r="P973" s="25"/>
      <c r="Q973" s="25"/>
      <c r="R973" s="25"/>
      <c r="S973" s="25"/>
      <c r="T973" s="25"/>
      <c r="U973" s="25"/>
    </row>
    <row r="974">
      <c r="C974" s="47"/>
      <c r="P974" s="25"/>
      <c r="Q974" s="25"/>
      <c r="R974" s="25"/>
      <c r="S974" s="25"/>
      <c r="T974" s="25"/>
      <c r="U974" s="25"/>
    </row>
    <row r="975">
      <c r="C975" s="47"/>
      <c r="P975" s="25"/>
      <c r="Q975" s="25"/>
      <c r="R975" s="25"/>
      <c r="S975" s="25"/>
      <c r="T975" s="25"/>
      <c r="U975" s="25"/>
    </row>
    <row r="976">
      <c r="C976" s="47"/>
      <c r="P976" s="25"/>
      <c r="Q976" s="25"/>
      <c r="R976" s="25"/>
      <c r="S976" s="25"/>
      <c r="T976" s="25"/>
      <c r="U976" s="25"/>
    </row>
    <row r="977">
      <c r="C977" s="47"/>
      <c r="P977" s="25"/>
      <c r="Q977" s="25"/>
      <c r="R977" s="25"/>
      <c r="S977" s="25"/>
      <c r="T977" s="25"/>
      <c r="U977" s="25"/>
    </row>
    <row r="978">
      <c r="C978" s="47"/>
      <c r="P978" s="25"/>
      <c r="Q978" s="25"/>
      <c r="R978" s="25"/>
      <c r="S978" s="25"/>
      <c r="T978" s="25"/>
      <c r="U978" s="25"/>
    </row>
    <row r="979">
      <c r="C979" s="47"/>
      <c r="P979" s="25"/>
      <c r="Q979" s="25"/>
      <c r="R979" s="25"/>
      <c r="S979" s="25"/>
      <c r="T979" s="25"/>
      <c r="U979" s="25"/>
    </row>
    <row r="980">
      <c r="C980" s="47"/>
      <c r="P980" s="25"/>
      <c r="Q980" s="25"/>
      <c r="R980" s="25"/>
      <c r="S980" s="25"/>
      <c r="T980" s="25"/>
      <c r="U980" s="25"/>
    </row>
    <row r="981">
      <c r="C981" s="47"/>
      <c r="P981" s="25"/>
      <c r="Q981" s="25"/>
      <c r="R981" s="25"/>
      <c r="S981" s="25"/>
      <c r="T981" s="25"/>
      <c r="U981" s="25"/>
    </row>
    <row r="982">
      <c r="C982" s="47"/>
      <c r="P982" s="25"/>
      <c r="Q982" s="25"/>
      <c r="R982" s="25"/>
      <c r="S982" s="25"/>
      <c r="T982" s="25"/>
      <c r="U982" s="25"/>
    </row>
    <row r="983">
      <c r="C983" s="47"/>
      <c r="P983" s="25"/>
      <c r="Q983" s="25"/>
      <c r="R983" s="25"/>
      <c r="S983" s="25"/>
      <c r="T983" s="25"/>
      <c r="U983" s="25"/>
    </row>
    <row r="984">
      <c r="C984" s="47"/>
      <c r="P984" s="25"/>
      <c r="Q984" s="25"/>
      <c r="R984" s="25"/>
      <c r="S984" s="25"/>
      <c r="T984" s="25"/>
      <c r="U984" s="25"/>
    </row>
    <row r="985">
      <c r="C985" s="47"/>
      <c r="P985" s="25"/>
      <c r="Q985" s="25"/>
      <c r="R985" s="25"/>
      <c r="S985" s="25"/>
      <c r="T985" s="25"/>
      <c r="U985" s="25"/>
    </row>
    <row r="986">
      <c r="C986" s="47"/>
      <c r="P986" s="25"/>
      <c r="Q986" s="25"/>
      <c r="R986" s="25"/>
      <c r="S986" s="25"/>
      <c r="T986" s="25"/>
      <c r="U986" s="25"/>
    </row>
    <row r="987">
      <c r="C987" s="47"/>
      <c r="P987" s="25"/>
      <c r="Q987" s="25"/>
      <c r="R987" s="25"/>
      <c r="S987" s="25"/>
      <c r="T987" s="25"/>
      <c r="U987" s="25"/>
    </row>
    <row r="988">
      <c r="C988" s="47"/>
      <c r="P988" s="25"/>
      <c r="Q988" s="25"/>
      <c r="R988" s="25"/>
      <c r="S988" s="25"/>
      <c r="T988" s="25"/>
      <c r="U988" s="25"/>
    </row>
    <row r="989">
      <c r="C989" s="47"/>
      <c r="P989" s="25"/>
      <c r="Q989" s="25"/>
      <c r="R989" s="25"/>
      <c r="S989" s="25"/>
      <c r="T989" s="25"/>
      <c r="U989" s="25"/>
    </row>
    <row r="990">
      <c r="C990" s="47"/>
      <c r="P990" s="25"/>
      <c r="Q990" s="25"/>
      <c r="R990" s="25"/>
      <c r="S990" s="25"/>
      <c r="T990" s="25"/>
      <c r="U990" s="25"/>
    </row>
    <row r="991">
      <c r="C991" s="47"/>
      <c r="P991" s="25"/>
      <c r="Q991" s="25"/>
      <c r="R991" s="25"/>
      <c r="S991" s="25"/>
      <c r="T991" s="25"/>
      <c r="U991" s="25"/>
    </row>
    <row r="992">
      <c r="C992" s="47"/>
      <c r="P992" s="25"/>
      <c r="Q992" s="25"/>
      <c r="R992" s="25"/>
      <c r="S992" s="25"/>
      <c r="T992" s="25"/>
      <c r="U992" s="25"/>
    </row>
    <row r="993">
      <c r="C993" s="47"/>
      <c r="P993" s="25"/>
      <c r="Q993" s="25"/>
      <c r="R993" s="25"/>
      <c r="S993" s="25"/>
      <c r="T993" s="25"/>
      <c r="U993" s="2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9.75"/>
    <col customWidth="1" min="2" max="2" width="63.38"/>
  </cols>
  <sheetData>
    <row r="1">
      <c r="A1" s="1" t="s">
        <v>7</v>
      </c>
      <c r="B1" s="1" t="s">
        <v>10</v>
      </c>
      <c r="C1" s="8"/>
      <c r="D1" s="8"/>
      <c r="E1" s="8"/>
      <c r="F1" s="8"/>
      <c r="G1" s="8"/>
      <c r="H1" s="8"/>
      <c r="I1" s="8"/>
      <c r="J1" s="8"/>
      <c r="K1" s="8"/>
      <c r="L1" s="8"/>
      <c r="M1" s="8"/>
      <c r="N1" s="8"/>
      <c r="O1" s="8"/>
      <c r="P1" s="8"/>
      <c r="Q1" s="8"/>
      <c r="R1" s="8"/>
      <c r="S1" s="8"/>
      <c r="T1" s="8"/>
      <c r="U1" s="8"/>
      <c r="V1" s="8"/>
      <c r="W1" s="8"/>
      <c r="X1" s="8"/>
      <c r="Y1" s="8"/>
      <c r="Z1" s="8"/>
    </row>
    <row r="2">
      <c r="A2" s="34" t="s">
        <v>40</v>
      </c>
      <c r="B2" s="36" t="s">
        <v>64</v>
      </c>
      <c r="C2" s="8"/>
      <c r="D2" s="8"/>
      <c r="E2" s="8"/>
      <c r="F2" s="8"/>
      <c r="G2" s="8"/>
      <c r="H2" s="8"/>
      <c r="I2" s="8"/>
      <c r="J2" s="8"/>
      <c r="K2" s="8"/>
      <c r="L2" s="8"/>
      <c r="M2" s="8"/>
      <c r="N2" s="8"/>
      <c r="O2" s="8"/>
      <c r="P2" s="8"/>
      <c r="Q2" s="8"/>
      <c r="R2" s="8"/>
      <c r="S2" s="8"/>
      <c r="T2" s="8"/>
      <c r="U2" s="8"/>
      <c r="V2" s="8"/>
      <c r="W2" s="8"/>
      <c r="X2" s="8"/>
      <c r="Y2" s="8"/>
      <c r="Z2" s="8"/>
    </row>
    <row r="3">
      <c r="A3" s="3"/>
      <c r="B3" s="44"/>
      <c r="C3" s="8"/>
      <c r="D3" s="8"/>
      <c r="E3" s="8"/>
      <c r="F3" s="8"/>
      <c r="G3" s="8"/>
      <c r="H3" s="8"/>
      <c r="I3" s="8"/>
      <c r="J3" s="8"/>
      <c r="K3" s="8"/>
      <c r="L3" s="8"/>
      <c r="M3" s="8"/>
      <c r="N3" s="8"/>
      <c r="O3" s="8"/>
      <c r="P3" s="8"/>
      <c r="Q3" s="8"/>
      <c r="R3" s="8"/>
      <c r="S3" s="8"/>
      <c r="T3" s="8"/>
      <c r="U3" s="8"/>
      <c r="V3" s="8"/>
      <c r="W3" s="8"/>
      <c r="X3" s="8"/>
      <c r="Y3" s="8"/>
      <c r="Z3" s="8"/>
    </row>
    <row r="4">
      <c r="A4" s="3"/>
      <c r="B4" s="46"/>
      <c r="C4" s="8"/>
      <c r="D4" s="8"/>
      <c r="E4" s="8"/>
      <c r="F4" s="8"/>
      <c r="G4" s="8"/>
      <c r="H4" s="8"/>
      <c r="I4" s="8"/>
      <c r="J4" s="8"/>
      <c r="K4" s="8"/>
      <c r="L4" s="8"/>
      <c r="M4" s="8"/>
      <c r="N4" s="8"/>
      <c r="O4" s="8"/>
      <c r="P4" s="8"/>
      <c r="Q4" s="8"/>
      <c r="R4" s="8"/>
      <c r="S4" s="8"/>
      <c r="T4" s="8"/>
      <c r="U4" s="8"/>
      <c r="V4" s="8"/>
      <c r="W4" s="8"/>
      <c r="X4" s="8"/>
      <c r="Y4" s="8"/>
      <c r="Z4" s="8"/>
    </row>
    <row r="5">
      <c r="A5" s="8"/>
      <c r="B5" s="8"/>
      <c r="C5" s="8"/>
      <c r="D5" s="8"/>
      <c r="E5" s="8"/>
      <c r="F5" s="8"/>
      <c r="G5" s="8"/>
      <c r="H5" s="8"/>
      <c r="I5" s="8"/>
      <c r="J5" s="8"/>
      <c r="K5" s="8"/>
      <c r="L5" s="8"/>
      <c r="M5" s="8"/>
      <c r="N5" s="8"/>
      <c r="O5" s="8"/>
      <c r="P5" s="8"/>
      <c r="Q5" s="8"/>
      <c r="R5" s="8"/>
      <c r="S5" s="8"/>
      <c r="T5" s="8"/>
      <c r="U5" s="8"/>
      <c r="V5" s="8"/>
      <c r="W5" s="8"/>
      <c r="X5" s="8"/>
      <c r="Y5" s="8"/>
      <c r="Z5" s="8"/>
    </row>
    <row r="6">
      <c r="A6" s="8"/>
      <c r="B6" s="8"/>
      <c r="C6" s="8"/>
      <c r="D6" s="8"/>
      <c r="E6" s="8"/>
      <c r="F6" s="8"/>
      <c r="G6" s="8"/>
      <c r="H6" s="8"/>
      <c r="I6" s="8"/>
      <c r="J6" s="8"/>
      <c r="K6" s="8"/>
      <c r="L6" s="8"/>
      <c r="M6" s="8"/>
      <c r="N6" s="8"/>
      <c r="O6" s="8"/>
      <c r="P6" s="8"/>
      <c r="Q6" s="8"/>
      <c r="R6" s="8"/>
      <c r="S6" s="8"/>
      <c r="T6" s="8"/>
      <c r="U6" s="8"/>
      <c r="V6" s="8"/>
      <c r="W6" s="8"/>
      <c r="X6" s="8"/>
      <c r="Y6" s="8"/>
      <c r="Z6" s="8"/>
    </row>
    <row r="7">
      <c r="A7" s="8"/>
      <c r="B7" s="8"/>
      <c r="C7" s="8"/>
      <c r="D7" s="8"/>
      <c r="E7" s="8"/>
      <c r="F7" s="8"/>
      <c r="G7" s="8"/>
      <c r="H7" s="8"/>
      <c r="I7" s="8"/>
      <c r="J7" s="8"/>
      <c r="K7" s="8"/>
      <c r="L7" s="8"/>
      <c r="M7" s="8"/>
      <c r="N7" s="8"/>
      <c r="O7" s="8"/>
      <c r="P7" s="8"/>
      <c r="Q7" s="8"/>
      <c r="R7" s="8"/>
      <c r="S7" s="8"/>
      <c r="T7" s="8"/>
      <c r="U7" s="8"/>
      <c r="V7" s="8"/>
      <c r="W7" s="8"/>
      <c r="X7" s="8"/>
      <c r="Y7" s="8"/>
      <c r="Z7" s="8"/>
    </row>
    <row r="8">
      <c r="A8" s="8"/>
      <c r="B8" s="8"/>
      <c r="C8" s="8"/>
      <c r="D8" s="8"/>
      <c r="E8" s="8"/>
      <c r="F8" s="8"/>
      <c r="G8" s="8"/>
      <c r="H8" s="8"/>
      <c r="I8" s="8"/>
      <c r="J8" s="8"/>
      <c r="K8" s="8"/>
      <c r="L8" s="8"/>
      <c r="M8" s="8"/>
      <c r="N8" s="8"/>
      <c r="O8" s="8"/>
      <c r="P8" s="8"/>
      <c r="Q8" s="8"/>
      <c r="R8" s="8"/>
      <c r="S8" s="8"/>
      <c r="T8" s="8"/>
      <c r="U8" s="8"/>
      <c r="V8" s="8"/>
      <c r="W8" s="8"/>
      <c r="X8" s="8"/>
      <c r="Y8" s="8"/>
      <c r="Z8" s="8"/>
    </row>
    <row r="9">
      <c r="A9" s="8"/>
      <c r="B9" s="8"/>
      <c r="C9" s="8"/>
      <c r="D9" s="8"/>
      <c r="E9" s="8"/>
      <c r="F9" s="8"/>
      <c r="G9" s="8"/>
      <c r="H9" s="8"/>
      <c r="I9" s="8"/>
      <c r="J9" s="8"/>
      <c r="K9" s="8"/>
      <c r="L9" s="8"/>
      <c r="M9" s="8"/>
      <c r="N9" s="8"/>
      <c r="O9" s="8"/>
      <c r="P9" s="8"/>
      <c r="Q9" s="8"/>
      <c r="R9" s="8"/>
      <c r="S9" s="8"/>
      <c r="T9" s="8"/>
      <c r="U9" s="8"/>
      <c r="V9" s="8"/>
      <c r="W9" s="8"/>
      <c r="X9" s="8"/>
      <c r="Y9" s="8"/>
      <c r="Z9" s="8"/>
    </row>
    <row r="10">
      <c r="A10" s="8"/>
      <c r="B10" s="8"/>
      <c r="C10" s="8"/>
      <c r="D10" s="8"/>
      <c r="E10" s="8"/>
      <c r="F10" s="8"/>
      <c r="G10" s="8"/>
      <c r="H10" s="8"/>
      <c r="I10" s="8"/>
      <c r="J10" s="8"/>
      <c r="K10" s="8"/>
      <c r="L10" s="8"/>
      <c r="M10" s="8"/>
      <c r="N10" s="8"/>
      <c r="O10" s="8"/>
      <c r="P10" s="8"/>
      <c r="Q10" s="8"/>
      <c r="R10" s="8"/>
      <c r="S10" s="8"/>
      <c r="T10" s="8"/>
      <c r="U10" s="8"/>
      <c r="V10" s="8"/>
      <c r="W10" s="8"/>
      <c r="X10" s="8"/>
      <c r="Y10" s="8"/>
      <c r="Z10" s="8"/>
    </row>
    <row r="11">
      <c r="A11" s="8"/>
      <c r="B11" s="8"/>
      <c r="C11" s="8"/>
      <c r="D11" s="8"/>
      <c r="E11" s="8"/>
      <c r="F11" s="8"/>
      <c r="G11" s="8"/>
      <c r="H11" s="8"/>
      <c r="I11" s="8"/>
      <c r="J11" s="8"/>
      <c r="K11" s="8"/>
      <c r="L11" s="8"/>
      <c r="M11" s="8"/>
      <c r="N11" s="8"/>
      <c r="O11" s="8"/>
      <c r="P11" s="8"/>
      <c r="Q11" s="8"/>
      <c r="R11" s="8"/>
      <c r="S11" s="8"/>
      <c r="T11" s="8"/>
      <c r="U11" s="8"/>
      <c r="V11" s="8"/>
      <c r="W11" s="8"/>
      <c r="X11" s="8"/>
      <c r="Y11" s="8"/>
      <c r="Z11" s="8"/>
    </row>
    <row r="12">
      <c r="A12" s="8"/>
      <c r="B12" s="8"/>
      <c r="C12" s="8"/>
      <c r="D12" s="8"/>
      <c r="E12" s="8"/>
      <c r="F12" s="8"/>
      <c r="G12" s="8"/>
      <c r="H12" s="8"/>
      <c r="I12" s="8"/>
      <c r="J12" s="8"/>
      <c r="K12" s="8"/>
      <c r="L12" s="8"/>
      <c r="M12" s="8"/>
      <c r="N12" s="8"/>
      <c r="O12" s="8"/>
      <c r="P12" s="8"/>
      <c r="Q12" s="8"/>
      <c r="R12" s="8"/>
      <c r="S12" s="8"/>
      <c r="T12" s="8"/>
      <c r="U12" s="8"/>
      <c r="V12" s="8"/>
      <c r="W12" s="8"/>
      <c r="X12" s="8"/>
      <c r="Y12" s="8"/>
      <c r="Z12" s="8"/>
    </row>
    <row r="13">
      <c r="A13" s="8"/>
      <c r="B13" s="8"/>
      <c r="C13" s="8"/>
      <c r="D13" s="8"/>
      <c r="E13" s="8"/>
      <c r="F13" s="8"/>
      <c r="G13" s="8"/>
      <c r="H13" s="8"/>
      <c r="I13" s="8"/>
      <c r="J13" s="8"/>
      <c r="K13" s="8"/>
      <c r="L13" s="8"/>
      <c r="M13" s="8"/>
      <c r="N13" s="8"/>
      <c r="O13" s="8"/>
      <c r="P13" s="8"/>
      <c r="Q13" s="8"/>
      <c r="R13" s="8"/>
      <c r="S13" s="8"/>
      <c r="T13" s="8"/>
      <c r="U13" s="8"/>
      <c r="V13" s="8"/>
      <c r="W13" s="8"/>
      <c r="X13" s="8"/>
      <c r="Y13" s="8"/>
      <c r="Z13" s="8"/>
    </row>
    <row r="14">
      <c r="A14" s="8"/>
      <c r="B14" s="8"/>
      <c r="C14" s="8"/>
      <c r="D14" s="8"/>
      <c r="E14" s="8"/>
      <c r="F14" s="8"/>
      <c r="G14" s="8"/>
      <c r="H14" s="8"/>
      <c r="I14" s="8"/>
      <c r="J14" s="8"/>
      <c r="K14" s="8"/>
      <c r="L14" s="8"/>
      <c r="M14" s="8"/>
      <c r="N14" s="8"/>
      <c r="O14" s="8"/>
      <c r="P14" s="8"/>
      <c r="Q14" s="8"/>
      <c r="R14" s="8"/>
      <c r="S14" s="8"/>
      <c r="T14" s="8"/>
      <c r="U14" s="8"/>
      <c r="V14" s="8"/>
      <c r="W14" s="8"/>
      <c r="X14" s="8"/>
      <c r="Y14" s="8"/>
      <c r="Z14" s="8"/>
    </row>
    <row r="15">
      <c r="A15" s="8"/>
      <c r="B15" s="8"/>
      <c r="C15" s="8"/>
      <c r="D15" s="8"/>
      <c r="E15" s="8"/>
      <c r="F15" s="8"/>
      <c r="G15" s="8"/>
      <c r="H15" s="8"/>
      <c r="I15" s="8"/>
      <c r="J15" s="8"/>
      <c r="K15" s="8"/>
      <c r="L15" s="8"/>
      <c r="M15" s="8"/>
      <c r="N15" s="8"/>
      <c r="O15" s="8"/>
      <c r="P15" s="8"/>
      <c r="Q15" s="8"/>
      <c r="R15" s="8"/>
      <c r="S15" s="8"/>
      <c r="T15" s="8"/>
      <c r="U15" s="8"/>
      <c r="V15" s="8"/>
      <c r="W15" s="8"/>
      <c r="X15" s="8"/>
      <c r="Y15" s="8"/>
      <c r="Z15" s="8"/>
    </row>
    <row r="16">
      <c r="A16" s="8"/>
      <c r="B16" s="8"/>
      <c r="C16" s="8"/>
      <c r="D16" s="8"/>
      <c r="E16" s="8"/>
      <c r="F16" s="8"/>
      <c r="G16" s="8"/>
      <c r="H16" s="8"/>
      <c r="I16" s="8"/>
      <c r="J16" s="8"/>
      <c r="K16" s="8"/>
      <c r="L16" s="8"/>
      <c r="M16" s="8"/>
      <c r="N16" s="8"/>
      <c r="O16" s="8"/>
      <c r="P16" s="8"/>
      <c r="Q16" s="8"/>
      <c r="R16" s="8"/>
      <c r="S16" s="8"/>
      <c r="T16" s="8"/>
      <c r="U16" s="8"/>
      <c r="V16" s="8"/>
      <c r="W16" s="8"/>
      <c r="X16" s="8"/>
      <c r="Y16" s="8"/>
      <c r="Z16" s="8"/>
    </row>
    <row r="17">
      <c r="A17" s="8"/>
      <c r="B17" s="8"/>
      <c r="C17" s="8"/>
      <c r="D17" s="8"/>
      <c r="E17" s="8"/>
      <c r="F17" s="8"/>
      <c r="G17" s="8"/>
      <c r="H17" s="8"/>
      <c r="I17" s="8"/>
      <c r="J17" s="8"/>
      <c r="K17" s="8"/>
      <c r="L17" s="8"/>
      <c r="M17" s="8"/>
      <c r="N17" s="8"/>
      <c r="O17" s="8"/>
      <c r="P17" s="8"/>
      <c r="Q17" s="8"/>
      <c r="R17" s="8"/>
      <c r="S17" s="8"/>
      <c r="T17" s="8"/>
      <c r="U17" s="8"/>
      <c r="V17" s="8"/>
      <c r="W17" s="8"/>
      <c r="X17" s="8"/>
      <c r="Y17" s="8"/>
      <c r="Z17" s="8"/>
    </row>
    <row r="18">
      <c r="A18" s="8"/>
      <c r="B18" s="8"/>
      <c r="C18" s="8"/>
      <c r="D18" s="8"/>
      <c r="E18" s="8"/>
      <c r="F18" s="8"/>
      <c r="G18" s="8"/>
      <c r="H18" s="8"/>
      <c r="I18" s="8"/>
      <c r="J18" s="8"/>
      <c r="K18" s="8"/>
      <c r="L18" s="8"/>
      <c r="M18" s="8"/>
      <c r="N18" s="8"/>
      <c r="O18" s="8"/>
      <c r="P18" s="8"/>
      <c r="Q18" s="8"/>
      <c r="R18" s="8"/>
      <c r="S18" s="8"/>
      <c r="T18" s="8"/>
      <c r="U18" s="8"/>
      <c r="V18" s="8"/>
      <c r="W18" s="8"/>
      <c r="X18" s="8"/>
      <c r="Y18" s="8"/>
      <c r="Z18" s="8"/>
    </row>
    <row r="19">
      <c r="A19" s="8"/>
      <c r="B19" s="8"/>
      <c r="C19" s="8"/>
      <c r="D19" s="8"/>
      <c r="E19" s="8"/>
      <c r="F19" s="8"/>
      <c r="G19" s="8"/>
      <c r="H19" s="8"/>
      <c r="I19" s="8"/>
      <c r="J19" s="8"/>
      <c r="K19" s="8"/>
      <c r="L19" s="8"/>
      <c r="M19" s="8"/>
      <c r="N19" s="8"/>
      <c r="O19" s="8"/>
      <c r="P19" s="8"/>
      <c r="Q19" s="8"/>
      <c r="R19" s="8"/>
      <c r="S19" s="8"/>
      <c r="T19" s="8"/>
      <c r="U19" s="8"/>
      <c r="V19" s="8"/>
      <c r="W19" s="8"/>
      <c r="X19" s="8"/>
      <c r="Y19" s="8"/>
      <c r="Z19" s="8"/>
    </row>
    <row r="20">
      <c r="A20" s="8"/>
      <c r="B20" s="8"/>
      <c r="C20" s="8"/>
      <c r="D20" s="8"/>
      <c r="E20" s="8"/>
      <c r="F20" s="8"/>
      <c r="G20" s="8"/>
      <c r="H20" s="8"/>
      <c r="I20" s="8"/>
      <c r="J20" s="8"/>
      <c r="K20" s="8"/>
      <c r="L20" s="8"/>
      <c r="M20" s="8"/>
      <c r="N20" s="8"/>
      <c r="O20" s="8"/>
      <c r="P20" s="8"/>
      <c r="Q20" s="8"/>
      <c r="R20" s="8"/>
      <c r="S20" s="8"/>
      <c r="T20" s="8"/>
      <c r="U20" s="8"/>
      <c r="V20" s="8"/>
      <c r="W20" s="8"/>
      <c r="X20" s="8"/>
      <c r="Y20" s="8"/>
      <c r="Z20" s="8"/>
    </row>
    <row r="21">
      <c r="A21" s="8"/>
      <c r="B21" s="8"/>
      <c r="C21" s="8"/>
      <c r="D21" s="8"/>
      <c r="E21" s="8"/>
      <c r="F21" s="8"/>
      <c r="G21" s="8"/>
      <c r="H21" s="8"/>
      <c r="I21" s="8"/>
      <c r="J21" s="8"/>
      <c r="K21" s="8"/>
      <c r="L21" s="8"/>
      <c r="M21" s="8"/>
      <c r="N21" s="8"/>
      <c r="O21" s="8"/>
      <c r="P21" s="8"/>
      <c r="Q21" s="8"/>
      <c r="R21" s="8"/>
      <c r="S21" s="8"/>
      <c r="T21" s="8"/>
      <c r="U21" s="8"/>
      <c r="V21" s="8"/>
      <c r="W21" s="8"/>
      <c r="X21" s="8"/>
      <c r="Y21" s="8"/>
      <c r="Z21" s="8"/>
    </row>
    <row r="22">
      <c r="A22" s="8"/>
      <c r="B22" s="8"/>
      <c r="C22" s="8"/>
      <c r="D22" s="8"/>
      <c r="E22" s="8"/>
      <c r="F22" s="8"/>
      <c r="G22" s="8"/>
      <c r="H22" s="8"/>
      <c r="I22" s="8"/>
      <c r="J22" s="8"/>
      <c r="K22" s="8"/>
      <c r="L22" s="8"/>
      <c r="M22" s="8"/>
      <c r="N22" s="8"/>
      <c r="O22" s="8"/>
      <c r="P22" s="8"/>
      <c r="Q22" s="8"/>
      <c r="R22" s="8"/>
      <c r="S22" s="8"/>
      <c r="T22" s="8"/>
      <c r="U22" s="8"/>
      <c r="V22" s="8"/>
      <c r="W22" s="8"/>
      <c r="X22" s="8"/>
      <c r="Y22" s="8"/>
      <c r="Z22" s="8"/>
    </row>
    <row r="23">
      <c r="A23" s="8"/>
      <c r="B23" s="8"/>
      <c r="C23" s="8"/>
      <c r="D23" s="8"/>
      <c r="E23" s="8"/>
      <c r="F23" s="8"/>
      <c r="G23" s="8"/>
      <c r="H23" s="8"/>
      <c r="I23" s="8"/>
      <c r="J23" s="8"/>
      <c r="K23" s="8"/>
      <c r="L23" s="8"/>
      <c r="M23" s="8"/>
      <c r="N23" s="8"/>
      <c r="O23" s="8"/>
      <c r="P23" s="8"/>
      <c r="Q23" s="8"/>
      <c r="R23" s="8"/>
      <c r="S23" s="8"/>
      <c r="T23" s="8"/>
      <c r="U23" s="8"/>
      <c r="V23" s="8"/>
      <c r="W23" s="8"/>
      <c r="X23" s="8"/>
      <c r="Y23" s="8"/>
      <c r="Z23" s="8"/>
    </row>
    <row r="24">
      <c r="A24" s="8"/>
      <c r="B24" s="8"/>
      <c r="C24" s="8"/>
      <c r="D24" s="8"/>
      <c r="E24" s="8"/>
      <c r="F24" s="8"/>
      <c r="G24" s="8"/>
      <c r="H24" s="8"/>
      <c r="I24" s="8"/>
      <c r="J24" s="8"/>
      <c r="K24" s="8"/>
      <c r="L24" s="8"/>
      <c r="M24" s="8"/>
      <c r="N24" s="8"/>
      <c r="O24" s="8"/>
      <c r="P24" s="8"/>
      <c r="Q24" s="8"/>
      <c r="R24" s="8"/>
      <c r="S24" s="8"/>
      <c r="T24" s="8"/>
      <c r="U24" s="8"/>
      <c r="V24" s="8"/>
      <c r="W24" s="8"/>
      <c r="X24" s="8"/>
      <c r="Y24" s="8"/>
      <c r="Z24" s="8"/>
    </row>
    <row r="25">
      <c r="A25" s="8"/>
      <c r="B25" s="8"/>
      <c r="C25" s="8"/>
      <c r="D25" s="8"/>
      <c r="E25" s="8"/>
      <c r="F25" s="8"/>
      <c r="G25" s="8"/>
      <c r="H25" s="8"/>
      <c r="I25" s="8"/>
      <c r="J25" s="8"/>
      <c r="K25" s="8"/>
      <c r="L25" s="8"/>
      <c r="M25" s="8"/>
      <c r="N25" s="8"/>
      <c r="O25" s="8"/>
      <c r="P25" s="8"/>
      <c r="Q25" s="8"/>
      <c r="R25" s="8"/>
      <c r="S25" s="8"/>
      <c r="T25" s="8"/>
      <c r="U25" s="8"/>
      <c r="V25" s="8"/>
      <c r="W25" s="8"/>
      <c r="X25" s="8"/>
      <c r="Y25" s="8"/>
      <c r="Z25" s="8"/>
    </row>
    <row r="26">
      <c r="A26" s="8"/>
      <c r="B26" s="8"/>
      <c r="C26" s="8"/>
      <c r="D26" s="8"/>
      <c r="E26" s="8"/>
      <c r="F26" s="8"/>
      <c r="G26" s="8"/>
      <c r="H26" s="8"/>
      <c r="I26" s="8"/>
      <c r="J26" s="8"/>
      <c r="K26" s="8"/>
      <c r="L26" s="8"/>
      <c r="M26" s="8"/>
      <c r="N26" s="8"/>
      <c r="O26" s="8"/>
      <c r="P26" s="8"/>
      <c r="Q26" s="8"/>
      <c r="R26" s="8"/>
      <c r="S26" s="8"/>
      <c r="T26" s="8"/>
      <c r="U26" s="8"/>
      <c r="V26" s="8"/>
      <c r="W26" s="8"/>
      <c r="X26" s="8"/>
      <c r="Y26" s="8"/>
      <c r="Z26" s="8"/>
    </row>
    <row r="27">
      <c r="A27" s="8"/>
      <c r="B27" s="8"/>
      <c r="C27" s="8"/>
      <c r="D27" s="8"/>
      <c r="E27" s="8"/>
      <c r="F27" s="8"/>
      <c r="G27" s="8"/>
      <c r="H27" s="8"/>
      <c r="I27" s="8"/>
      <c r="J27" s="8"/>
      <c r="K27" s="8"/>
      <c r="L27" s="8"/>
      <c r="M27" s="8"/>
      <c r="N27" s="8"/>
      <c r="O27" s="8"/>
      <c r="P27" s="8"/>
      <c r="Q27" s="8"/>
      <c r="R27" s="8"/>
      <c r="S27" s="8"/>
      <c r="T27" s="8"/>
      <c r="U27" s="8"/>
      <c r="V27" s="8"/>
      <c r="W27" s="8"/>
      <c r="X27" s="8"/>
      <c r="Y27" s="8"/>
      <c r="Z27" s="8"/>
    </row>
    <row r="28">
      <c r="A28" s="8"/>
      <c r="B28" s="8"/>
      <c r="C28" s="8"/>
      <c r="D28" s="8"/>
      <c r="E28" s="8"/>
      <c r="F28" s="8"/>
      <c r="G28" s="8"/>
      <c r="H28" s="8"/>
      <c r="I28" s="8"/>
      <c r="J28" s="8"/>
      <c r="K28" s="8"/>
      <c r="L28" s="8"/>
      <c r="M28" s="8"/>
      <c r="N28" s="8"/>
      <c r="O28" s="8"/>
      <c r="P28" s="8"/>
      <c r="Q28" s="8"/>
      <c r="R28" s="8"/>
      <c r="S28" s="8"/>
      <c r="T28" s="8"/>
      <c r="U28" s="8"/>
      <c r="V28" s="8"/>
      <c r="W28" s="8"/>
      <c r="X28" s="8"/>
      <c r="Y28" s="8"/>
      <c r="Z28" s="8"/>
    </row>
    <row r="29">
      <c r="A29" s="8"/>
      <c r="B29" s="8"/>
      <c r="C29" s="8"/>
      <c r="D29" s="8"/>
      <c r="E29" s="8"/>
      <c r="F29" s="8"/>
      <c r="G29" s="8"/>
      <c r="H29" s="8"/>
      <c r="I29" s="8"/>
      <c r="J29" s="8"/>
      <c r="K29" s="8"/>
      <c r="L29" s="8"/>
      <c r="M29" s="8"/>
      <c r="N29" s="8"/>
      <c r="O29" s="8"/>
      <c r="P29" s="8"/>
      <c r="Q29" s="8"/>
      <c r="R29" s="8"/>
      <c r="S29" s="8"/>
      <c r="T29" s="8"/>
      <c r="U29" s="8"/>
      <c r="V29" s="8"/>
      <c r="W29" s="8"/>
      <c r="X29" s="8"/>
      <c r="Y29" s="8"/>
      <c r="Z29" s="8"/>
    </row>
    <row r="30">
      <c r="A30" s="8"/>
      <c r="B30" s="8"/>
      <c r="C30" s="8"/>
      <c r="D30" s="8"/>
      <c r="E30" s="8"/>
      <c r="F30" s="8"/>
      <c r="G30" s="8"/>
      <c r="H30" s="8"/>
      <c r="I30" s="8"/>
      <c r="J30" s="8"/>
      <c r="K30" s="8"/>
      <c r="L30" s="8"/>
      <c r="M30" s="8"/>
      <c r="N30" s="8"/>
      <c r="O30" s="8"/>
      <c r="P30" s="8"/>
      <c r="Q30" s="8"/>
      <c r="R30" s="8"/>
      <c r="S30" s="8"/>
      <c r="T30" s="8"/>
      <c r="U30" s="8"/>
      <c r="V30" s="8"/>
      <c r="W30" s="8"/>
      <c r="X30" s="8"/>
      <c r="Y30" s="8"/>
      <c r="Z30" s="8"/>
    </row>
    <row r="31">
      <c r="A31" s="8"/>
      <c r="B31" s="8"/>
      <c r="C31" s="8"/>
      <c r="D31" s="8"/>
      <c r="E31" s="8"/>
      <c r="F31" s="8"/>
      <c r="G31" s="8"/>
      <c r="H31" s="8"/>
      <c r="I31" s="8"/>
      <c r="J31" s="8"/>
      <c r="K31" s="8"/>
      <c r="L31" s="8"/>
      <c r="M31" s="8"/>
      <c r="N31" s="8"/>
      <c r="O31" s="8"/>
      <c r="P31" s="8"/>
      <c r="Q31" s="8"/>
      <c r="R31" s="8"/>
      <c r="S31" s="8"/>
      <c r="T31" s="8"/>
      <c r="U31" s="8"/>
      <c r="V31" s="8"/>
      <c r="W31" s="8"/>
      <c r="X31" s="8"/>
      <c r="Y31" s="8"/>
      <c r="Z31" s="8"/>
    </row>
    <row r="32">
      <c r="A32" s="8"/>
      <c r="B32" s="8"/>
      <c r="C32" s="8"/>
      <c r="D32" s="8"/>
      <c r="E32" s="8"/>
      <c r="F32" s="8"/>
      <c r="G32" s="8"/>
      <c r="H32" s="8"/>
      <c r="I32" s="8"/>
      <c r="J32" s="8"/>
      <c r="K32" s="8"/>
      <c r="L32" s="8"/>
      <c r="M32" s="8"/>
      <c r="N32" s="8"/>
      <c r="O32" s="8"/>
      <c r="P32" s="8"/>
      <c r="Q32" s="8"/>
      <c r="R32" s="8"/>
      <c r="S32" s="8"/>
      <c r="T32" s="8"/>
      <c r="U32" s="8"/>
      <c r="V32" s="8"/>
      <c r="W32" s="8"/>
      <c r="X32" s="8"/>
      <c r="Y32" s="8"/>
      <c r="Z32" s="8"/>
    </row>
    <row r="33">
      <c r="A33" s="8"/>
      <c r="B33" s="8"/>
      <c r="C33" s="8"/>
      <c r="D33" s="8"/>
      <c r="E33" s="8"/>
      <c r="F33" s="8"/>
      <c r="G33" s="8"/>
      <c r="H33" s="8"/>
      <c r="I33" s="8"/>
      <c r="J33" s="8"/>
      <c r="K33" s="8"/>
      <c r="L33" s="8"/>
      <c r="M33" s="8"/>
      <c r="N33" s="8"/>
      <c r="O33" s="8"/>
      <c r="P33" s="8"/>
      <c r="Q33" s="8"/>
      <c r="R33" s="8"/>
      <c r="S33" s="8"/>
      <c r="T33" s="8"/>
      <c r="U33" s="8"/>
      <c r="V33" s="8"/>
      <c r="W33" s="8"/>
      <c r="X33" s="8"/>
      <c r="Y33" s="8"/>
      <c r="Z33" s="8"/>
    </row>
    <row r="34">
      <c r="A34" s="8"/>
      <c r="B34" s="8"/>
      <c r="C34" s="8"/>
      <c r="D34" s="8"/>
      <c r="E34" s="8"/>
      <c r="F34" s="8"/>
      <c r="G34" s="8"/>
      <c r="H34" s="8"/>
      <c r="I34" s="8"/>
      <c r="J34" s="8"/>
      <c r="K34" s="8"/>
      <c r="L34" s="8"/>
      <c r="M34" s="8"/>
      <c r="N34" s="8"/>
      <c r="O34" s="8"/>
      <c r="P34" s="8"/>
      <c r="Q34" s="8"/>
      <c r="R34" s="8"/>
      <c r="S34" s="8"/>
      <c r="T34" s="8"/>
      <c r="U34" s="8"/>
      <c r="V34" s="8"/>
      <c r="W34" s="8"/>
      <c r="X34" s="8"/>
      <c r="Y34" s="8"/>
      <c r="Z34" s="8"/>
    </row>
    <row r="35">
      <c r="A35" s="8"/>
      <c r="B35" s="8"/>
      <c r="C35" s="8"/>
      <c r="D35" s="8"/>
      <c r="E35" s="8"/>
      <c r="F35" s="8"/>
      <c r="G35" s="8"/>
      <c r="H35" s="8"/>
      <c r="I35" s="8"/>
      <c r="J35" s="8"/>
      <c r="K35" s="8"/>
      <c r="L35" s="8"/>
      <c r="M35" s="8"/>
      <c r="N35" s="8"/>
      <c r="O35" s="8"/>
      <c r="P35" s="8"/>
      <c r="Q35" s="8"/>
      <c r="R35" s="8"/>
      <c r="S35" s="8"/>
      <c r="T35" s="8"/>
      <c r="U35" s="8"/>
      <c r="V35" s="8"/>
      <c r="W35" s="8"/>
      <c r="X35" s="8"/>
      <c r="Y35" s="8"/>
      <c r="Z35" s="8"/>
    </row>
    <row r="36">
      <c r="A36" s="8"/>
      <c r="B36" s="8"/>
      <c r="C36" s="8"/>
      <c r="D36" s="8"/>
      <c r="E36" s="8"/>
      <c r="F36" s="8"/>
      <c r="G36" s="8"/>
      <c r="H36" s="8"/>
      <c r="I36" s="8"/>
      <c r="J36" s="8"/>
      <c r="K36" s="8"/>
      <c r="L36" s="8"/>
      <c r="M36" s="8"/>
      <c r="N36" s="8"/>
      <c r="O36" s="8"/>
      <c r="P36" s="8"/>
      <c r="Q36" s="8"/>
      <c r="R36" s="8"/>
      <c r="S36" s="8"/>
      <c r="T36" s="8"/>
      <c r="U36" s="8"/>
      <c r="V36" s="8"/>
      <c r="W36" s="8"/>
      <c r="X36" s="8"/>
      <c r="Y36" s="8"/>
      <c r="Z36" s="8"/>
    </row>
    <row r="37">
      <c r="A37" s="8"/>
      <c r="B37" s="8"/>
      <c r="C37" s="8"/>
      <c r="D37" s="8"/>
      <c r="E37" s="8"/>
      <c r="F37" s="8"/>
      <c r="G37" s="8"/>
      <c r="H37" s="8"/>
      <c r="I37" s="8"/>
      <c r="J37" s="8"/>
      <c r="K37" s="8"/>
      <c r="L37" s="8"/>
      <c r="M37" s="8"/>
      <c r="N37" s="8"/>
      <c r="O37" s="8"/>
      <c r="P37" s="8"/>
      <c r="Q37" s="8"/>
      <c r="R37" s="8"/>
      <c r="S37" s="8"/>
      <c r="T37" s="8"/>
      <c r="U37" s="8"/>
      <c r="V37" s="8"/>
      <c r="W37" s="8"/>
      <c r="X37" s="8"/>
      <c r="Y37" s="8"/>
      <c r="Z37" s="8"/>
    </row>
    <row r="38">
      <c r="A38" s="8"/>
      <c r="B38" s="8"/>
      <c r="C38" s="8"/>
      <c r="D38" s="8"/>
      <c r="E38" s="8"/>
      <c r="F38" s="8"/>
      <c r="G38" s="8"/>
      <c r="H38" s="8"/>
      <c r="I38" s="8"/>
      <c r="J38" s="8"/>
      <c r="K38" s="8"/>
      <c r="L38" s="8"/>
      <c r="M38" s="8"/>
      <c r="N38" s="8"/>
      <c r="O38" s="8"/>
      <c r="P38" s="8"/>
      <c r="Q38" s="8"/>
      <c r="R38" s="8"/>
      <c r="S38" s="8"/>
      <c r="T38" s="8"/>
      <c r="U38" s="8"/>
      <c r="V38" s="8"/>
      <c r="W38" s="8"/>
      <c r="X38" s="8"/>
      <c r="Y38" s="8"/>
      <c r="Z38" s="8"/>
    </row>
    <row r="39">
      <c r="A39" s="8"/>
      <c r="B39" s="8"/>
      <c r="C39" s="8"/>
      <c r="D39" s="8"/>
      <c r="E39" s="8"/>
      <c r="F39" s="8"/>
      <c r="G39" s="8"/>
      <c r="H39" s="8"/>
      <c r="I39" s="8"/>
      <c r="J39" s="8"/>
      <c r="K39" s="8"/>
      <c r="L39" s="8"/>
      <c r="M39" s="8"/>
      <c r="N39" s="8"/>
      <c r="O39" s="8"/>
      <c r="P39" s="8"/>
      <c r="Q39" s="8"/>
      <c r="R39" s="8"/>
      <c r="S39" s="8"/>
      <c r="T39" s="8"/>
      <c r="U39" s="8"/>
      <c r="V39" s="8"/>
      <c r="W39" s="8"/>
      <c r="X39" s="8"/>
      <c r="Y39" s="8"/>
      <c r="Z39" s="8"/>
    </row>
    <row r="40">
      <c r="A40" s="8"/>
      <c r="B40" s="8"/>
      <c r="C40" s="8"/>
      <c r="D40" s="8"/>
      <c r="E40" s="8"/>
      <c r="F40" s="8"/>
      <c r="G40" s="8"/>
      <c r="H40" s="8"/>
      <c r="I40" s="8"/>
      <c r="J40" s="8"/>
      <c r="K40" s="8"/>
      <c r="L40" s="8"/>
      <c r="M40" s="8"/>
      <c r="N40" s="8"/>
      <c r="O40" s="8"/>
      <c r="P40" s="8"/>
      <c r="Q40" s="8"/>
      <c r="R40" s="8"/>
      <c r="S40" s="8"/>
      <c r="T40" s="8"/>
      <c r="U40" s="8"/>
      <c r="V40" s="8"/>
      <c r="W40" s="8"/>
      <c r="X40" s="8"/>
      <c r="Y40" s="8"/>
      <c r="Z40" s="8"/>
    </row>
    <row r="41">
      <c r="A41" s="8"/>
      <c r="B41" s="8"/>
      <c r="C41" s="8"/>
      <c r="D41" s="8"/>
      <c r="E41" s="8"/>
      <c r="F41" s="8"/>
      <c r="G41" s="8"/>
      <c r="H41" s="8"/>
      <c r="I41" s="8"/>
      <c r="J41" s="8"/>
      <c r="K41" s="8"/>
      <c r="L41" s="8"/>
      <c r="M41" s="8"/>
      <c r="N41" s="8"/>
      <c r="O41" s="8"/>
      <c r="P41" s="8"/>
      <c r="Q41" s="8"/>
      <c r="R41" s="8"/>
      <c r="S41" s="8"/>
      <c r="T41" s="8"/>
      <c r="U41" s="8"/>
      <c r="V41" s="8"/>
      <c r="W41" s="8"/>
      <c r="X41" s="8"/>
      <c r="Y41" s="8"/>
      <c r="Z41" s="8"/>
    </row>
    <row r="42">
      <c r="A42" s="8"/>
      <c r="B42" s="8"/>
      <c r="C42" s="8"/>
      <c r="D42" s="8"/>
      <c r="E42" s="8"/>
      <c r="F42" s="8"/>
      <c r="G42" s="8"/>
      <c r="H42" s="8"/>
      <c r="I42" s="8"/>
      <c r="J42" s="8"/>
      <c r="K42" s="8"/>
      <c r="L42" s="8"/>
      <c r="M42" s="8"/>
      <c r="N42" s="8"/>
      <c r="O42" s="8"/>
      <c r="P42" s="8"/>
      <c r="Q42" s="8"/>
      <c r="R42" s="8"/>
      <c r="S42" s="8"/>
      <c r="T42" s="8"/>
      <c r="U42" s="8"/>
      <c r="V42" s="8"/>
      <c r="W42" s="8"/>
      <c r="X42" s="8"/>
      <c r="Y42" s="8"/>
      <c r="Z42" s="8"/>
    </row>
    <row r="43">
      <c r="A43" s="8"/>
      <c r="B43" s="8"/>
      <c r="C43" s="8"/>
      <c r="D43" s="8"/>
      <c r="E43" s="8"/>
      <c r="F43" s="8"/>
      <c r="G43" s="8"/>
      <c r="H43" s="8"/>
      <c r="I43" s="8"/>
      <c r="J43" s="8"/>
      <c r="K43" s="8"/>
      <c r="L43" s="8"/>
      <c r="M43" s="8"/>
      <c r="N43" s="8"/>
      <c r="O43" s="8"/>
      <c r="P43" s="8"/>
      <c r="Q43" s="8"/>
      <c r="R43" s="8"/>
      <c r="S43" s="8"/>
      <c r="T43" s="8"/>
      <c r="U43" s="8"/>
      <c r="V43" s="8"/>
      <c r="W43" s="8"/>
      <c r="X43" s="8"/>
      <c r="Y43" s="8"/>
      <c r="Z43" s="8"/>
    </row>
    <row r="44">
      <c r="A44" s="8"/>
      <c r="B44" s="8"/>
      <c r="C44" s="8"/>
      <c r="D44" s="8"/>
      <c r="E44" s="8"/>
      <c r="F44" s="8"/>
      <c r="G44" s="8"/>
      <c r="H44" s="8"/>
      <c r="I44" s="8"/>
      <c r="J44" s="8"/>
      <c r="K44" s="8"/>
      <c r="L44" s="8"/>
      <c r="M44" s="8"/>
      <c r="N44" s="8"/>
      <c r="O44" s="8"/>
      <c r="P44" s="8"/>
      <c r="Q44" s="8"/>
      <c r="R44" s="8"/>
      <c r="S44" s="8"/>
      <c r="T44" s="8"/>
      <c r="U44" s="8"/>
      <c r="V44" s="8"/>
      <c r="W44" s="8"/>
      <c r="X44" s="8"/>
      <c r="Y44" s="8"/>
      <c r="Z44" s="8"/>
    </row>
    <row r="45">
      <c r="A45" s="8"/>
      <c r="B45" s="8"/>
      <c r="C45" s="8"/>
      <c r="D45" s="8"/>
      <c r="E45" s="8"/>
      <c r="F45" s="8"/>
      <c r="G45" s="8"/>
      <c r="H45" s="8"/>
      <c r="I45" s="8"/>
      <c r="J45" s="8"/>
      <c r="K45" s="8"/>
      <c r="L45" s="8"/>
      <c r="M45" s="8"/>
      <c r="N45" s="8"/>
      <c r="O45" s="8"/>
      <c r="P45" s="8"/>
      <c r="Q45" s="8"/>
      <c r="R45" s="8"/>
      <c r="S45" s="8"/>
      <c r="T45" s="8"/>
      <c r="U45" s="8"/>
      <c r="V45" s="8"/>
      <c r="W45" s="8"/>
      <c r="X45" s="8"/>
      <c r="Y45" s="8"/>
      <c r="Z45" s="8"/>
    </row>
    <row r="46">
      <c r="A46" s="8"/>
      <c r="B46" s="8"/>
      <c r="C46" s="8"/>
      <c r="D46" s="8"/>
      <c r="E46" s="8"/>
      <c r="F46" s="8"/>
      <c r="G46" s="8"/>
      <c r="H46" s="8"/>
      <c r="I46" s="8"/>
      <c r="J46" s="8"/>
      <c r="K46" s="8"/>
      <c r="L46" s="8"/>
      <c r="M46" s="8"/>
      <c r="N46" s="8"/>
      <c r="O46" s="8"/>
      <c r="P46" s="8"/>
      <c r="Q46" s="8"/>
      <c r="R46" s="8"/>
      <c r="S46" s="8"/>
      <c r="T46" s="8"/>
      <c r="U46" s="8"/>
      <c r="V46" s="8"/>
      <c r="W46" s="8"/>
      <c r="X46" s="8"/>
      <c r="Y46" s="8"/>
      <c r="Z46" s="8"/>
    </row>
    <row r="47">
      <c r="A47" s="8"/>
      <c r="B47" s="8"/>
      <c r="C47" s="8"/>
      <c r="D47" s="8"/>
      <c r="E47" s="8"/>
      <c r="F47" s="8"/>
      <c r="G47" s="8"/>
      <c r="H47" s="8"/>
      <c r="I47" s="8"/>
      <c r="J47" s="8"/>
      <c r="K47" s="8"/>
      <c r="L47" s="8"/>
      <c r="M47" s="8"/>
      <c r="N47" s="8"/>
      <c r="O47" s="8"/>
      <c r="P47" s="8"/>
      <c r="Q47" s="8"/>
      <c r="R47" s="8"/>
      <c r="S47" s="8"/>
      <c r="T47" s="8"/>
      <c r="U47" s="8"/>
      <c r="V47" s="8"/>
      <c r="W47" s="8"/>
      <c r="X47" s="8"/>
      <c r="Y47" s="8"/>
      <c r="Z47" s="8"/>
    </row>
    <row r="48">
      <c r="A48" s="8"/>
      <c r="B48" s="8"/>
      <c r="C48" s="8"/>
      <c r="D48" s="8"/>
      <c r="E48" s="8"/>
      <c r="F48" s="8"/>
      <c r="G48" s="8"/>
      <c r="H48" s="8"/>
      <c r="I48" s="8"/>
      <c r="J48" s="8"/>
      <c r="K48" s="8"/>
      <c r="L48" s="8"/>
      <c r="M48" s="8"/>
      <c r="N48" s="8"/>
      <c r="O48" s="8"/>
      <c r="P48" s="8"/>
      <c r="Q48" s="8"/>
      <c r="R48" s="8"/>
      <c r="S48" s="8"/>
      <c r="T48" s="8"/>
      <c r="U48" s="8"/>
      <c r="V48" s="8"/>
      <c r="W48" s="8"/>
      <c r="X48" s="8"/>
      <c r="Y48" s="8"/>
      <c r="Z48" s="8"/>
    </row>
    <row r="49">
      <c r="A49" s="8"/>
      <c r="B49" s="8"/>
      <c r="C49" s="8"/>
      <c r="D49" s="8"/>
      <c r="E49" s="8"/>
      <c r="F49" s="8"/>
      <c r="G49" s="8"/>
      <c r="H49" s="8"/>
      <c r="I49" s="8"/>
      <c r="J49" s="8"/>
      <c r="K49" s="8"/>
      <c r="L49" s="8"/>
      <c r="M49" s="8"/>
      <c r="N49" s="8"/>
      <c r="O49" s="8"/>
      <c r="P49" s="8"/>
      <c r="Q49" s="8"/>
      <c r="R49" s="8"/>
      <c r="S49" s="8"/>
      <c r="T49" s="8"/>
      <c r="U49" s="8"/>
      <c r="V49" s="8"/>
      <c r="W49" s="8"/>
      <c r="X49" s="8"/>
      <c r="Y49" s="8"/>
      <c r="Z49" s="8"/>
    </row>
    <row r="50">
      <c r="A50" s="8"/>
      <c r="B50" s="8"/>
      <c r="C50" s="8"/>
      <c r="D50" s="8"/>
      <c r="E50" s="8"/>
      <c r="F50" s="8"/>
      <c r="G50" s="8"/>
      <c r="H50" s="8"/>
      <c r="I50" s="8"/>
      <c r="J50" s="8"/>
      <c r="K50" s="8"/>
      <c r="L50" s="8"/>
      <c r="M50" s="8"/>
      <c r="N50" s="8"/>
      <c r="O50" s="8"/>
      <c r="P50" s="8"/>
      <c r="Q50" s="8"/>
      <c r="R50" s="8"/>
      <c r="S50" s="8"/>
      <c r="T50" s="8"/>
      <c r="U50" s="8"/>
      <c r="V50" s="8"/>
      <c r="W50" s="8"/>
      <c r="X50" s="8"/>
      <c r="Y50" s="8"/>
      <c r="Z50" s="8"/>
    </row>
    <row r="51">
      <c r="A51" s="8"/>
      <c r="B51" s="8"/>
      <c r="C51" s="8"/>
      <c r="D51" s="8"/>
      <c r="E51" s="8"/>
      <c r="F51" s="8"/>
      <c r="G51" s="8"/>
      <c r="H51" s="8"/>
      <c r="I51" s="8"/>
      <c r="J51" s="8"/>
      <c r="K51" s="8"/>
      <c r="L51" s="8"/>
      <c r="M51" s="8"/>
      <c r="N51" s="8"/>
      <c r="O51" s="8"/>
      <c r="P51" s="8"/>
      <c r="Q51" s="8"/>
      <c r="R51" s="8"/>
      <c r="S51" s="8"/>
      <c r="T51" s="8"/>
      <c r="U51" s="8"/>
      <c r="V51" s="8"/>
      <c r="W51" s="8"/>
      <c r="X51" s="8"/>
      <c r="Y51" s="8"/>
      <c r="Z51" s="8"/>
    </row>
    <row r="52">
      <c r="A52" s="8"/>
      <c r="B52" s="8"/>
      <c r="C52" s="8"/>
      <c r="D52" s="8"/>
      <c r="E52" s="8"/>
      <c r="F52" s="8"/>
      <c r="G52" s="8"/>
      <c r="H52" s="8"/>
      <c r="I52" s="8"/>
      <c r="J52" s="8"/>
      <c r="K52" s="8"/>
      <c r="L52" s="8"/>
      <c r="M52" s="8"/>
      <c r="N52" s="8"/>
      <c r="O52" s="8"/>
      <c r="P52" s="8"/>
      <c r="Q52" s="8"/>
      <c r="R52" s="8"/>
      <c r="S52" s="8"/>
      <c r="T52" s="8"/>
      <c r="U52" s="8"/>
      <c r="V52" s="8"/>
      <c r="W52" s="8"/>
      <c r="X52" s="8"/>
      <c r="Y52" s="8"/>
      <c r="Z52" s="8"/>
    </row>
    <row r="53">
      <c r="A53" s="8"/>
      <c r="B53" s="8"/>
      <c r="C53" s="8"/>
      <c r="D53" s="8"/>
      <c r="E53" s="8"/>
      <c r="F53" s="8"/>
      <c r="G53" s="8"/>
      <c r="H53" s="8"/>
      <c r="I53" s="8"/>
      <c r="J53" s="8"/>
      <c r="K53" s="8"/>
      <c r="L53" s="8"/>
      <c r="M53" s="8"/>
      <c r="N53" s="8"/>
      <c r="O53" s="8"/>
      <c r="P53" s="8"/>
      <c r="Q53" s="8"/>
      <c r="R53" s="8"/>
      <c r="S53" s="8"/>
      <c r="T53" s="8"/>
      <c r="U53" s="8"/>
      <c r="V53" s="8"/>
      <c r="W53" s="8"/>
      <c r="X53" s="8"/>
      <c r="Y53" s="8"/>
      <c r="Z53" s="8"/>
    </row>
    <row r="54">
      <c r="A54" s="8"/>
      <c r="B54" s="8"/>
      <c r="C54" s="8"/>
      <c r="D54" s="8"/>
      <c r="E54" s="8"/>
      <c r="F54" s="8"/>
      <c r="G54" s="8"/>
      <c r="H54" s="8"/>
      <c r="I54" s="8"/>
      <c r="J54" s="8"/>
      <c r="K54" s="8"/>
      <c r="L54" s="8"/>
      <c r="M54" s="8"/>
      <c r="N54" s="8"/>
      <c r="O54" s="8"/>
      <c r="P54" s="8"/>
      <c r="Q54" s="8"/>
      <c r="R54" s="8"/>
      <c r="S54" s="8"/>
      <c r="T54" s="8"/>
      <c r="U54" s="8"/>
      <c r="V54" s="8"/>
      <c r="W54" s="8"/>
      <c r="X54" s="8"/>
      <c r="Y54" s="8"/>
      <c r="Z54" s="8"/>
    </row>
    <row r="55">
      <c r="A55" s="8"/>
      <c r="B55" s="8"/>
      <c r="C55" s="8"/>
      <c r="D55" s="8"/>
      <c r="E55" s="8"/>
      <c r="F55" s="8"/>
      <c r="G55" s="8"/>
      <c r="H55" s="8"/>
      <c r="I55" s="8"/>
      <c r="J55" s="8"/>
      <c r="K55" s="8"/>
      <c r="L55" s="8"/>
      <c r="M55" s="8"/>
      <c r="N55" s="8"/>
      <c r="O55" s="8"/>
      <c r="P55" s="8"/>
      <c r="Q55" s="8"/>
      <c r="R55" s="8"/>
      <c r="S55" s="8"/>
      <c r="T55" s="8"/>
      <c r="U55" s="8"/>
      <c r="V55" s="8"/>
      <c r="W55" s="8"/>
      <c r="X55" s="8"/>
      <c r="Y55" s="8"/>
      <c r="Z55" s="8"/>
    </row>
    <row r="56">
      <c r="A56" s="8"/>
      <c r="B56" s="8"/>
      <c r="C56" s="8"/>
      <c r="D56" s="8"/>
      <c r="E56" s="8"/>
      <c r="F56" s="8"/>
      <c r="G56" s="8"/>
      <c r="H56" s="8"/>
      <c r="I56" s="8"/>
      <c r="J56" s="8"/>
      <c r="K56" s="8"/>
      <c r="L56" s="8"/>
      <c r="M56" s="8"/>
      <c r="N56" s="8"/>
      <c r="O56" s="8"/>
      <c r="P56" s="8"/>
      <c r="Q56" s="8"/>
      <c r="R56" s="8"/>
      <c r="S56" s="8"/>
      <c r="T56" s="8"/>
      <c r="U56" s="8"/>
      <c r="V56" s="8"/>
      <c r="W56" s="8"/>
      <c r="X56" s="8"/>
      <c r="Y56" s="8"/>
      <c r="Z56" s="8"/>
    </row>
    <row r="57">
      <c r="A57" s="8"/>
      <c r="B57" s="8"/>
      <c r="C57" s="8"/>
      <c r="D57" s="8"/>
      <c r="E57" s="8"/>
      <c r="F57" s="8"/>
      <c r="G57" s="8"/>
      <c r="H57" s="8"/>
      <c r="I57" s="8"/>
      <c r="J57" s="8"/>
      <c r="K57" s="8"/>
      <c r="L57" s="8"/>
      <c r="M57" s="8"/>
      <c r="N57" s="8"/>
      <c r="O57" s="8"/>
      <c r="P57" s="8"/>
      <c r="Q57" s="8"/>
      <c r="R57" s="8"/>
      <c r="S57" s="8"/>
      <c r="T57" s="8"/>
      <c r="U57" s="8"/>
      <c r="V57" s="8"/>
      <c r="W57" s="8"/>
      <c r="X57" s="8"/>
      <c r="Y57" s="8"/>
      <c r="Z57" s="8"/>
    </row>
    <row r="58">
      <c r="A58" s="8"/>
      <c r="B58" s="8"/>
      <c r="C58" s="8"/>
      <c r="D58" s="8"/>
      <c r="E58" s="8"/>
      <c r="F58" s="8"/>
      <c r="G58" s="8"/>
      <c r="H58" s="8"/>
      <c r="I58" s="8"/>
      <c r="J58" s="8"/>
      <c r="K58" s="8"/>
      <c r="L58" s="8"/>
      <c r="M58" s="8"/>
      <c r="N58" s="8"/>
      <c r="O58" s="8"/>
      <c r="P58" s="8"/>
      <c r="Q58" s="8"/>
      <c r="R58" s="8"/>
      <c r="S58" s="8"/>
      <c r="T58" s="8"/>
      <c r="U58" s="8"/>
      <c r="V58" s="8"/>
      <c r="W58" s="8"/>
      <c r="X58" s="8"/>
      <c r="Y58" s="8"/>
      <c r="Z58" s="8"/>
    </row>
    <row r="59">
      <c r="A59" s="8"/>
      <c r="B59" s="8"/>
      <c r="C59" s="8"/>
      <c r="D59" s="8"/>
      <c r="E59" s="8"/>
      <c r="F59" s="8"/>
      <c r="G59" s="8"/>
      <c r="H59" s="8"/>
      <c r="I59" s="8"/>
      <c r="J59" s="8"/>
      <c r="K59" s="8"/>
      <c r="L59" s="8"/>
      <c r="M59" s="8"/>
      <c r="N59" s="8"/>
      <c r="O59" s="8"/>
      <c r="P59" s="8"/>
      <c r="Q59" s="8"/>
      <c r="R59" s="8"/>
      <c r="S59" s="8"/>
      <c r="T59" s="8"/>
      <c r="U59" s="8"/>
      <c r="V59" s="8"/>
      <c r="W59" s="8"/>
      <c r="X59" s="8"/>
      <c r="Y59" s="8"/>
      <c r="Z59" s="8"/>
    </row>
    <row r="60">
      <c r="A60" s="8"/>
      <c r="B60" s="8"/>
      <c r="C60" s="8"/>
      <c r="D60" s="8"/>
      <c r="E60" s="8"/>
      <c r="F60" s="8"/>
      <c r="G60" s="8"/>
      <c r="H60" s="8"/>
      <c r="I60" s="8"/>
      <c r="J60" s="8"/>
      <c r="K60" s="8"/>
      <c r="L60" s="8"/>
      <c r="M60" s="8"/>
      <c r="N60" s="8"/>
      <c r="O60" s="8"/>
      <c r="P60" s="8"/>
      <c r="Q60" s="8"/>
      <c r="R60" s="8"/>
      <c r="S60" s="8"/>
      <c r="T60" s="8"/>
      <c r="U60" s="8"/>
      <c r="V60" s="8"/>
      <c r="W60" s="8"/>
      <c r="X60" s="8"/>
      <c r="Y60" s="8"/>
      <c r="Z60" s="8"/>
    </row>
    <row r="61">
      <c r="A61" s="8"/>
      <c r="B61" s="8"/>
      <c r="C61" s="8"/>
      <c r="D61" s="8"/>
      <c r="E61" s="8"/>
      <c r="F61" s="8"/>
      <c r="G61" s="8"/>
      <c r="H61" s="8"/>
      <c r="I61" s="8"/>
      <c r="J61" s="8"/>
      <c r="K61" s="8"/>
      <c r="L61" s="8"/>
      <c r="M61" s="8"/>
      <c r="N61" s="8"/>
      <c r="O61" s="8"/>
      <c r="P61" s="8"/>
      <c r="Q61" s="8"/>
      <c r="R61" s="8"/>
      <c r="S61" s="8"/>
      <c r="T61" s="8"/>
      <c r="U61" s="8"/>
      <c r="V61" s="8"/>
      <c r="W61" s="8"/>
      <c r="X61" s="8"/>
      <c r="Y61" s="8"/>
      <c r="Z61" s="8"/>
    </row>
    <row r="62">
      <c r="A62" s="8"/>
      <c r="B62" s="8"/>
      <c r="C62" s="8"/>
      <c r="D62" s="8"/>
      <c r="E62" s="8"/>
      <c r="F62" s="8"/>
      <c r="G62" s="8"/>
      <c r="H62" s="8"/>
      <c r="I62" s="8"/>
      <c r="J62" s="8"/>
      <c r="K62" s="8"/>
      <c r="L62" s="8"/>
      <c r="M62" s="8"/>
      <c r="N62" s="8"/>
      <c r="O62" s="8"/>
      <c r="P62" s="8"/>
      <c r="Q62" s="8"/>
      <c r="R62" s="8"/>
      <c r="S62" s="8"/>
      <c r="T62" s="8"/>
      <c r="U62" s="8"/>
      <c r="V62" s="8"/>
      <c r="W62" s="8"/>
      <c r="X62" s="8"/>
      <c r="Y62" s="8"/>
      <c r="Z62" s="8"/>
    </row>
    <row r="63">
      <c r="A63" s="8"/>
      <c r="B63" s="8"/>
      <c r="C63" s="8"/>
      <c r="D63" s="8"/>
      <c r="E63" s="8"/>
      <c r="F63" s="8"/>
      <c r="G63" s="8"/>
      <c r="H63" s="8"/>
      <c r="I63" s="8"/>
      <c r="J63" s="8"/>
      <c r="K63" s="8"/>
      <c r="L63" s="8"/>
      <c r="M63" s="8"/>
      <c r="N63" s="8"/>
      <c r="O63" s="8"/>
      <c r="P63" s="8"/>
      <c r="Q63" s="8"/>
      <c r="R63" s="8"/>
      <c r="S63" s="8"/>
      <c r="T63" s="8"/>
      <c r="U63" s="8"/>
      <c r="V63" s="8"/>
      <c r="W63" s="8"/>
      <c r="X63" s="8"/>
      <c r="Y63" s="8"/>
      <c r="Z63" s="8"/>
    </row>
    <row r="64">
      <c r="A64" s="8"/>
      <c r="B64" s="8"/>
      <c r="C64" s="8"/>
      <c r="D64" s="8"/>
      <c r="E64" s="8"/>
      <c r="F64" s="8"/>
      <c r="G64" s="8"/>
      <c r="H64" s="8"/>
      <c r="I64" s="8"/>
      <c r="J64" s="8"/>
      <c r="K64" s="8"/>
      <c r="L64" s="8"/>
      <c r="M64" s="8"/>
      <c r="N64" s="8"/>
      <c r="O64" s="8"/>
      <c r="P64" s="8"/>
      <c r="Q64" s="8"/>
      <c r="R64" s="8"/>
      <c r="S64" s="8"/>
      <c r="T64" s="8"/>
      <c r="U64" s="8"/>
      <c r="V64" s="8"/>
      <c r="W64" s="8"/>
      <c r="X64" s="8"/>
      <c r="Y64" s="8"/>
      <c r="Z64" s="8"/>
    </row>
    <row r="65">
      <c r="A65" s="8"/>
      <c r="B65" s="8"/>
      <c r="C65" s="8"/>
      <c r="D65" s="8"/>
      <c r="E65" s="8"/>
      <c r="F65" s="8"/>
      <c r="G65" s="8"/>
      <c r="H65" s="8"/>
      <c r="I65" s="8"/>
      <c r="J65" s="8"/>
      <c r="K65" s="8"/>
      <c r="L65" s="8"/>
      <c r="M65" s="8"/>
      <c r="N65" s="8"/>
      <c r="O65" s="8"/>
      <c r="P65" s="8"/>
      <c r="Q65" s="8"/>
      <c r="R65" s="8"/>
      <c r="S65" s="8"/>
      <c r="T65" s="8"/>
      <c r="U65" s="8"/>
      <c r="V65" s="8"/>
      <c r="W65" s="8"/>
      <c r="X65" s="8"/>
      <c r="Y65" s="8"/>
      <c r="Z65" s="8"/>
    </row>
    <row r="66">
      <c r="A66" s="8"/>
      <c r="B66" s="8"/>
      <c r="C66" s="8"/>
      <c r="D66" s="8"/>
      <c r="E66" s="8"/>
      <c r="F66" s="8"/>
      <c r="G66" s="8"/>
      <c r="H66" s="8"/>
      <c r="I66" s="8"/>
      <c r="J66" s="8"/>
      <c r="K66" s="8"/>
      <c r="L66" s="8"/>
      <c r="M66" s="8"/>
      <c r="N66" s="8"/>
      <c r="O66" s="8"/>
      <c r="P66" s="8"/>
      <c r="Q66" s="8"/>
      <c r="R66" s="8"/>
      <c r="S66" s="8"/>
      <c r="T66" s="8"/>
      <c r="U66" s="8"/>
      <c r="V66" s="8"/>
      <c r="W66" s="8"/>
      <c r="X66" s="8"/>
      <c r="Y66" s="8"/>
      <c r="Z66" s="8"/>
    </row>
    <row r="67">
      <c r="A67" s="8"/>
      <c r="B67" s="8"/>
      <c r="C67" s="8"/>
      <c r="D67" s="8"/>
      <c r="E67" s="8"/>
      <c r="F67" s="8"/>
      <c r="G67" s="8"/>
      <c r="H67" s="8"/>
      <c r="I67" s="8"/>
      <c r="J67" s="8"/>
      <c r="K67" s="8"/>
      <c r="L67" s="8"/>
      <c r="M67" s="8"/>
      <c r="N67" s="8"/>
      <c r="O67" s="8"/>
      <c r="P67" s="8"/>
      <c r="Q67" s="8"/>
      <c r="R67" s="8"/>
      <c r="S67" s="8"/>
      <c r="T67" s="8"/>
      <c r="U67" s="8"/>
      <c r="V67" s="8"/>
      <c r="W67" s="8"/>
      <c r="X67" s="8"/>
      <c r="Y67" s="8"/>
      <c r="Z67" s="8"/>
    </row>
    <row r="68">
      <c r="A68" s="8"/>
      <c r="B68" s="8"/>
      <c r="C68" s="8"/>
      <c r="D68" s="8"/>
      <c r="E68" s="8"/>
      <c r="F68" s="8"/>
      <c r="G68" s="8"/>
      <c r="H68" s="8"/>
      <c r="I68" s="8"/>
      <c r="J68" s="8"/>
      <c r="K68" s="8"/>
      <c r="L68" s="8"/>
      <c r="M68" s="8"/>
      <c r="N68" s="8"/>
      <c r="O68" s="8"/>
      <c r="P68" s="8"/>
      <c r="Q68" s="8"/>
      <c r="R68" s="8"/>
      <c r="S68" s="8"/>
      <c r="T68" s="8"/>
      <c r="U68" s="8"/>
      <c r="V68" s="8"/>
      <c r="W68" s="8"/>
      <c r="X68" s="8"/>
      <c r="Y68" s="8"/>
      <c r="Z68" s="8"/>
    </row>
    <row r="69">
      <c r="A69" s="8"/>
      <c r="B69" s="8"/>
      <c r="C69" s="8"/>
      <c r="D69" s="8"/>
      <c r="E69" s="8"/>
      <c r="F69" s="8"/>
      <c r="G69" s="8"/>
      <c r="H69" s="8"/>
      <c r="I69" s="8"/>
      <c r="J69" s="8"/>
      <c r="K69" s="8"/>
      <c r="L69" s="8"/>
      <c r="M69" s="8"/>
      <c r="N69" s="8"/>
      <c r="O69" s="8"/>
      <c r="P69" s="8"/>
      <c r="Q69" s="8"/>
      <c r="R69" s="8"/>
      <c r="S69" s="8"/>
      <c r="T69" s="8"/>
      <c r="U69" s="8"/>
      <c r="V69" s="8"/>
      <c r="W69" s="8"/>
      <c r="X69" s="8"/>
      <c r="Y69" s="8"/>
      <c r="Z69" s="8"/>
    </row>
    <row r="70">
      <c r="A70" s="8"/>
      <c r="B70" s="8"/>
      <c r="C70" s="8"/>
      <c r="D70" s="8"/>
      <c r="E70" s="8"/>
      <c r="F70" s="8"/>
      <c r="G70" s="8"/>
      <c r="H70" s="8"/>
      <c r="I70" s="8"/>
      <c r="J70" s="8"/>
      <c r="K70" s="8"/>
      <c r="L70" s="8"/>
      <c r="M70" s="8"/>
      <c r="N70" s="8"/>
      <c r="O70" s="8"/>
      <c r="P70" s="8"/>
      <c r="Q70" s="8"/>
      <c r="R70" s="8"/>
      <c r="S70" s="8"/>
      <c r="T70" s="8"/>
      <c r="U70" s="8"/>
      <c r="V70" s="8"/>
      <c r="W70" s="8"/>
      <c r="X70" s="8"/>
      <c r="Y70" s="8"/>
      <c r="Z70" s="8"/>
    </row>
    <row r="71">
      <c r="A71" s="8"/>
      <c r="B71" s="8"/>
      <c r="C71" s="8"/>
      <c r="D71" s="8"/>
      <c r="E71" s="8"/>
      <c r="F71" s="8"/>
      <c r="G71" s="8"/>
      <c r="H71" s="8"/>
      <c r="I71" s="8"/>
      <c r="J71" s="8"/>
      <c r="K71" s="8"/>
      <c r="L71" s="8"/>
      <c r="M71" s="8"/>
      <c r="N71" s="8"/>
      <c r="O71" s="8"/>
      <c r="P71" s="8"/>
      <c r="Q71" s="8"/>
      <c r="R71" s="8"/>
      <c r="S71" s="8"/>
      <c r="T71" s="8"/>
      <c r="U71" s="8"/>
      <c r="V71" s="8"/>
      <c r="W71" s="8"/>
      <c r="X71" s="8"/>
      <c r="Y71" s="8"/>
      <c r="Z71" s="8"/>
    </row>
    <row r="72">
      <c r="A72" s="8"/>
      <c r="B72" s="8"/>
      <c r="C72" s="8"/>
      <c r="D72" s="8"/>
      <c r="E72" s="8"/>
      <c r="F72" s="8"/>
      <c r="G72" s="8"/>
      <c r="H72" s="8"/>
      <c r="I72" s="8"/>
      <c r="J72" s="8"/>
      <c r="K72" s="8"/>
      <c r="L72" s="8"/>
      <c r="M72" s="8"/>
      <c r="N72" s="8"/>
      <c r="O72" s="8"/>
      <c r="P72" s="8"/>
      <c r="Q72" s="8"/>
      <c r="R72" s="8"/>
      <c r="S72" s="8"/>
      <c r="T72" s="8"/>
      <c r="U72" s="8"/>
      <c r="V72" s="8"/>
      <c r="W72" s="8"/>
      <c r="X72" s="8"/>
      <c r="Y72" s="8"/>
      <c r="Z72" s="8"/>
    </row>
    <row r="73">
      <c r="A73" s="8"/>
      <c r="B73" s="8"/>
      <c r="C73" s="8"/>
      <c r="D73" s="8"/>
      <c r="E73" s="8"/>
      <c r="F73" s="8"/>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row>
    <row r="75">
      <c r="A75" s="8"/>
      <c r="B75" s="8"/>
      <c r="C75" s="8"/>
      <c r="D75" s="8"/>
      <c r="E75" s="8"/>
      <c r="F75" s="8"/>
      <c r="G75" s="8"/>
      <c r="H75" s="8"/>
      <c r="I75" s="8"/>
      <c r="J75" s="8"/>
      <c r="K75" s="8"/>
      <c r="L75" s="8"/>
      <c r="M75" s="8"/>
      <c r="N75" s="8"/>
      <c r="O75" s="8"/>
      <c r="P75" s="8"/>
      <c r="Q75" s="8"/>
      <c r="R75" s="8"/>
      <c r="S75" s="8"/>
      <c r="T75" s="8"/>
      <c r="U75" s="8"/>
      <c r="V75" s="8"/>
      <c r="W75" s="8"/>
      <c r="X75" s="8"/>
      <c r="Y75" s="8"/>
      <c r="Z75" s="8"/>
    </row>
    <row r="76">
      <c r="A76" s="8"/>
      <c r="B76" s="8"/>
      <c r="C76" s="8"/>
      <c r="D76" s="8"/>
      <c r="E76" s="8"/>
      <c r="F76" s="8"/>
      <c r="G76" s="8"/>
      <c r="H76" s="8"/>
      <c r="I76" s="8"/>
      <c r="J76" s="8"/>
      <c r="K76" s="8"/>
      <c r="L76" s="8"/>
      <c r="M76" s="8"/>
      <c r="N76" s="8"/>
      <c r="O76" s="8"/>
      <c r="P76" s="8"/>
      <c r="Q76" s="8"/>
      <c r="R76" s="8"/>
      <c r="S76" s="8"/>
      <c r="T76" s="8"/>
      <c r="U76" s="8"/>
      <c r="V76" s="8"/>
      <c r="W76" s="8"/>
      <c r="X76" s="8"/>
      <c r="Y76" s="8"/>
      <c r="Z76" s="8"/>
    </row>
    <row r="77">
      <c r="A77" s="8"/>
      <c r="B77" s="8"/>
      <c r="C77" s="8"/>
      <c r="D77" s="8"/>
      <c r="E77" s="8"/>
      <c r="F77" s="8"/>
      <c r="G77" s="8"/>
      <c r="H77" s="8"/>
      <c r="I77" s="8"/>
      <c r="J77" s="8"/>
      <c r="K77" s="8"/>
      <c r="L77" s="8"/>
      <c r="M77" s="8"/>
      <c r="N77" s="8"/>
      <c r="O77" s="8"/>
      <c r="P77" s="8"/>
      <c r="Q77" s="8"/>
      <c r="R77" s="8"/>
      <c r="S77" s="8"/>
      <c r="T77" s="8"/>
      <c r="U77" s="8"/>
      <c r="V77" s="8"/>
      <c r="W77" s="8"/>
      <c r="X77" s="8"/>
      <c r="Y77" s="8"/>
      <c r="Z77" s="8"/>
    </row>
    <row r="78">
      <c r="A78" s="8"/>
      <c r="B78" s="8"/>
      <c r="C78" s="8"/>
      <c r="D78" s="8"/>
      <c r="E78" s="8"/>
      <c r="F78" s="8"/>
      <c r="G78" s="8"/>
      <c r="H78" s="8"/>
      <c r="I78" s="8"/>
      <c r="J78" s="8"/>
      <c r="K78" s="8"/>
      <c r="L78" s="8"/>
      <c r="M78" s="8"/>
      <c r="N78" s="8"/>
      <c r="O78" s="8"/>
      <c r="P78" s="8"/>
      <c r="Q78" s="8"/>
      <c r="R78" s="8"/>
      <c r="S78" s="8"/>
      <c r="T78" s="8"/>
      <c r="U78" s="8"/>
      <c r="V78" s="8"/>
      <c r="W78" s="8"/>
      <c r="X78" s="8"/>
      <c r="Y78" s="8"/>
      <c r="Z78" s="8"/>
    </row>
    <row r="79">
      <c r="A79" s="8"/>
      <c r="B79" s="8"/>
      <c r="C79" s="8"/>
      <c r="D79" s="8"/>
      <c r="E79" s="8"/>
      <c r="F79" s="8"/>
      <c r="G79" s="8"/>
      <c r="H79" s="8"/>
      <c r="I79" s="8"/>
      <c r="J79" s="8"/>
      <c r="K79" s="8"/>
      <c r="L79" s="8"/>
      <c r="M79" s="8"/>
      <c r="N79" s="8"/>
      <c r="O79" s="8"/>
      <c r="P79" s="8"/>
      <c r="Q79" s="8"/>
      <c r="R79" s="8"/>
      <c r="S79" s="8"/>
      <c r="T79" s="8"/>
      <c r="U79" s="8"/>
      <c r="V79" s="8"/>
      <c r="W79" s="8"/>
      <c r="X79" s="8"/>
      <c r="Y79" s="8"/>
      <c r="Z79" s="8"/>
    </row>
    <row r="80">
      <c r="A80" s="8"/>
      <c r="B80" s="8"/>
      <c r="C80" s="8"/>
      <c r="D80" s="8"/>
      <c r="E80" s="8"/>
      <c r="F80" s="8"/>
      <c r="G80" s="8"/>
      <c r="H80" s="8"/>
      <c r="I80" s="8"/>
      <c r="J80" s="8"/>
      <c r="K80" s="8"/>
      <c r="L80" s="8"/>
      <c r="M80" s="8"/>
      <c r="N80" s="8"/>
      <c r="O80" s="8"/>
      <c r="P80" s="8"/>
      <c r="Q80" s="8"/>
      <c r="R80" s="8"/>
      <c r="S80" s="8"/>
      <c r="T80" s="8"/>
      <c r="U80" s="8"/>
      <c r="V80" s="8"/>
      <c r="W80" s="8"/>
      <c r="X80" s="8"/>
      <c r="Y80" s="8"/>
      <c r="Z80" s="8"/>
    </row>
    <row r="81">
      <c r="A81" s="8"/>
      <c r="B81" s="8"/>
      <c r="C81" s="8"/>
      <c r="D81" s="8"/>
      <c r="E81" s="8"/>
      <c r="F81" s="8"/>
      <c r="G81" s="8"/>
      <c r="H81" s="8"/>
      <c r="I81" s="8"/>
      <c r="J81" s="8"/>
      <c r="K81" s="8"/>
      <c r="L81" s="8"/>
      <c r="M81" s="8"/>
      <c r="N81" s="8"/>
      <c r="O81" s="8"/>
      <c r="P81" s="8"/>
      <c r="Q81" s="8"/>
      <c r="R81" s="8"/>
      <c r="S81" s="8"/>
      <c r="T81" s="8"/>
      <c r="U81" s="8"/>
      <c r="V81" s="8"/>
      <c r="W81" s="8"/>
      <c r="X81" s="8"/>
      <c r="Y81" s="8"/>
      <c r="Z81" s="8"/>
    </row>
    <row r="82">
      <c r="A82" s="8"/>
      <c r="B82" s="8"/>
      <c r="C82" s="8"/>
      <c r="D82" s="8"/>
      <c r="E82" s="8"/>
      <c r="F82" s="8"/>
      <c r="G82" s="8"/>
      <c r="H82" s="8"/>
      <c r="I82" s="8"/>
      <c r="J82" s="8"/>
      <c r="K82" s="8"/>
      <c r="L82" s="8"/>
      <c r="M82" s="8"/>
      <c r="N82" s="8"/>
      <c r="O82" s="8"/>
      <c r="P82" s="8"/>
      <c r="Q82" s="8"/>
      <c r="R82" s="8"/>
      <c r="S82" s="8"/>
      <c r="T82" s="8"/>
      <c r="U82" s="8"/>
      <c r="V82" s="8"/>
      <c r="W82" s="8"/>
      <c r="X82" s="8"/>
      <c r="Y82" s="8"/>
      <c r="Z82" s="8"/>
    </row>
    <row r="83">
      <c r="A83" s="8"/>
      <c r="B83" s="8"/>
      <c r="C83" s="8"/>
      <c r="D83" s="8"/>
      <c r="E83" s="8"/>
      <c r="F83" s="8"/>
      <c r="G83" s="8"/>
      <c r="H83" s="8"/>
      <c r="I83" s="8"/>
      <c r="J83" s="8"/>
      <c r="K83" s="8"/>
      <c r="L83" s="8"/>
      <c r="M83" s="8"/>
      <c r="N83" s="8"/>
      <c r="O83" s="8"/>
      <c r="P83" s="8"/>
      <c r="Q83" s="8"/>
      <c r="R83" s="8"/>
      <c r="S83" s="8"/>
      <c r="T83" s="8"/>
      <c r="U83" s="8"/>
      <c r="V83" s="8"/>
      <c r="W83" s="8"/>
      <c r="X83" s="8"/>
      <c r="Y83" s="8"/>
      <c r="Z83" s="8"/>
    </row>
    <row r="84">
      <c r="A84" s="8"/>
      <c r="B84" s="8"/>
      <c r="C84" s="8"/>
      <c r="D84" s="8"/>
      <c r="E84" s="8"/>
      <c r="F84" s="8"/>
      <c r="G84" s="8"/>
      <c r="H84" s="8"/>
      <c r="I84" s="8"/>
      <c r="J84" s="8"/>
      <c r="K84" s="8"/>
      <c r="L84" s="8"/>
      <c r="M84" s="8"/>
      <c r="N84" s="8"/>
      <c r="O84" s="8"/>
      <c r="P84" s="8"/>
      <c r="Q84" s="8"/>
      <c r="R84" s="8"/>
      <c r="S84" s="8"/>
      <c r="T84" s="8"/>
      <c r="U84" s="8"/>
      <c r="V84" s="8"/>
      <c r="W84" s="8"/>
      <c r="X84" s="8"/>
      <c r="Y84" s="8"/>
      <c r="Z84" s="8"/>
    </row>
    <row r="85">
      <c r="A85" s="8"/>
      <c r="B85" s="8"/>
      <c r="C85" s="8"/>
      <c r="D85" s="8"/>
      <c r="E85" s="8"/>
      <c r="F85" s="8"/>
      <c r="G85" s="8"/>
      <c r="H85" s="8"/>
      <c r="I85" s="8"/>
      <c r="J85" s="8"/>
      <c r="K85" s="8"/>
      <c r="L85" s="8"/>
      <c r="M85" s="8"/>
      <c r="N85" s="8"/>
      <c r="O85" s="8"/>
      <c r="P85" s="8"/>
      <c r="Q85" s="8"/>
      <c r="R85" s="8"/>
      <c r="S85" s="8"/>
      <c r="T85" s="8"/>
      <c r="U85" s="8"/>
      <c r="V85" s="8"/>
      <c r="W85" s="8"/>
      <c r="X85" s="8"/>
      <c r="Y85" s="8"/>
      <c r="Z85" s="8"/>
    </row>
    <row r="86">
      <c r="A86" s="8"/>
      <c r="B86" s="8"/>
      <c r="C86" s="8"/>
      <c r="D86" s="8"/>
      <c r="E86" s="8"/>
      <c r="F86" s="8"/>
      <c r="G86" s="8"/>
      <c r="H86" s="8"/>
      <c r="I86" s="8"/>
      <c r="J86" s="8"/>
      <c r="K86" s="8"/>
      <c r="L86" s="8"/>
      <c r="M86" s="8"/>
      <c r="N86" s="8"/>
      <c r="O86" s="8"/>
      <c r="P86" s="8"/>
      <c r="Q86" s="8"/>
      <c r="R86" s="8"/>
      <c r="S86" s="8"/>
      <c r="T86" s="8"/>
      <c r="U86" s="8"/>
      <c r="V86" s="8"/>
      <c r="W86" s="8"/>
      <c r="X86" s="8"/>
      <c r="Y86" s="8"/>
      <c r="Z86" s="8"/>
    </row>
    <row r="87">
      <c r="A87" s="8"/>
      <c r="B87" s="8"/>
      <c r="C87" s="8"/>
      <c r="D87" s="8"/>
      <c r="E87" s="8"/>
      <c r="F87" s="8"/>
      <c r="G87" s="8"/>
      <c r="H87" s="8"/>
      <c r="I87" s="8"/>
      <c r="J87" s="8"/>
      <c r="K87" s="8"/>
      <c r="L87" s="8"/>
      <c r="M87" s="8"/>
      <c r="N87" s="8"/>
      <c r="O87" s="8"/>
      <c r="P87" s="8"/>
      <c r="Q87" s="8"/>
      <c r="R87" s="8"/>
      <c r="S87" s="8"/>
      <c r="T87" s="8"/>
      <c r="U87" s="8"/>
      <c r="V87" s="8"/>
      <c r="W87" s="8"/>
      <c r="X87" s="8"/>
      <c r="Y87" s="8"/>
      <c r="Z87" s="8"/>
    </row>
    <row r="88">
      <c r="A88" s="8"/>
      <c r="B88" s="8"/>
      <c r="C88" s="8"/>
      <c r="D88" s="8"/>
      <c r="E88" s="8"/>
      <c r="F88" s="8"/>
      <c r="G88" s="8"/>
      <c r="H88" s="8"/>
      <c r="I88" s="8"/>
      <c r="J88" s="8"/>
      <c r="K88" s="8"/>
      <c r="L88" s="8"/>
      <c r="M88" s="8"/>
      <c r="N88" s="8"/>
      <c r="O88" s="8"/>
      <c r="P88" s="8"/>
      <c r="Q88" s="8"/>
      <c r="R88" s="8"/>
      <c r="S88" s="8"/>
      <c r="T88" s="8"/>
      <c r="U88" s="8"/>
      <c r="V88" s="8"/>
      <c r="W88" s="8"/>
      <c r="X88" s="8"/>
      <c r="Y88" s="8"/>
      <c r="Z88" s="8"/>
    </row>
    <row r="89">
      <c r="A89" s="8"/>
      <c r="B89" s="8"/>
      <c r="C89" s="8"/>
      <c r="D89" s="8"/>
      <c r="E89" s="8"/>
      <c r="F89" s="8"/>
      <c r="G89" s="8"/>
      <c r="H89" s="8"/>
      <c r="I89" s="8"/>
      <c r="J89" s="8"/>
      <c r="K89" s="8"/>
      <c r="L89" s="8"/>
      <c r="M89" s="8"/>
      <c r="N89" s="8"/>
      <c r="O89" s="8"/>
      <c r="P89" s="8"/>
      <c r="Q89" s="8"/>
      <c r="R89" s="8"/>
      <c r="S89" s="8"/>
      <c r="T89" s="8"/>
      <c r="U89" s="8"/>
      <c r="V89" s="8"/>
      <c r="W89" s="8"/>
      <c r="X89" s="8"/>
      <c r="Y89" s="8"/>
      <c r="Z89" s="8"/>
    </row>
    <row r="90">
      <c r="A90" s="8"/>
      <c r="B90" s="8"/>
      <c r="C90" s="8"/>
      <c r="D90" s="8"/>
      <c r="E90" s="8"/>
      <c r="F90" s="8"/>
      <c r="G90" s="8"/>
      <c r="H90" s="8"/>
      <c r="I90" s="8"/>
      <c r="J90" s="8"/>
      <c r="K90" s="8"/>
      <c r="L90" s="8"/>
      <c r="M90" s="8"/>
      <c r="N90" s="8"/>
      <c r="O90" s="8"/>
      <c r="P90" s="8"/>
      <c r="Q90" s="8"/>
      <c r="R90" s="8"/>
      <c r="S90" s="8"/>
      <c r="T90" s="8"/>
      <c r="U90" s="8"/>
      <c r="V90" s="8"/>
      <c r="W90" s="8"/>
      <c r="X90" s="8"/>
      <c r="Y90" s="8"/>
      <c r="Z90" s="8"/>
    </row>
    <row r="91">
      <c r="A91" s="8"/>
      <c r="B91" s="8"/>
      <c r="C91" s="8"/>
      <c r="D91" s="8"/>
      <c r="E91" s="8"/>
      <c r="F91" s="8"/>
      <c r="G91" s="8"/>
      <c r="H91" s="8"/>
      <c r="I91" s="8"/>
      <c r="J91" s="8"/>
      <c r="K91" s="8"/>
      <c r="L91" s="8"/>
      <c r="M91" s="8"/>
      <c r="N91" s="8"/>
      <c r="O91" s="8"/>
      <c r="P91" s="8"/>
      <c r="Q91" s="8"/>
      <c r="R91" s="8"/>
      <c r="S91" s="8"/>
      <c r="T91" s="8"/>
      <c r="U91" s="8"/>
      <c r="V91" s="8"/>
      <c r="W91" s="8"/>
      <c r="X91" s="8"/>
      <c r="Y91" s="8"/>
      <c r="Z91" s="8"/>
    </row>
    <row r="92">
      <c r="A92" s="8"/>
      <c r="B92" s="8"/>
      <c r="C92" s="8"/>
      <c r="D92" s="8"/>
      <c r="E92" s="8"/>
      <c r="F92" s="8"/>
      <c r="G92" s="8"/>
      <c r="H92" s="8"/>
      <c r="I92" s="8"/>
      <c r="J92" s="8"/>
      <c r="K92" s="8"/>
      <c r="L92" s="8"/>
      <c r="M92" s="8"/>
      <c r="N92" s="8"/>
      <c r="O92" s="8"/>
      <c r="P92" s="8"/>
      <c r="Q92" s="8"/>
      <c r="R92" s="8"/>
      <c r="S92" s="8"/>
      <c r="T92" s="8"/>
      <c r="U92" s="8"/>
      <c r="V92" s="8"/>
      <c r="W92" s="8"/>
      <c r="X92" s="8"/>
      <c r="Y92" s="8"/>
      <c r="Z92" s="8"/>
    </row>
    <row r="93">
      <c r="A93" s="8"/>
      <c r="B93" s="8"/>
      <c r="C93" s="8"/>
      <c r="D93" s="8"/>
      <c r="E93" s="8"/>
      <c r="F93" s="8"/>
      <c r="G93" s="8"/>
      <c r="H93" s="8"/>
      <c r="I93" s="8"/>
      <c r="J93" s="8"/>
      <c r="K93" s="8"/>
      <c r="L93" s="8"/>
      <c r="M93" s="8"/>
      <c r="N93" s="8"/>
      <c r="O93" s="8"/>
      <c r="P93" s="8"/>
      <c r="Q93" s="8"/>
      <c r="R93" s="8"/>
      <c r="S93" s="8"/>
      <c r="T93" s="8"/>
      <c r="U93" s="8"/>
      <c r="V93" s="8"/>
      <c r="W93" s="8"/>
      <c r="X93" s="8"/>
      <c r="Y93" s="8"/>
      <c r="Z93" s="8"/>
    </row>
    <row r="94">
      <c r="A94" s="8"/>
      <c r="B94" s="8"/>
      <c r="C94" s="8"/>
      <c r="D94" s="8"/>
      <c r="E94" s="8"/>
      <c r="F94" s="8"/>
      <c r="G94" s="8"/>
      <c r="H94" s="8"/>
      <c r="I94" s="8"/>
      <c r="J94" s="8"/>
      <c r="K94" s="8"/>
      <c r="L94" s="8"/>
      <c r="M94" s="8"/>
      <c r="N94" s="8"/>
      <c r="O94" s="8"/>
      <c r="P94" s="8"/>
      <c r="Q94" s="8"/>
      <c r="R94" s="8"/>
      <c r="S94" s="8"/>
      <c r="T94" s="8"/>
      <c r="U94" s="8"/>
      <c r="V94" s="8"/>
      <c r="W94" s="8"/>
      <c r="X94" s="8"/>
      <c r="Y94" s="8"/>
      <c r="Z94" s="8"/>
    </row>
    <row r="95">
      <c r="A95" s="8"/>
      <c r="B95" s="8"/>
      <c r="C95" s="8"/>
      <c r="D95" s="8"/>
      <c r="E95" s="8"/>
      <c r="F95" s="8"/>
      <c r="G95" s="8"/>
      <c r="H95" s="8"/>
      <c r="I95" s="8"/>
      <c r="J95" s="8"/>
      <c r="K95" s="8"/>
      <c r="L95" s="8"/>
      <c r="M95" s="8"/>
      <c r="N95" s="8"/>
      <c r="O95" s="8"/>
      <c r="P95" s="8"/>
      <c r="Q95" s="8"/>
      <c r="R95" s="8"/>
      <c r="S95" s="8"/>
      <c r="T95" s="8"/>
      <c r="U95" s="8"/>
      <c r="V95" s="8"/>
      <c r="W95" s="8"/>
      <c r="X95" s="8"/>
      <c r="Y95" s="8"/>
      <c r="Z95" s="8"/>
    </row>
    <row r="96">
      <c r="A96" s="8"/>
      <c r="B96" s="8"/>
      <c r="C96" s="8"/>
      <c r="D96" s="8"/>
      <c r="E96" s="8"/>
      <c r="F96" s="8"/>
      <c r="G96" s="8"/>
      <c r="H96" s="8"/>
      <c r="I96" s="8"/>
      <c r="J96" s="8"/>
      <c r="K96" s="8"/>
      <c r="L96" s="8"/>
      <c r="M96" s="8"/>
      <c r="N96" s="8"/>
      <c r="O96" s="8"/>
      <c r="P96" s="8"/>
      <c r="Q96" s="8"/>
      <c r="R96" s="8"/>
      <c r="S96" s="8"/>
      <c r="T96" s="8"/>
      <c r="U96" s="8"/>
      <c r="V96" s="8"/>
      <c r="W96" s="8"/>
      <c r="X96" s="8"/>
      <c r="Y96" s="8"/>
      <c r="Z96" s="8"/>
    </row>
    <row r="97">
      <c r="A97" s="8"/>
      <c r="B97" s="8"/>
      <c r="C97" s="8"/>
      <c r="D97" s="8"/>
      <c r="E97" s="8"/>
      <c r="F97" s="8"/>
      <c r="G97" s="8"/>
      <c r="H97" s="8"/>
      <c r="I97" s="8"/>
      <c r="J97" s="8"/>
      <c r="K97" s="8"/>
      <c r="L97" s="8"/>
      <c r="M97" s="8"/>
      <c r="N97" s="8"/>
      <c r="O97" s="8"/>
      <c r="P97" s="8"/>
      <c r="Q97" s="8"/>
      <c r="R97" s="8"/>
      <c r="S97" s="8"/>
      <c r="T97" s="8"/>
      <c r="U97" s="8"/>
      <c r="V97" s="8"/>
      <c r="W97" s="8"/>
      <c r="X97" s="8"/>
      <c r="Y97" s="8"/>
      <c r="Z97" s="8"/>
    </row>
    <row r="98">
      <c r="A98" s="8"/>
      <c r="B98" s="8"/>
      <c r="C98" s="8"/>
      <c r="D98" s="8"/>
      <c r="E98" s="8"/>
      <c r="F98" s="8"/>
      <c r="G98" s="8"/>
      <c r="H98" s="8"/>
      <c r="I98" s="8"/>
      <c r="J98" s="8"/>
      <c r="K98" s="8"/>
      <c r="L98" s="8"/>
      <c r="M98" s="8"/>
      <c r="N98" s="8"/>
      <c r="O98" s="8"/>
      <c r="P98" s="8"/>
      <c r="Q98" s="8"/>
      <c r="R98" s="8"/>
      <c r="S98" s="8"/>
      <c r="T98" s="8"/>
      <c r="U98" s="8"/>
      <c r="V98" s="8"/>
      <c r="W98" s="8"/>
      <c r="X98" s="8"/>
      <c r="Y98" s="8"/>
      <c r="Z98" s="8"/>
    </row>
    <row r="99">
      <c r="A99" s="8"/>
      <c r="B99" s="8"/>
      <c r="C99" s="8"/>
      <c r="D99" s="8"/>
      <c r="E99" s="8"/>
      <c r="F99" s="8"/>
      <c r="G99" s="8"/>
      <c r="H99" s="8"/>
      <c r="I99" s="8"/>
      <c r="J99" s="8"/>
      <c r="K99" s="8"/>
      <c r="L99" s="8"/>
      <c r="M99" s="8"/>
      <c r="N99" s="8"/>
      <c r="O99" s="8"/>
      <c r="P99" s="8"/>
      <c r="Q99" s="8"/>
      <c r="R99" s="8"/>
      <c r="S99" s="8"/>
      <c r="T99" s="8"/>
      <c r="U99" s="8"/>
      <c r="V99" s="8"/>
      <c r="W99" s="8"/>
      <c r="X99" s="8"/>
      <c r="Y99" s="8"/>
      <c r="Z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hyperlinks>
    <hyperlink r:id="rId1" ref="A2"/>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3" t="s">
        <v>2</v>
      </c>
    </row>
    <row r="3">
      <c r="A3" s="3" t="s">
        <v>4</v>
      </c>
    </row>
    <row r="4">
      <c r="A4" s="3" t="s">
        <v>5</v>
      </c>
    </row>
    <row r="5">
      <c r="A5" s="6" t="s">
        <v>9</v>
      </c>
    </row>
    <row r="6">
      <c r="A6" s="6" t="s">
        <v>12</v>
      </c>
    </row>
    <row r="7">
      <c r="A7" s="3" t="s">
        <v>14</v>
      </c>
    </row>
    <row r="8">
      <c r="A8" s="3" t="s">
        <v>17</v>
      </c>
    </row>
    <row r="9">
      <c r="A9" s="3" t="s">
        <v>19</v>
      </c>
    </row>
    <row r="10">
      <c r="A10" s="3" t="s">
        <v>20</v>
      </c>
    </row>
    <row r="11">
      <c r="A11" s="6" t="s">
        <v>22</v>
      </c>
    </row>
    <row r="12">
      <c r="A12" s="6" t="s">
        <v>23</v>
      </c>
    </row>
    <row r="13">
      <c r="A13" s="6" t="s">
        <v>24</v>
      </c>
    </row>
    <row r="14">
      <c r="A14" s="6" t="s">
        <v>26</v>
      </c>
    </row>
    <row r="15">
      <c r="A15" s="6" t="s">
        <v>29</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5"/>
    <col customWidth="1" min="2" max="2" width="30.25"/>
  </cols>
  <sheetData>
    <row r="1">
      <c r="A1" s="1" t="s">
        <v>6</v>
      </c>
      <c r="B1" s="1" t="s">
        <v>97</v>
      </c>
      <c r="C1" s="1" t="s">
        <v>98</v>
      </c>
      <c r="D1" s="1" t="s">
        <v>99</v>
      </c>
    </row>
    <row r="2">
      <c r="A2" s="3" t="s">
        <v>103</v>
      </c>
      <c r="B2" s="3" t="s">
        <v>104</v>
      </c>
      <c r="C2" s="3" t="s">
        <v>105</v>
      </c>
      <c r="D2" s="3" t="s">
        <v>106</v>
      </c>
    </row>
    <row r="3">
      <c r="A3" s="3" t="s">
        <v>107</v>
      </c>
      <c r="B3" s="3" t="s">
        <v>108</v>
      </c>
      <c r="C3" s="3" t="s">
        <v>105</v>
      </c>
    </row>
    <row r="4">
      <c r="A4" s="3" t="s">
        <v>110</v>
      </c>
      <c r="B4" s="3" t="s">
        <v>111</v>
      </c>
      <c r="C4" s="3" t="s">
        <v>105</v>
      </c>
    </row>
  </sheetData>
  <mergeCells count="2">
    <mergeCell ref="C3:D3"/>
    <mergeCell ref="C4:D4"/>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6</v>
      </c>
      <c r="B1" s="66" t="s">
        <v>176</v>
      </c>
    </row>
    <row r="2">
      <c r="A2" s="70" t="s">
        <v>179</v>
      </c>
      <c r="B2" s="70" t="s">
        <v>181</v>
      </c>
    </row>
    <row r="3">
      <c r="A3" s="70" t="s">
        <v>42</v>
      </c>
      <c r="B3" s="70" t="s">
        <v>183</v>
      </c>
    </row>
    <row r="4">
      <c r="A4" s="70" t="s">
        <v>184</v>
      </c>
      <c r="B4" s="70" t="s">
        <v>185</v>
      </c>
    </row>
    <row r="5">
      <c r="A5" s="70" t="s">
        <v>184</v>
      </c>
      <c r="B5" s="70" t="s">
        <v>186</v>
      </c>
    </row>
    <row r="6">
      <c r="A6" s="70" t="s">
        <v>187</v>
      </c>
      <c r="B6" s="71" t="s">
        <v>188</v>
      </c>
    </row>
    <row r="7">
      <c r="A7" s="70" t="s">
        <v>189</v>
      </c>
      <c r="B7" s="70" t="s">
        <v>190</v>
      </c>
    </row>
    <row r="8">
      <c r="A8" s="70" t="s">
        <v>189</v>
      </c>
      <c r="B8" s="70" t="s">
        <v>191</v>
      </c>
    </row>
    <row r="9">
      <c r="A9" s="3" t="s">
        <v>192</v>
      </c>
      <c r="B9" s="3" t="s">
        <v>193</v>
      </c>
    </row>
    <row r="10">
      <c r="A10" s="3" t="s">
        <v>196</v>
      </c>
      <c r="B10" s="3" t="s">
        <v>197</v>
      </c>
    </row>
    <row r="11">
      <c r="A11" s="3" t="s">
        <v>198</v>
      </c>
      <c r="B11" s="3" t="s">
        <v>199</v>
      </c>
      <c r="C11" s="8"/>
      <c r="D11" s="8"/>
      <c r="E11" s="8"/>
      <c r="F11" s="8"/>
      <c r="G11" s="8"/>
      <c r="H11" s="8"/>
      <c r="I11" s="8"/>
      <c r="J11" s="8"/>
      <c r="K11" s="8"/>
      <c r="L11" s="8"/>
      <c r="M11" s="8"/>
      <c r="N11" s="8"/>
      <c r="O11" s="8"/>
      <c r="P11" s="8"/>
      <c r="Q11" s="8"/>
      <c r="R11" s="8"/>
      <c r="S11" s="8"/>
      <c r="T11" s="8"/>
      <c r="U11" s="8"/>
      <c r="V11" s="8"/>
      <c r="W11" s="8"/>
      <c r="X11" s="8"/>
      <c r="Y11" s="8"/>
      <c r="Z11" s="8"/>
    </row>
    <row r="12">
      <c r="A12" s="3" t="s">
        <v>205</v>
      </c>
      <c r="B12" s="3" t="s">
        <v>207</v>
      </c>
      <c r="C12" s="8"/>
      <c r="D12" s="8"/>
      <c r="E12" s="8"/>
      <c r="F12" s="8"/>
      <c r="G12" s="8"/>
      <c r="H12" s="8"/>
      <c r="I12" s="8"/>
      <c r="J12" s="8"/>
      <c r="K12" s="8"/>
      <c r="L12" s="8"/>
      <c r="M12" s="8"/>
      <c r="N12" s="8"/>
      <c r="O12" s="8"/>
      <c r="P12" s="8"/>
      <c r="Q12" s="8"/>
      <c r="R12" s="8"/>
      <c r="S12" s="8"/>
      <c r="T12" s="8"/>
      <c r="U12" s="8"/>
      <c r="V12" s="8"/>
      <c r="W12" s="8"/>
      <c r="X12" s="8"/>
      <c r="Y12" s="8"/>
      <c r="Z12" s="8"/>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176</v>
      </c>
    </row>
    <row r="2">
      <c r="A2" s="97" t="s">
        <v>368</v>
      </c>
    </row>
    <row r="3">
      <c r="A3" s="97" t="s">
        <v>371</v>
      </c>
    </row>
    <row r="4">
      <c r="A4" s="97" t="s">
        <v>372</v>
      </c>
    </row>
    <row r="5">
      <c r="A5" s="97" t="s">
        <v>373</v>
      </c>
    </row>
    <row r="6">
      <c r="A6" s="97" t="s">
        <v>376</v>
      </c>
    </row>
    <row r="7">
      <c r="A7" s="97" t="s">
        <v>379</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6</v>
      </c>
      <c r="B1" s="1" t="s">
        <v>490</v>
      </c>
      <c r="C1" s="1" t="s">
        <v>98</v>
      </c>
      <c r="D1" s="1" t="s">
        <v>492</v>
      </c>
    </row>
    <row r="2">
      <c r="A2" s="98" t="s">
        <v>493</v>
      </c>
      <c r="B2" s="98" t="s">
        <v>495</v>
      </c>
      <c r="C2" s="98" t="s">
        <v>496</v>
      </c>
      <c r="D2" s="98" t="s">
        <v>497</v>
      </c>
    </row>
    <row r="3">
      <c r="A3" s="98" t="s">
        <v>498</v>
      </c>
      <c r="B3" s="98" t="s">
        <v>499</v>
      </c>
      <c r="C3" s="98" t="s">
        <v>496</v>
      </c>
      <c r="D3" s="98" t="s">
        <v>501</v>
      </c>
    </row>
    <row r="4">
      <c r="A4" s="98" t="s">
        <v>502</v>
      </c>
      <c r="B4" s="98" t="s">
        <v>504</v>
      </c>
      <c r="C4" s="98" t="s">
        <v>507</v>
      </c>
      <c r="D4" s="98" t="s">
        <v>501</v>
      </c>
    </row>
    <row r="5">
      <c r="A5" s="98" t="s">
        <v>187</v>
      </c>
      <c r="B5" s="98" t="s">
        <v>508</v>
      </c>
      <c r="C5" s="98" t="s">
        <v>507</v>
      </c>
      <c r="D5" s="98" t="s">
        <v>501</v>
      </c>
    </row>
    <row r="6">
      <c r="A6" s="98" t="s">
        <v>511</v>
      </c>
      <c r="B6" s="98" t="s">
        <v>512</v>
      </c>
      <c r="C6" s="98" t="s">
        <v>513</v>
      </c>
      <c r="D6" s="98" t="s">
        <v>501</v>
      </c>
    </row>
    <row r="7">
      <c r="A7" s="70" t="s">
        <v>189</v>
      </c>
      <c r="B7" s="98" t="s">
        <v>515</v>
      </c>
      <c r="C7" s="98" t="s">
        <v>517</v>
      </c>
      <c r="D7" s="98" t="s">
        <v>501</v>
      </c>
    </row>
    <row r="8">
      <c r="A8" s="98" t="s">
        <v>103</v>
      </c>
      <c r="B8" s="98" t="s">
        <v>521</v>
      </c>
      <c r="C8" s="98" t="s">
        <v>522</v>
      </c>
      <c r="D8" s="98" t="s">
        <v>501</v>
      </c>
    </row>
    <row r="9">
      <c r="A9" s="98" t="s">
        <v>523</v>
      </c>
      <c r="B9" s="98" t="s">
        <v>524</v>
      </c>
      <c r="C9" s="98" t="s">
        <v>522</v>
      </c>
      <c r="D9" s="98" t="s">
        <v>501</v>
      </c>
    </row>
    <row r="10">
      <c r="A10" s="98" t="s">
        <v>527</v>
      </c>
      <c r="B10" s="98" t="s">
        <v>528</v>
      </c>
      <c r="C10" s="98" t="s">
        <v>522</v>
      </c>
      <c r="D10" s="98" t="s">
        <v>501</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25"/>
    <col customWidth="1" min="4" max="4" width="22.88"/>
  </cols>
  <sheetData>
    <row r="1">
      <c r="A1" s="102" t="s">
        <v>6</v>
      </c>
      <c r="B1" s="102" t="s">
        <v>644</v>
      </c>
      <c r="C1" s="102" t="s">
        <v>98</v>
      </c>
      <c r="D1" s="102" t="s">
        <v>97</v>
      </c>
      <c r="E1" s="52" t="s">
        <v>647</v>
      </c>
    </row>
    <row r="2">
      <c r="A2" s="103" t="s">
        <v>649</v>
      </c>
      <c r="B2" s="103" t="s">
        <v>650</v>
      </c>
      <c r="C2" s="105" t="s">
        <v>496</v>
      </c>
      <c r="D2" s="106" t="s">
        <v>654</v>
      </c>
      <c r="E2" s="108" t="s">
        <v>655</v>
      </c>
    </row>
    <row r="3">
      <c r="A3" s="103" t="s">
        <v>179</v>
      </c>
      <c r="B3" s="103" t="s">
        <v>658</v>
      </c>
      <c r="C3" s="105" t="s">
        <v>496</v>
      </c>
      <c r="D3" s="105" t="s">
        <v>660</v>
      </c>
      <c r="E3" s="111" t="str">
        <f>IFERROR(__xludf.DUMMYFUNCTION("REGEXEXTRACT(D3,""[A-Za-z]+"")"),"Bachelor")</f>
        <v>Bachelor</v>
      </c>
    </row>
    <row r="4">
      <c r="A4" s="103" t="s">
        <v>498</v>
      </c>
      <c r="B4" s="103" t="s">
        <v>669</v>
      </c>
      <c r="C4" s="105" t="s">
        <v>496</v>
      </c>
      <c r="D4" s="105" t="s">
        <v>660</v>
      </c>
      <c r="E4" s="111" t="str">
        <f>IFERROR(__xludf.DUMMYFUNCTION("REGEXEXTRACT(D4,""[A-Za-z]+"")"),"Bachelor")</f>
        <v>Bachelor</v>
      </c>
    </row>
    <row r="5">
      <c r="A5" s="103" t="s">
        <v>670</v>
      </c>
      <c r="B5" s="103" t="s">
        <v>672</v>
      </c>
      <c r="C5" s="103" t="s">
        <v>496</v>
      </c>
      <c r="D5" s="103" t="s">
        <v>660</v>
      </c>
      <c r="E5" s="6" t="str">
        <f>IFERROR(__xludf.DUMMYFUNCTION("REGEXEXTRACT(D5,""[A-Za-z]+"")"),"Bachelor")</f>
        <v>Bachelor</v>
      </c>
    </row>
    <row r="6">
      <c r="A6" s="103" t="s">
        <v>502</v>
      </c>
      <c r="B6" s="103" t="s">
        <v>674</v>
      </c>
      <c r="C6" s="103" t="s">
        <v>496</v>
      </c>
      <c r="D6" s="103" t="s">
        <v>654</v>
      </c>
      <c r="E6" s="6" t="str">
        <f>IFERROR(__xludf.DUMMYFUNCTION("REGEXEXTRACT(D6,""[A-Za-z]+"")"),"Master")</f>
        <v>Master</v>
      </c>
    </row>
    <row r="7">
      <c r="A7" s="103" t="s">
        <v>680</v>
      </c>
      <c r="B7" s="103" t="s">
        <v>2</v>
      </c>
      <c r="C7" s="103" t="s">
        <v>496</v>
      </c>
      <c r="D7" s="103" t="s">
        <v>654</v>
      </c>
      <c r="E7" s="6" t="str">
        <f>IFERROR(__xludf.DUMMYFUNCTION("REGEXEXTRACT(D7,""[A-Za-z]+"")"),"Master")</f>
        <v>Master</v>
      </c>
    </row>
    <row r="8">
      <c r="A8" s="103" t="s">
        <v>511</v>
      </c>
      <c r="B8" s="103" t="s">
        <v>681</v>
      </c>
      <c r="C8" s="103" t="s">
        <v>513</v>
      </c>
      <c r="D8" s="103" t="s">
        <v>682</v>
      </c>
      <c r="E8" s="113" t="str">
        <f>IFERROR(__xludf.DUMMYFUNCTION("REGEXEXTRACT(D8,""[A-Za-z]+"")"),"Bachelor")</f>
        <v>Bachelor</v>
      </c>
    </row>
    <row r="9">
      <c r="A9" s="103" t="s">
        <v>511</v>
      </c>
      <c r="B9" s="103" t="s">
        <v>683</v>
      </c>
      <c r="C9" s="103" t="s">
        <v>513</v>
      </c>
      <c r="D9" s="103" t="s">
        <v>682</v>
      </c>
      <c r="E9" s="113" t="str">
        <f>IFERROR(__xludf.DUMMYFUNCTION("REGEXEXTRACT(D9,""[A-Za-z]+"")"),"Bachelor")</f>
        <v>Bachelor</v>
      </c>
    </row>
    <row r="10">
      <c r="A10" s="103" t="s">
        <v>686</v>
      </c>
      <c r="B10" s="103" t="s">
        <v>687</v>
      </c>
      <c r="C10" s="103" t="s">
        <v>522</v>
      </c>
      <c r="D10" s="103" t="s">
        <v>108</v>
      </c>
      <c r="E10" s="113" t="str">
        <f>IFERROR(__xludf.DUMMYFUNCTION("REGEXEXTRACT(D10,""[A-Za-z]+"")"),"Master")</f>
        <v>Master</v>
      </c>
    </row>
    <row r="11">
      <c r="A11" s="103" t="s">
        <v>686</v>
      </c>
      <c r="B11" s="103" t="s">
        <v>689</v>
      </c>
      <c r="C11" s="103" t="s">
        <v>522</v>
      </c>
      <c r="D11" s="103" t="s">
        <v>692</v>
      </c>
      <c r="E11" s="113" t="str">
        <f>IFERROR(__xludf.DUMMYFUNCTION("REGEXEXTRACT(D11,""[A-Za-z]+"")"),"Bachelor")</f>
        <v>Bachelor</v>
      </c>
    </row>
    <row r="12">
      <c r="A12" s="103" t="s">
        <v>103</v>
      </c>
      <c r="B12" s="103" t="s">
        <v>694</v>
      </c>
      <c r="C12" s="103" t="s">
        <v>522</v>
      </c>
      <c r="D12" s="103" t="s">
        <v>692</v>
      </c>
      <c r="E12" s="113" t="str">
        <f>IFERROR(__xludf.DUMMYFUNCTION("REGEXEXTRACT(D12,""[A-Za-z]+"")"),"Bachelor")</f>
        <v>Bachelor</v>
      </c>
    </row>
    <row r="13">
      <c r="A13" s="103" t="s">
        <v>103</v>
      </c>
      <c r="B13" s="103" t="s">
        <v>695</v>
      </c>
      <c r="C13" s="103" t="s">
        <v>522</v>
      </c>
      <c r="D13" s="103" t="s">
        <v>692</v>
      </c>
      <c r="E13" s="113" t="str">
        <f>IFERROR(__xludf.DUMMYFUNCTION("REGEXEXTRACT(D13,""[A-Za-z]+"")"),"Bachelor")</f>
        <v>Bachelor</v>
      </c>
    </row>
    <row r="14">
      <c r="A14" s="103" t="s">
        <v>189</v>
      </c>
      <c r="B14" s="79" t="s">
        <v>696</v>
      </c>
      <c r="C14" s="103" t="s">
        <v>522</v>
      </c>
      <c r="D14" s="79" t="s">
        <v>698</v>
      </c>
      <c r="E14" s="6" t="s">
        <v>700</v>
      </c>
    </row>
    <row r="15">
      <c r="A15" s="103" t="s">
        <v>189</v>
      </c>
      <c r="B15" s="79" t="s">
        <v>701</v>
      </c>
      <c r="C15" s="103" t="s">
        <v>522</v>
      </c>
      <c r="D15" s="79" t="s">
        <v>698</v>
      </c>
      <c r="E15" s="6" t="s">
        <v>700</v>
      </c>
    </row>
    <row r="16">
      <c r="A16" s="103" t="s">
        <v>703</v>
      </c>
      <c r="B16" s="79" t="s">
        <v>705</v>
      </c>
      <c r="C16" s="103" t="s">
        <v>522</v>
      </c>
      <c r="D16" s="79" t="s">
        <v>698</v>
      </c>
      <c r="E16" s="6" t="s">
        <v>700</v>
      </c>
    </row>
    <row r="17">
      <c r="A17" s="103" t="s">
        <v>708</v>
      </c>
      <c r="B17" s="79" t="s">
        <v>709</v>
      </c>
      <c r="C17" s="103" t="s">
        <v>522</v>
      </c>
      <c r="D17" s="79" t="s">
        <v>710</v>
      </c>
      <c r="E17" s="6" t="s">
        <v>700</v>
      </c>
    </row>
    <row r="18">
      <c r="A18" s="103" t="s">
        <v>680</v>
      </c>
      <c r="B18" s="79" t="s">
        <v>711</v>
      </c>
      <c r="C18" s="79" t="s">
        <v>712</v>
      </c>
      <c r="D18" s="79" t="s">
        <v>713</v>
      </c>
      <c r="E18" s="6" t="s">
        <v>700</v>
      </c>
    </row>
    <row r="19">
      <c r="A19" s="103" t="s">
        <v>187</v>
      </c>
      <c r="B19" s="79" t="s">
        <v>714</v>
      </c>
      <c r="C19" s="79" t="s">
        <v>715</v>
      </c>
      <c r="D19" s="79" t="s">
        <v>716</v>
      </c>
      <c r="E19" s="6" t="s">
        <v>700</v>
      </c>
    </row>
    <row r="20">
      <c r="A20" s="114"/>
      <c r="B20" s="8"/>
      <c r="C20" s="8"/>
      <c r="D20" s="8"/>
    </row>
    <row r="21">
      <c r="A21" s="115"/>
      <c r="B21" s="8"/>
      <c r="C21" s="8"/>
      <c r="D21" s="8"/>
    </row>
    <row r="22">
      <c r="A22" s="114"/>
      <c r="B22" s="8"/>
      <c r="C22" s="8"/>
      <c r="D22" s="8"/>
    </row>
    <row r="23">
      <c r="A23" s="115"/>
      <c r="B23" s="8"/>
      <c r="C23" s="8"/>
      <c r="D23" s="8"/>
    </row>
    <row r="24">
      <c r="A24" s="114"/>
      <c r="B24" s="8"/>
      <c r="C24" s="8"/>
      <c r="D24" s="8"/>
    </row>
    <row r="25">
      <c r="A25" s="115"/>
      <c r="B25" s="8"/>
      <c r="C25" s="8"/>
      <c r="D25" s="8"/>
    </row>
    <row r="26">
      <c r="A26" s="114"/>
      <c r="B26" s="8"/>
      <c r="C26" s="8"/>
      <c r="D26" s="8"/>
    </row>
    <row r="27">
      <c r="A27" s="8"/>
      <c r="B27" s="8"/>
      <c r="C27" s="8"/>
      <c r="D27" s="8"/>
    </row>
    <row r="28">
      <c r="A28" s="8"/>
      <c r="B28" s="8"/>
      <c r="C28" s="8"/>
      <c r="D28" s="8"/>
    </row>
    <row r="29">
      <c r="A29" s="8"/>
      <c r="B29" s="8"/>
      <c r="C29" s="8"/>
      <c r="D29" s="8"/>
    </row>
    <row r="30">
      <c r="A30" s="8"/>
      <c r="B30" s="8"/>
      <c r="C30" s="8"/>
      <c r="D30" s="8"/>
    </row>
    <row r="31">
      <c r="A31" s="8"/>
      <c r="B31" s="8"/>
      <c r="C31" s="8"/>
      <c r="D31" s="8"/>
    </row>
    <row r="32">
      <c r="A32" s="8"/>
      <c r="B32" s="8"/>
      <c r="C32" s="8"/>
      <c r="D32" s="8"/>
    </row>
    <row r="33">
      <c r="A33" s="8"/>
      <c r="B33" s="8"/>
      <c r="C33" s="8"/>
      <c r="D33" s="8"/>
    </row>
    <row r="34">
      <c r="A34" s="8"/>
      <c r="B34" s="8"/>
      <c r="C34" s="8"/>
      <c r="D34" s="8"/>
    </row>
    <row r="35">
      <c r="A35" s="8"/>
      <c r="B35" s="8"/>
      <c r="C35" s="8"/>
      <c r="D35" s="8"/>
    </row>
    <row r="36">
      <c r="A36" s="8"/>
      <c r="B36" s="8"/>
      <c r="C36" s="8"/>
      <c r="D36" s="8"/>
    </row>
    <row r="37">
      <c r="A37" s="8"/>
      <c r="B37" s="8"/>
      <c r="C37" s="8"/>
      <c r="D37" s="8"/>
    </row>
    <row r="38">
      <c r="A38" s="8"/>
      <c r="B38" s="8"/>
      <c r="C38" s="8"/>
      <c r="D38" s="8"/>
    </row>
    <row r="39">
      <c r="A39" s="8"/>
      <c r="B39" s="8"/>
      <c r="C39" s="8"/>
      <c r="D39" s="8"/>
    </row>
    <row r="40">
      <c r="A40" s="8"/>
      <c r="B40" s="8"/>
      <c r="C40" s="8"/>
      <c r="D40" s="8"/>
    </row>
    <row r="41">
      <c r="A41" s="8"/>
      <c r="B41" s="8"/>
      <c r="C41" s="8"/>
      <c r="D41" s="8"/>
    </row>
    <row r="42">
      <c r="A42" s="8"/>
      <c r="B42" s="8"/>
      <c r="C42" s="8"/>
      <c r="D42" s="8"/>
    </row>
    <row r="43">
      <c r="A43" s="8"/>
      <c r="B43" s="8"/>
      <c r="C43" s="8"/>
      <c r="D43" s="8"/>
    </row>
    <row r="44">
      <c r="A44" s="8"/>
      <c r="B44" s="8"/>
      <c r="C44" s="8"/>
      <c r="D44" s="8"/>
    </row>
    <row r="45">
      <c r="A45" s="8"/>
      <c r="B45" s="8"/>
      <c r="C45" s="8"/>
      <c r="D45" s="8"/>
    </row>
    <row r="46">
      <c r="A46" s="8"/>
      <c r="B46" s="8"/>
      <c r="C46" s="8"/>
      <c r="D46" s="8"/>
    </row>
    <row r="47">
      <c r="A47" s="8"/>
      <c r="B47" s="8"/>
      <c r="C47" s="8"/>
      <c r="D47" s="8"/>
    </row>
    <row r="48">
      <c r="A48" s="8"/>
      <c r="B48" s="8"/>
      <c r="C48" s="8"/>
      <c r="D48" s="8"/>
    </row>
    <row r="49">
      <c r="A49" s="8"/>
      <c r="B49" s="8"/>
      <c r="C49" s="8"/>
      <c r="D49" s="8"/>
    </row>
    <row r="50">
      <c r="A50" s="8"/>
      <c r="B50" s="8"/>
      <c r="C50" s="8"/>
      <c r="D50" s="8"/>
    </row>
    <row r="51">
      <c r="A51" s="8"/>
      <c r="B51" s="8"/>
      <c r="C51" s="8"/>
      <c r="D51" s="8"/>
    </row>
    <row r="52">
      <c r="A52" s="8"/>
      <c r="B52" s="8"/>
      <c r="C52" s="8"/>
      <c r="D52" s="8"/>
    </row>
    <row r="53">
      <c r="A53" s="8"/>
      <c r="B53" s="8"/>
      <c r="C53" s="8"/>
      <c r="D53" s="8"/>
    </row>
    <row r="54">
      <c r="A54" s="8"/>
      <c r="B54" s="8"/>
      <c r="C54" s="8"/>
      <c r="D54" s="8"/>
    </row>
    <row r="55">
      <c r="A55" s="8"/>
      <c r="B55" s="8"/>
      <c r="C55" s="8"/>
      <c r="D55" s="8"/>
    </row>
    <row r="56">
      <c r="A56" s="8"/>
      <c r="B56" s="8"/>
      <c r="C56" s="8"/>
      <c r="D56" s="8"/>
    </row>
    <row r="57">
      <c r="A57" s="8"/>
      <c r="B57" s="8"/>
      <c r="C57" s="8"/>
      <c r="D57" s="8"/>
    </row>
    <row r="58">
      <c r="A58" s="8"/>
      <c r="B58" s="8"/>
      <c r="C58" s="8"/>
      <c r="D58" s="8"/>
    </row>
    <row r="59">
      <c r="A59" s="8"/>
      <c r="B59" s="8"/>
      <c r="C59" s="8"/>
      <c r="D59" s="8"/>
    </row>
    <row r="60">
      <c r="A60" s="8"/>
      <c r="B60" s="8"/>
      <c r="C60" s="8"/>
      <c r="D60" s="8"/>
    </row>
    <row r="61">
      <c r="A61" s="8"/>
      <c r="B61" s="8"/>
      <c r="C61" s="8"/>
      <c r="D61" s="8"/>
    </row>
    <row r="62">
      <c r="A62" s="8"/>
      <c r="B62" s="8"/>
      <c r="C62" s="8"/>
      <c r="D62" s="8"/>
    </row>
    <row r="63">
      <c r="A63" s="8"/>
      <c r="B63" s="8"/>
      <c r="C63" s="8"/>
      <c r="D63" s="8"/>
    </row>
    <row r="64">
      <c r="A64" s="8"/>
      <c r="B64" s="8"/>
      <c r="C64" s="8"/>
      <c r="D64" s="8"/>
    </row>
    <row r="65">
      <c r="A65" s="8"/>
      <c r="B65" s="8"/>
      <c r="C65" s="8"/>
      <c r="D65" s="8"/>
    </row>
    <row r="66">
      <c r="A66" s="8"/>
      <c r="B66" s="8"/>
      <c r="C66" s="8"/>
      <c r="D66" s="8"/>
    </row>
    <row r="67">
      <c r="A67" s="8"/>
      <c r="B67" s="8"/>
      <c r="C67" s="8"/>
      <c r="D67" s="8"/>
    </row>
    <row r="68">
      <c r="A68" s="8"/>
      <c r="B68" s="8"/>
      <c r="C68" s="8"/>
      <c r="D68" s="8"/>
    </row>
    <row r="69">
      <c r="A69" s="8"/>
      <c r="B69" s="8"/>
      <c r="C69" s="8"/>
      <c r="D69" s="8"/>
    </row>
    <row r="70">
      <c r="A70" s="8"/>
      <c r="B70" s="8"/>
      <c r="C70" s="8"/>
      <c r="D70" s="8"/>
    </row>
    <row r="71">
      <c r="A71" s="8"/>
      <c r="B71" s="8"/>
      <c r="C71" s="8"/>
      <c r="D71" s="8"/>
    </row>
    <row r="72">
      <c r="A72" s="8"/>
      <c r="B72" s="8"/>
      <c r="C72" s="8"/>
      <c r="D72" s="8"/>
    </row>
    <row r="73">
      <c r="A73" s="8"/>
      <c r="B73" s="8"/>
      <c r="C73" s="8"/>
      <c r="D73" s="8"/>
    </row>
    <row r="74">
      <c r="A74" s="8"/>
      <c r="B74" s="8"/>
      <c r="C74" s="8"/>
      <c r="D74" s="8"/>
    </row>
    <row r="75">
      <c r="A75" s="8"/>
      <c r="B75" s="8"/>
      <c r="C75" s="8"/>
      <c r="D75" s="8"/>
    </row>
    <row r="76">
      <c r="A76" s="8"/>
      <c r="B76" s="8"/>
      <c r="C76" s="8"/>
      <c r="D76" s="8"/>
    </row>
    <row r="77">
      <c r="A77" s="8"/>
      <c r="B77" s="8"/>
      <c r="C77" s="8"/>
      <c r="D77" s="8"/>
    </row>
    <row r="78">
      <c r="A78" s="8"/>
      <c r="B78" s="8"/>
      <c r="C78" s="8"/>
      <c r="D78" s="8"/>
    </row>
    <row r="79">
      <c r="A79" s="8"/>
      <c r="B79" s="8"/>
      <c r="C79" s="8"/>
      <c r="D79" s="8"/>
    </row>
    <row r="80">
      <c r="A80" s="8"/>
      <c r="B80" s="8"/>
      <c r="C80" s="8"/>
      <c r="D80" s="8"/>
    </row>
    <row r="81">
      <c r="A81" s="8"/>
      <c r="B81" s="8"/>
      <c r="C81" s="8"/>
      <c r="D81" s="8"/>
    </row>
    <row r="82">
      <c r="A82" s="8"/>
      <c r="B82" s="8"/>
      <c r="C82" s="8"/>
      <c r="D82" s="8"/>
    </row>
    <row r="83">
      <c r="A83" s="8"/>
      <c r="B83" s="8"/>
      <c r="C83" s="8"/>
      <c r="D83" s="8"/>
    </row>
    <row r="84">
      <c r="A84" s="8"/>
      <c r="B84" s="8"/>
      <c r="C84" s="8"/>
      <c r="D84" s="8"/>
    </row>
    <row r="85">
      <c r="A85" s="8"/>
      <c r="B85" s="8"/>
      <c r="C85" s="8"/>
      <c r="D85" s="8"/>
    </row>
    <row r="86">
      <c r="A86" s="8"/>
      <c r="B86" s="8"/>
      <c r="C86" s="8"/>
      <c r="D86" s="8"/>
    </row>
    <row r="87">
      <c r="A87" s="8"/>
      <c r="B87" s="8"/>
      <c r="C87" s="8"/>
      <c r="D87" s="8"/>
    </row>
    <row r="88">
      <c r="A88" s="8"/>
      <c r="B88" s="8"/>
      <c r="C88" s="8"/>
      <c r="D88" s="8"/>
    </row>
    <row r="89">
      <c r="A89" s="8"/>
      <c r="B89" s="8"/>
      <c r="C89" s="8"/>
      <c r="D89" s="8"/>
    </row>
    <row r="90">
      <c r="A90" s="8"/>
      <c r="B90" s="8"/>
      <c r="C90" s="8"/>
      <c r="D90" s="8"/>
    </row>
    <row r="91">
      <c r="A91" s="8"/>
      <c r="B91" s="8"/>
      <c r="C91" s="8"/>
      <c r="D91" s="8"/>
    </row>
    <row r="92">
      <c r="A92" s="8"/>
      <c r="B92" s="8"/>
      <c r="C92" s="8"/>
      <c r="D92" s="8"/>
    </row>
    <row r="93">
      <c r="A93" s="8"/>
      <c r="B93" s="8"/>
      <c r="C93" s="8"/>
      <c r="D93" s="8"/>
    </row>
    <row r="94">
      <c r="A94" s="8"/>
      <c r="B94" s="8"/>
      <c r="C94" s="8"/>
      <c r="D94" s="8"/>
    </row>
    <row r="95">
      <c r="A95" s="8"/>
      <c r="B95" s="8"/>
      <c r="C95" s="8"/>
      <c r="D95" s="8"/>
    </row>
    <row r="96">
      <c r="A96" s="8"/>
      <c r="B96" s="8"/>
      <c r="C96" s="8"/>
      <c r="D96" s="8"/>
    </row>
    <row r="97">
      <c r="A97" s="8"/>
      <c r="B97" s="8"/>
      <c r="C97" s="8"/>
      <c r="D97" s="8"/>
    </row>
    <row r="98">
      <c r="A98" s="8"/>
      <c r="B98" s="8"/>
      <c r="C98" s="8"/>
      <c r="D98" s="8"/>
    </row>
    <row r="99">
      <c r="A99" s="8"/>
      <c r="B99" s="8"/>
      <c r="C99" s="8"/>
      <c r="D99" s="8"/>
    </row>
    <row r="100">
      <c r="A100" s="8"/>
      <c r="B100" s="8"/>
      <c r="C100" s="8"/>
      <c r="D100" s="8"/>
    </row>
    <row r="101">
      <c r="A101" s="8"/>
      <c r="B101" s="8"/>
      <c r="C101" s="8"/>
      <c r="D101" s="8"/>
    </row>
    <row r="102">
      <c r="A102" s="8"/>
      <c r="B102" s="8"/>
      <c r="C102" s="8"/>
      <c r="D102" s="8"/>
    </row>
    <row r="103">
      <c r="A103" s="8"/>
      <c r="B103" s="8"/>
      <c r="C103" s="8"/>
      <c r="D103" s="8"/>
    </row>
    <row r="104">
      <c r="A104" s="8"/>
      <c r="B104" s="8"/>
      <c r="C104" s="8"/>
      <c r="D104" s="8"/>
    </row>
    <row r="105">
      <c r="A105" s="8"/>
      <c r="B105" s="8"/>
      <c r="C105" s="8"/>
      <c r="D105" s="8"/>
    </row>
    <row r="106">
      <c r="A106" s="8"/>
      <c r="B106" s="8"/>
      <c r="C106" s="8"/>
      <c r="D106" s="8"/>
    </row>
    <row r="107">
      <c r="A107" s="8"/>
      <c r="B107" s="8"/>
      <c r="C107" s="8"/>
      <c r="D107" s="8"/>
    </row>
    <row r="108">
      <c r="A108" s="8"/>
      <c r="B108" s="8"/>
      <c r="C108" s="8"/>
      <c r="D108" s="8"/>
    </row>
    <row r="109">
      <c r="A109" s="8"/>
      <c r="B109" s="8"/>
      <c r="C109" s="8"/>
      <c r="D109" s="8"/>
    </row>
    <row r="110">
      <c r="A110" s="8"/>
      <c r="B110" s="8"/>
      <c r="C110" s="8"/>
      <c r="D110" s="8"/>
    </row>
    <row r="111">
      <c r="A111" s="8"/>
      <c r="B111" s="8"/>
      <c r="C111" s="8"/>
      <c r="D111" s="8"/>
    </row>
    <row r="112">
      <c r="A112" s="8"/>
      <c r="B112" s="8"/>
      <c r="C112" s="8"/>
      <c r="D112" s="8"/>
    </row>
    <row r="113">
      <c r="A113" s="8"/>
      <c r="B113" s="8"/>
      <c r="C113" s="8"/>
      <c r="D113" s="8"/>
    </row>
    <row r="114">
      <c r="A114" s="8"/>
      <c r="B114" s="8"/>
      <c r="C114" s="8"/>
      <c r="D114" s="8"/>
    </row>
    <row r="115">
      <c r="A115" s="8"/>
      <c r="B115" s="8"/>
      <c r="C115" s="8"/>
      <c r="D115" s="8"/>
    </row>
    <row r="116">
      <c r="A116" s="8"/>
      <c r="B116" s="8"/>
      <c r="C116" s="8"/>
      <c r="D116" s="8"/>
    </row>
    <row r="117">
      <c r="A117" s="8"/>
      <c r="B117" s="8"/>
      <c r="C117" s="8"/>
      <c r="D117" s="8"/>
    </row>
    <row r="118">
      <c r="A118" s="8"/>
      <c r="B118" s="8"/>
      <c r="C118" s="8"/>
      <c r="D118" s="8"/>
    </row>
    <row r="119">
      <c r="A119" s="8"/>
      <c r="B119" s="8"/>
      <c r="C119" s="8"/>
      <c r="D119" s="8"/>
    </row>
    <row r="120">
      <c r="A120" s="8"/>
      <c r="B120" s="8"/>
      <c r="C120" s="8"/>
      <c r="D120" s="8"/>
    </row>
    <row r="121">
      <c r="A121" s="8"/>
      <c r="B121" s="8"/>
      <c r="C121" s="8"/>
      <c r="D121" s="8"/>
    </row>
    <row r="122">
      <c r="A122" s="8"/>
      <c r="B122" s="8"/>
      <c r="C122" s="8"/>
      <c r="D122" s="8"/>
    </row>
    <row r="123">
      <c r="A123" s="8"/>
      <c r="B123" s="8"/>
      <c r="C123" s="8"/>
      <c r="D123" s="8"/>
    </row>
    <row r="124">
      <c r="A124" s="8"/>
      <c r="B124" s="8"/>
      <c r="C124" s="8"/>
      <c r="D124" s="8"/>
    </row>
    <row r="125">
      <c r="A125" s="8"/>
      <c r="B125" s="8"/>
      <c r="C125" s="8"/>
      <c r="D125" s="8"/>
    </row>
    <row r="126">
      <c r="A126" s="8"/>
      <c r="B126" s="8"/>
      <c r="C126" s="8"/>
      <c r="D126" s="8"/>
    </row>
    <row r="127">
      <c r="A127" s="8"/>
      <c r="B127" s="8"/>
      <c r="C127" s="8"/>
      <c r="D127" s="8"/>
    </row>
    <row r="128">
      <c r="A128" s="8"/>
      <c r="B128" s="8"/>
      <c r="C128" s="8"/>
      <c r="D128" s="8"/>
    </row>
    <row r="129">
      <c r="A129" s="8"/>
      <c r="B129" s="8"/>
      <c r="C129" s="8"/>
      <c r="D129" s="8"/>
    </row>
    <row r="130">
      <c r="A130" s="8"/>
      <c r="B130" s="8"/>
      <c r="C130" s="8"/>
      <c r="D130" s="8"/>
    </row>
    <row r="131">
      <c r="A131" s="8"/>
      <c r="B131" s="8"/>
      <c r="C131" s="8"/>
      <c r="D131" s="8"/>
    </row>
    <row r="132">
      <c r="A132" s="8"/>
      <c r="B132" s="8"/>
      <c r="C132" s="8"/>
      <c r="D132" s="8"/>
    </row>
    <row r="133">
      <c r="A133" s="8"/>
      <c r="B133" s="8"/>
      <c r="C133" s="8"/>
      <c r="D133" s="8"/>
    </row>
    <row r="134">
      <c r="A134" s="8"/>
      <c r="B134" s="8"/>
      <c r="C134" s="8"/>
      <c r="D134" s="8"/>
    </row>
    <row r="135">
      <c r="A135" s="8"/>
      <c r="B135" s="8"/>
      <c r="C135" s="8"/>
      <c r="D135" s="8"/>
    </row>
    <row r="136">
      <c r="A136" s="8"/>
      <c r="B136" s="8"/>
      <c r="C136" s="8"/>
      <c r="D136" s="8"/>
    </row>
    <row r="137">
      <c r="A137" s="8"/>
      <c r="B137" s="8"/>
      <c r="C137" s="8"/>
      <c r="D137" s="8"/>
    </row>
    <row r="138">
      <c r="A138" s="8"/>
      <c r="B138" s="8"/>
      <c r="C138" s="8"/>
      <c r="D138" s="8"/>
    </row>
    <row r="139">
      <c r="A139" s="8"/>
      <c r="B139" s="8"/>
      <c r="C139" s="8"/>
      <c r="D139" s="8"/>
    </row>
    <row r="140">
      <c r="A140" s="8"/>
      <c r="B140" s="8"/>
      <c r="C140" s="8"/>
      <c r="D140" s="8"/>
    </row>
    <row r="141">
      <c r="A141" s="8"/>
      <c r="B141" s="8"/>
      <c r="C141" s="8"/>
      <c r="D141" s="8"/>
    </row>
    <row r="142">
      <c r="A142" s="8"/>
      <c r="B142" s="8"/>
      <c r="C142" s="8"/>
      <c r="D142" s="8"/>
    </row>
    <row r="143">
      <c r="A143" s="8"/>
      <c r="B143" s="8"/>
      <c r="C143" s="8"/>
      <c r="D143" s="8"/>
    </row>
    <row r="144">
      <c r="A144" s="8"/>
      <c r="B144" s="8"/>
      <c r="C144" s="8"/>
      <c r="D144" s="8"/>
    </row>
    <row r="145">
      <c r="A145" s="8"/>
      <c r="B145" s="8"/>
      <c r="C145" s="8"/>
      <c r="D145" s="8"/>
    </row>
    <row r="146">
      <c r="A146" s="8"/>
      <c r="B146" s="8"/>
      <c r="C146" s="8"/>
      <c r="D146" s="8"/>
    </row>
    <row r="147">
      <c r="A147" s="8"/>
      <c r="B147" s="8"/>
      <c r="C147" s="8"/>
      <c r="D147" s="8"/>
    </row>
    <row r="148">
      <c r="A148" s="8"/>
      <c r="B148" s="8"/>
      <c r="C148" s="8"/>
      <c r="D148" s="8"/>
    </row>
    <row r="149">
      <c r="A149" s="8"/>
      <c r="B149" s="8"/>
      <c r="C149" s="8"/>
      <c r="D149" s="8"/>
    </row>
    <row r="150">
      <c r="A150" s="8"/>
      <c r="B150" s="8"/>
      <c r="C150" s="8"/>
      <c r="D150" s="8"/>
    </row>
    <row r="151">
      <c r="A151" s="8"/>
      <c r="B151" s="8"/>
      <c r="C151" s="8"/>
      <c r="D151" s="8"/>
    </row>
    <row r="152">
      <c r="A152" s="8"/>
      <c r="B152" s="8"/>
      <c r="C152" s="8"/>
      <c r="D152" s="8"/>
    </row>
    <row r="153">
      <c r="A153" s="8"/>
      <c r="B153" s="8"/>
      <c r="C153" s="8"/>
      <c r="D153" s="8"/>
    </row>
    <row r="154">
      <c r="A154" s="8"/>
      <c r="B154" s="8"/>
      <c r="C154" s="8"/>
      <c r="D154" s="8"/>
    </row>
    <row r="155">
      <c r="A155" s="8"/>
      <c r="B155" s="8"/>
      <c r="C155" s="8"/>
      <c r="D155" s="8"/>
    </row>
    <row r="156">
      <c r="A156" s="8"/>
      <c r="B156" s="8"/>
      <c r="C156" s="8"/>
      <c r="D156" s="8"/>
    </row>
    <row r="157">
      <c r="A157" s="8"/>
      <c r="B157" s="8"/>
      <c r="C157" s="8"/>
      <c r="D157" s="8"/>
    </row>
    <row r="158">
      <c r="A158" s="8"/>
      <c r="B158" s="8"/>
      <c r="C158" s="8"/>
      <c r="D158" s="8"/>
    </row>
    <row r="159">
      <c r="A159" s="8"/>
      <c r="B159" s="8"/>
      <c r="C159" s="8"/>
      <c r="D159" s="8"/>
    </row>
    <row r="160">
      <c r="A160" s="8"/>
      <c r="B160" s="8"/>
      <c r="C160" s="8"/>
      <c r="D160" s="8"/>
    </row>
    <row r="161">
      <c r="A161" s="8"/>
      <c r="B161" s="8"/>
      <c r="C161" s="8"/>
      <c r="D161" s="8"/>
    </row>
    <row r="162">
      <c r="A162" s="8"/>
      <c r="B162" s="8"/>
      <c r="C162" s="8"/>
      <c r="D162" s="8"/>
    </row>
    <row r="163">
      <c r="A163" s="8"/>
      <c r="B163" s="8"/>
      <c r="C163" s="8"/>
      <c r="D163" s="8"/>
    </row>
    <row r="164">
      <c r="A164" s="8"/>
      <c r="B164" s="8"/>
      <c r="C164" s="8"/>
      <c r="D164" s="8"/>
    </row>
    <row r="165">
      <c r="A165" s="8"/>
      <c r="B165" s="8"/>
      <c r="C165" s="8"/>
      <c r="D165" s="8"/>
    </row>
    <row r="166">
      <c r="A166" s="8"/>
      <c r="B166" s="8"/>
      <c r="C166" s="8"/>
      <c r="D166" s="8"/>
    </row>
    <row r="167">
      <c r="A167" s="8"/>
      <c r="B167" s="8"/>
      <c r="C167" s="8"/>
      <c r="D167" s="8"/>
    </row>
    <row r="168">
      <c r="A168" s="8"/>
      <c r="B168" s="8"/>
      <c r="C168" s="8"/>
      <c r="D168" s="8"/>
    </row>
    <row r="169">
      <c r="A169" s="8"/>
      <c r="B169" s="8"/>
      <c r="C169" s="8"/>
      <c r="D169" s="8"/>
    </row>
    <row r="170">
      <c r="A170" s="8"/>
      <c r="B170" s="8"/>
      <c r="C170" s="8"/>
      <c r="D170" s="8"/>
    </row>
    <row r="171">
      <c r="A171" s="8"/>
      <c r="B171" s="8"/>
      <c r="C171" s="8"/>
      <c r="D171" s="8"/>
    </row>
    <row r="172">
      <c r="A172" s="8"/>
      <c r="B172" s="8"/>
      <c r="C172" s="8"/>
      <c r="D172" s="8"/>
    </row>
    <row r="173">
      <c r="A173" s="8"/>
      <c r="B173" s="8"/>
      <c r="C173" s="8"/>
      <c r="D173" s="8"/>
    </row>
    <row r="174">
      <c r="A174" s="8"/>
      <c r="B174" s="8"/>
      <c r="C174" s="8"/>
      <c r="D174" s="8"/>
    </row>
    <row r="175">
      <c r="A175" s="8"/>
      <c r="B175" s="8"/>
      <c r="C175" s="8"/>
      <c r="D175" s="8"/>
    </row>
    <row r="176">
      <c r="A176" s="8"/>
      <c r="B176" s="8"/>
      <c r="C176" s="8"/>
      <c r="D176" s="8"/>
    </row>
    <row r="177">
      <c r="A177" s="8"/>
      <c r="B177" s="8"/>
      <c r="C177" s="8"/>
      <c r="D177" s="8"/>
    </row>
    <row r="178">
      <c r="A178" s="8"/>
      <c r="B178" s="8"/>
      <c r="C178" s="8"/>
      <c r="D178" s="8"/>
    </row>
    <row r="179">
      <c r="A179" s="8"/>
      <c r="B179" s="8"/>
      <c r="C179" s="8"/>
      <c r="D179" s="8"/>
    </row>
    <row r="180">
      <c r="A180" s="8"/>
      <c r="B180" s="8"/>
      <c r="C180" s="8"/>
      <c r="D180" s="8"/>
    </row>
    <row r="181">
      <c r="A181" s="8"/>
      <c r="B181" s="8"/>
      <c r="C181" s="8"/>
      <c r="D181" s="8"/>
    </row>
    <row r="182">
      <c r="A182" s="8"/>
      <c r="B182" s="8"/>
      <c r="C182" s="8"/>
      <c r="D182" s="8"/>
    </row>
    <row r="183">
      <c r="A183" s="8"/>
      <c r="B183" s="8"/>
      <c r="C183" s="8"/>
      <c r="D183" s="8"/>
    </row>
    <row r="184">
      <c r="A184" s="8"/>
      <c r="B184" s="8"/>
      <c r="C184" s="8"/>
      <c r="D184" s="8"/>
    </row>
    <row r="185">
      <c r="A185" s="8"/>
      <c r="B185" s="8"/>
      <c r="C185" s="8"/>
      <c r="D185" s="8"/>
    </row>
    <row r="186">
      <c r="A186" s="8"/>
      <c r="B186" s="8"/>
      <c r="C186" s="8"/>
      <c r="D186" s="8"/>
    </row>
    <row r="187">
      <c r="A187" s="8"/>
      <c r="B187" s="8"/>
      <c r="C187" s="8"/>
      <c r="D187" s="8"/>
    </row>
    <row r="188">
      <c r="A188" s="8"/>
      <c r="B188" s="8"/>
      <c r="C188" s="8"/>
      <c r="D188" s="8"/>
    </row>
    <row r="189">
      <c r="A189" s="8"/>
      <c r="B189" s="8"/>
      <c r="C189" s="8"/>
      <c r="D189" s="8"/>
    </row>
    <row r="190">
      <c r="A190" s="8"/>
      <c r="B190" s="8"/>
      <c r="C190" s="8"/>
      <c r="D190" s="8"/>
    </row>
    <row r="191">
      <c r="A191" s="8"/>
      <c r="B191" s="8"/>
      <c r="C191" s="8"/>
      <c r="D191" s="8"/>
    </row>
    <row r="192">
      <c r="A192" s="8"/>
      <c r="B192" s="8"/>
      <c r="C192" s="8"/>
      <c r="D192" s="8"/>
    </row>
    <row r="193">
      <c r="A193" s="8"/>
      <c r="B193" s="8"/>
      <c r="C193" s="8"/>
      <c r="D193" s="8"/>
    </row>
    <row r="194">
      <c r="A194" s="8"/>
      <c r="B194" s="8"/>
      <c r="C194" s="8"/>
      <c r="D194" s="8"/>
    </row>
    <row r="195">
      <c r="A195" s="8"/>
      <c r="B195" s="8"/>
      <c r="C195" s="8"/>
      <c r="D195" s="8"/>
    </row>
    <row r="196">
      <c r="A196" s="8"/>
      <c r="B196" s="8"/>
      <c r="C196" s="8"/>
      <c r="D196" s="8"/>
    </row>
    <row r="197">
      <c r="A197" s="8"/>
      <c r="B197" s="8"/>
      <c r="C197" s="8"/>
      <c r="D197" s="8"/>
    </row>
    <row r="198">
      <c r="A198" s="8"/>
      <c r="B198" s="8"/>
      <c r="C198" s="8"/>
      <c r="D198" s="8"/>
    </row>
    <row r="199">
      <c r="A199" s="8"/>
      <c r="B199" s="8"/>
      <c r="C199" s="8"/>
      <c r="D199" s="8"/>
    </row>
    <row r="200">
      <c r="A200" s="8"/>
      <c r="B200" s="8"/>
      <c r="C200" s="8"/>
      <c r="D200" s="8"/>
    </row>
    <row r="201">
      <c r="A201" s="8"/>
      <c r="B201" s="8"/>
      <c r="C201" s="8"/>
      <c r="D201" s="8"/>
    </row>
    <row r="202">
      <c r="A202" s="8"/>
      <c r="B202" s="8"/>
      <c r="C202" s="8"/>
      <c r="D202" s="8"/>
    </row>
    <row r="203">
      <c r="A203" s="8"/>
      <c r="B203" s="8"/>
      <c r="C203" s="8"/>
      <c r="D203" s="8"/>
    </row>
    <row r="204">
      <c r="A204" s="8"/>
      <c r="B204" s="8"/>
      <c r="C204" s="8"/>
      <c r="D204" s="8"/>
    </row>
    <row r="205">
      <c r="A205" s="8"/>
      <c r="B205" s="8"/>
      <c r="C205" s="8"/>
      <c r="D205" s="8"/>
    </row>
    <row r="206">
      <c r="A206" s="8"/>
      <c r="B206" s="8"/>
      <c r="C206" s="8"/>
      <c r="D206" s="8"/>
    </row>
    <row r="207">
      <c r="A207" s="8"/>
      <c r="B207" s="8"/>
      <c r="C207" s="8"/>
      <c r="D207" s="8"/>
    </row>
    <row r="208">
      <c r="A208" s="8"/>
      <c r="B208" s="8"/>
      <c r="C208" s="8"/>
      <c r="D208" s="8"/>
    </row>
    <row r="209">
      <c r="A209" s="8"/>
      <c r="B209" s="8"/>
      <c r="C209" s="8"/>
      <c r="D209" s="8"/>
    </row>
    <row r="210">
      <c r="A210" s="8"/>
      <c r="B210" s="8"/>
      <c r="C210" s="8"/>
      <c r="D210" s="8"/>
    </row>
    <row r="211">
      <c r="A211" s="8"/>
      <c r="B211" s="8"/>
      <c r="C211" s="8"/>
      <c r="D211" s="8"/>
    </row>
    <row r="212">
      <c r="A212" s="8"/>
      <c r="B212" s="8"/>
      <c r="C212" s="8"/>
      <c r="D212" s="8"/>
    </row>
    <row r="213">
      <c r="A213" s="8"/>
      <c r="B213" s="8"/>
      <c r="C213" s="8"/>
      <c r="D213" s="8"/>
    </row>
    <row r="214">
      <c r="A214" s="8"/>
      <c r="B214" s="8"/>
      <c r="C214" s="8"/>
      <c r="D214" s="8"/>
    </row>
    <row r="215">
      <c r="A215" s="8"/>
      <c r="B215" s="8"/>
      <c r="C215" s="8"/>
      <c r="D215" s="8"/>
    </row>
    <row r="216">
      <c r="A216" s="8"/>
      <c r="B216" s="8"/>
      <c r="C216" s="8"/>
      <c r="D216" s="8"/>
    </row>
    <row r="217">
      <c r="A217" s="8"/>
      <c r="B217" s="8"/>
      <c r="C217" s="8"/>
      <c r="D217" s="8"/>
    </row>
    <row r="218">
      <c r="A218" s="8"/>
      <c r="B218" s="8"/>
      <c r="C218" s="8"/>
      <c r="D218" s="8"/>
    </row>
    <row r="219">
      <c r="A219" s="8"/>
      <c r="B219" s="8"/>
      <c r="C219" s="8"/>
      <c r="D219" s="8"/>
    </row>
    <row r="220">
      <c r="A220" s="8"/>
      <c r="B220" s="8"/>
      <c r="C220" s="8"/>
      <c r="D220" s="8"/>
    </row>
    <row r="221">
      <c r="A221" s="8"/>
      <c r="B221" s="8"/>
      <c r="C221" s="8"/>
      <c r="D221" s="8"/>
    </row>
    <row r="222">
      <c r="A222" s="8"/>
      <c r="B222" s="8"/>
      <c r="C222" s="8"/>
      <c r="D222" s="8"/>
    </row>
    <row r="223">
      <c r="A223" s="8"/>
      <c r="B223" s="8"/>
      <c r="C223" s="8"/>
      <c r="D223" s="8"/>
    </row>
    <row r="224">
      <c r="A224" s="8"/>
      <c r="B224" s="8"/>
      <c r="C224" s="8"/>
      <c r="D224" s="8"/>
    </row>
    <row r="225">
      <c r="A225" s="8"/>
      <c r="B225" s="8"/>
      <c r="C225" s="8"/>
      <c r="D225" s="8"/>
    </row>
    <row r="226">
      <c r="A226" s="8"/>
      <c r="B226" s="8"/>
      <c r="C226" s="8"/>
      <c r="D226" s="8"/>
    </row>
    <row r="227">
      <c r="A227" s="8"/>
      <c r="B227" s="8"/>
      <c r="C227" s="8"/>
      <c r="D227" s="8"/>
    </row>
    <row r="228">
      <c r="A228" s="8"/>
      <c r="B228" s="8"/>
      <c r="C228" s="8"/>
      <c r="D228" s="8"/>
    </row>
    <row r="229">
      <c r="A229" s="8"/>
      <c r="B229" s="8"/>
      <c r="C229" s="8"/>
      <c r="D229" s="8"/>
    </row>
    <row r="230">
      <c r="A230" s="8"/>
      <c r="B230" s="8"/>
      <c r="C230" s="8"/>
      <c r="D230" s="8"/>
    </row>
    <row r="231">
      <c r="A231" s="8"/>
      <c r="B231" s="8"/>
      <c r="C231" s="8"/>
      <c r="D231" s="8"/>
    </row>
    <row r="232">
      <c r="A232" s="8"/>
      <c r="B232" s="8"/>
      <c r="C232" s="8"/>
      <c r="D232" s="8"/>
    </row>
    <row r="233">
      <c r="A233" s="8"/>
      <c r="B233" s="8"/>
      <c r="C233" s="8"/>
      <c r="D233" s="8"/>
    </row>
    <row r="234">
      <c r="A234" s="8"/>
      <c r="B234" s="8"/>
      <c r="C234" s="8"/>
      <c r="D234" s="8"/>
    </row>
    <row r="235">
      <c r="A235" s="8"/>
      <c r="B235" s="8"/>
      <c r="C235" s="8"/>
      <c r="D235" s="8"/>
    </row>
    <row r="236">
      <c r="A236" s="8"/>
      <c r="B236" s="8"/>
      <c r="C236" s="8"/>
      <c r="D236" s="8"/>
    </row>
    <row r="237">
      <c r="A237" s="8"/>
      <c r="B237" s="8"/>
      <c r="C237" s="8"/>
      <c r="D237" s="8"/>
    </row>
    <row r="238">
      <c r="A238" s="8"/>
      <c r="B238" s="8"/>
      <c r="C238" s="8"/>
      <c r="D238" s="8"/>
    </row>
    <row r="239">
      <c r="A239" s="8"/>
      <c r="B239" s="8"/>
      <c r="C239" s="8"/>
      <c r="D239" s="8"/>
    </row>
    <row r="240">
      <c r="A240" s="8"/>
      <c r="B240" s="8"/>
      <c r="C240" s="8"/>
      <c r="D240" s="8"/>
    </row>
    <row r="241">
      <c r="A241" s="8"/>
      <c r="B241" s="8"/>
      <c r="C241" s="8"/>
      <c r="D241" s="8"/>
    </row>
    <row r="242">
      <c r="A242" s="8"/>
      <c r="B242" s="8"/>
      <c r="C242" s="8"/>
      <c r="D242" s="8"/>
    </row>
    <row r="243">
      <c r="A243" s="8"/>
      <c r="B243" s="8"/>
      <c r="C243" s="8"/>
      <c r="D243" s="8"/>
    </row>
    <row r="244">
      <c r="A244" s="8"/>
      <c r="B244" s="8"/>
      <c r="C244" s="8"/>
      <c r="D244" s="8"/>
    </row>
    <row r="245">
      <c r="A245" s="8"/>
      <c r="B245" s="8"/>
      <c r="C245" s="8"/>
      <c r="D245" s="8"/>
    </row>
    <row r="246">
      <c r="A246" s="8"/>
      <c r="B246" s="8"/>
      <c r="C246" s="8"/>
      <c r="D246" s="8"/>
    </row>
    <row r="247">
      <c r="A247" s="8"/>
      <c r="B247" s="8"/>
      <c r="C247" s="8"/>
      <c r="D247" s="8"/>
    </row>
    <row r="248">
      <c r="A248" s="8"/>
      <c r="B248" s="8"/>
      <c r="C248" s="8"/>
      <c r="D248" s="8"/>
    </row>
    <row r="249">
      <c r="A249" s="8"/>
      <c r="B249" s="8"/>
      <c r="C249" s="8"/>
      <c r="D249" s="8"/>
    </row>
    <row r="250">
      <c r="A250" s="8"/>
      <c r="B250" s="8"/>
      <c r="C250" s="8"/>
      <c r="D250" s="8"/>
    </row>
    <row r="251">
      <c r="A251" s="8"/>
      <c r="B251" s="8"/>
      <c r="C251" s="8"/>
      <c r="D251" s="8"/>
    </row>
    <row r="252">
      <c r="A252" s="8"/>
      <c r="B252" s="8"/>
      <c r="C252" s="8"/>
      <c r="D252" s="8"/>
    </row>
    <row r="253">
      <c r="A253" s="8"/>
      <c r="B253" s="8"/>
      <c r="C253" s="8"/>
      <c r="D253" s="8"/>
    </row>
    <row r="254">
      <c r="A254" s="8"/>
      <c r="B254" s="8"/>
      <c r="C254" s="8"/>
      <c r="D254" s="8"/>
    </row>
    <row r="255">
      <c r="A255" s="8"/>
      <c r="B255" s="8"/>
      <c r="C255" s="8"/>
      <c r="D255" s="8"/>
    </row>
    <row r="256">
      <c r="A256" s="8"/>
      <c r="B256" s="8"/>
      <c r="C256" s="8"/>
      <c r="D256" s="8"/>
    </row>
    <row r="257">
      <c r="A257" s="8"/>
      <c r="B257" s="8"/>
      <c r="C257" s="8"/>
      <c r="D257" s="8"/>
    </row>
    <row r="258">
      <c r="A258" s="8"/>
      <c r="B258" s="8"/>
      <c r="C258" s="8"/>
      <c r="D258" s="8"/>
    </row>
    <row r="259">
      <c r="A259" s="8"/>
      <c r="B259" s="8"/>
      <c r="C259" s="8"/>
      <c r="D259" s="8"/>
    </row>
    <row r="260">
      <c r="A260" s="8"/>
      <c r="B260" s="8"/>
      <c r="C260" s="8"/>
      <c r="D260" s="8"/>
    </row>
    <row r="261">
      <c r="A261" s="8"/>
      <c r="B261" s="8"/>
      <c r="C261" s="8"/>
      <c r="D261" s="8"/>
    </row>
    <row r="262">
      <c r="A262" s="8"/>
      <c r="B262" s="8"/>
      <c r="C262" s="8"/>
      <c r="D262" s="8"/>
    </row>
    <row r="263">
      <c r="A263" s="8"/>
      <c r="B263" s="8"/>
      <c r="C263" s="8"/>
      <c r="D263" s="8"/>
    </row>
    <row r="264">
      <c r="A264" s="8"/>
      <c r="B264" s="8"/>
      <c r="C264" s="8"/>
      <c r="D264" s="8"/>
    </row>
    <row r="265">
      <c r="A265" s="8"/>
      <c r="B265" s="8"/>
      <c r="C265" s="8"/>
      <c r="D265" s="8"/>
    </row>
    <row r="266">
      <c r="A266" s="8"/>
      <c r="B266" s="8"/>
      <c r="C266" s="8"/>
      <c r="D266" s="8"/>
    </row>
    <row r="267">
      <c r="A267" s="8"/>
      <c r="B267" s="8"/>
      <c r="C267" s="8"/>
      <c r="D267" s="8"/>
    </row>
    <row r="268">
      <c r="A268" s="8"/>
      <c r="B268" s="8"/>
      <c r="C268" s="8"/>
      <c r="D268" s="8"/>
    </row>
    <row r="269">
      <c r="A269" s="8"/>
      <c r="B269" s="8"/>
      <c r="C269" s="8"/>
      <c r="D269" s="8"/>
    </row>
    <row r="270">
      <c r="A270" s="8"/>
      <c r="B270" s="8"/>
      <c r="C270" s="8"/>
      <c r="D270" s="8"/>
    </row>
    <row r="271">
      <c r="A271" s="8"/>
      <c r="B271" s="8"/>
      <c r="C271" s="8"/>
      <c r="D271" s="8"/>
    </row>
    <row r="272">
      <c r="A272" s="8"/>
      <c r="B272" s="8"/>
      <c r="C272" s="8"/>
      <c r="D272" s="8"/>
    </row>
    <row r="273">
      <c r="A273" s="8"/>
      <c r="B273" s="8"/>
      <c r="C273" s="8"/>
      <c r="D273" s="8"/>
    </row>
    <row r="274">
      <c r="A274" s="8"/>
      <c r="B274" s="8"/>
      <c r="C274" s="8"/>
      <c r="D274" s="8"/>
    </row>
    <row r="275">
      <c r="A275" s="8"/>
      <c r="B275" s="8"/>
      <c r="C275" s="8"/>
      <c r="D275" s="8"/>
    </row>
    <row r="276">
      <c r="A276" s="8"/>
      <c r="B276" s="8"/>
      <c r="C276" s="8"/>
      <c r="D276" s="8"/>
    </row>
    <row r="277">
      <c r="A277" s="8"/>
      <c r="B277" s="8"/>
      <c r="C277" s="8"/>
      <c r="D277" s="8"/>
    </row>
    <row r="278">
      <c r="A278" s="8"/>
      <c r="B278" s="8"/>
      <c r="C278" s="8"/>
      <c r="D278" s="8"/>
    </row>
    <row r="279">
      <c r="A279" s="8"/>
      <c r="B279" s="8"/>
      <c r="C279" s="8"/>
      <c r="D279" s="8"/>
    </row>
    <row r="280">
      <c r="A280" s="8"/>
      <c r="B280" s="8"/>
      <c r="C280" s="8"/>
      <c r="D280" s="8"/>
    </row>
    <row r="281">
      <c r="A281" s="8"/>
      <c r="B281" s="8"/>
      <c r="C281" s="8"/>
      <c r="D281" s="8"/>
    </row>
    <row r="282">
      <c r="A282" s="8"/>
      <c r="B282" s="8"/>
      <c r="C282" s="8"/>
      <c r="D282" s="8"/>
    </row>
    <row r="283">
      <c r="A283" s="8"/>
      <c r="B283" s="8"/>
      <c r="C283" s="8"/>
      <c r="D283" s="8"/>
    </row>
    <row r="284">
      <c r="A284" s="8"/>
      <c r="B284" s="8"/>
      <c r="C284" s="8"/>
      <c r="D284" s="8"/>
    </row>
    <row r="285">
      <c r="A285" s="8"/>
      <c r="B285" s="8"/>
      <c r="C285" s="8"/>
      <c r="D285" s="8"/>
    </row>
    <row r="286">
      <c r="A286" s="8"/>
      <c r="B286" s="8"/>
      <c r="C286" s="8"/>
      <c r="D286" s="8"/>
    </row>
    <row r="287">
      <c r="A287" s="8"/>
      <c r="B287" s="8"/>
      <c r="C287" s="8"/>
      <c r="D287" s="8"/>
    </row>
    <row r="288">
      <c r="A288" s="8"/>
      <c r="B288" s="8"/>
      <c r="C288" s="8"/>
      <c r="D288" s="8"/>
    </row>
    <row r="289">
      <c r="A289" s="8"/>
      <c r="B289" s="8"/>
      <c r="C289" s="8"/>
      <c r="D289" s="8"/>
    </row>
    <row r="290">
      <c r="A290" s="8"/>
      <c r="B290" s="8"/>
      <c r="C290" s="8"/>
      <c r="D290" s="8"/>
    </row>
    <row r="291">
      <c r="A291" s="8"/>
      <c r="B291" s="8"/>
      <c r="C291" s="8"/>
      <c r="D291" s="8"/>
    </row>
    <row r="292">
      <c r="A292" s="8"/>
      <c r="B292" s="8"/>
      <c r="C292" s="8"/>
      <c r="D292" s="8"/>
    </row>
    <row r="293">
      <c r="A293" s="8"/>
      <c r="B293" s="8"/>
      <c r="C293" s="8"/>
      <c r="D293" s="8"/>
    </row>
    <row r="294">
      <c r="A294" s="8"/>
      <c r="B294" s="8"/>
      <c r="C294" s="8"/>
      <c r="D294" s="8"/>
    </row>
    <row r="295">
      <c r="A295" s="8"/>
      <c r="B295" s="8"/>
      <c r="C295" s="8"/>
      <c r="D295" s="8"/>
    </row>
    <row r="296">
      <c r="A296" s="8"/>
      <c r="B296" s="8"/>
      <c r="C296" s="8"/>
      <c r="D296" s="8"/>
    </row>
    <row r="297">
      <c r="A297" s="8"/>
      <c r="B297" s="8"/>
      <c r="C297" s="8"/>
      <c r="D297" s="8"/>
    </row>
    <row r="298">
      <c r="A298" s="8"/>
      <c r="B298" s="8"/>
      <c r="C298" s="8"/>
      <c r="D298" s="8"/>
    </row>
    <row r="299">
      <c r="A299" s="8"/>
      <c r="B299" s="8"/>
      <c r="C299" s="8"/>
      <c r="D299" s="8"/>
    </row>
    <row r="300">
      <c r="A300" s="8"/>
      <c r="B300" s="8"/>
      <c r="C300" s="8"/>
      <c r="D300" s="8"/>
    </row>
    <row r="301">
      <c r="A301" s="8"/>
      <c r="B301" s="8"/>
      <c r="C301" s="8"/>
      <c r="D301" s="8"/>
    </row>
    <row r="302">
      <c r="A302" s="8"/>
      <c r="B302" s="8"/>
      <c r="C302" s="8"/>
      <c r="D302" s="8"/>
    </row>
    <row r="303">
      <c r="A303" s="8"/>
      <c r="B303" s="8"/>
      <c r="C303" s="8"/>
      <c r="D303" s="8"/>
    </row>
    <row r="304">
      <c r="A304" s="8"/>
      <c r="B304" s="8"/>
      <c r="C304" s="8"/>
      <c r="D304" s="8"/>
    </row>
    <row r="305">
      <c r="A305" s="8"/>
      <c r="B305" s="8"/>
      <c r="C305" s="8"/>
      <c r="D305" s="8"/>
    </row>
    <row r="306">
      <c r="A306" s="8"/>
      <c r="B306" s="8"/>
      <c r="C306" s="8"/>
      <c r="D306" s="8"/>
    </row>
    <row r="307">
      <c r="A307" s="8"/>
      <c r="B307" s="8"/>
      <c r="C307" s="8"/>
      <c r="D307" s="8"/>
    </row>
    <row r="308">
      <c r="A308" s="8"/>
      <c r="B308" s="8"/>
      <c r="C308" s="8"/>
      <c r="D308" s="8"/>
    </row>
    <row r="309">
      <c r="A309" s="8"/>
      <c r="B309" s="8"/>
      <c r="C309" s="8"/>
      <c r="D309" s="8"/>
    </row>
    <row r="310">
      <c r="A310" s="8"/>
      <c r="B310" s="8"/>
      <c r="C310" s="8"/>
      <c r="D310" s="8"/>
    </row>
    <row r="311">
      <c r="A311" s="8"/>
      <c r="B311" s="8"/>
      <c r="C311" s="8"/>
      <c r="D311" s="8"/>
    </row>
    <row r="312">
      <c r="A312" s="8"/>
      <c r="B312" s="8"/>
      <c r="C312" s="8"/>
      <c r="D312" s="8"/>
    </row>
    <row r="313">
      <c r="A313" s="8"/>
      <c r="B313" s="8"/>
      <c r="C313" s="8"/>
      <c r="D313" s="8"/>
    </row>
    <row r="314">
      <c r="A314" s="8"/>
      <c r="B314" s="8"/>
      <c r="C314" s="8"/>
      <c r="D314" s="8"/>
    </row>
    <row r="315">
      <c r="A315" s="8"/>
      <c r="B315" s="8"/>
      <c r="C315" s="8"/>
      <c r="D315" s="8"/>
    </row>
    <row r="316">
      <c r="A316" s="8"/>
      <c r="B316" s="8"/>
      <c r="C316" s="8"/>
      <c r="D316" s="8"/>
    </row>
    <row r="317">
      <c r="A317" s="8"/>
      <c r="B317" s="8"/>
      <c r="C317" s="8"/>
      <c r="D317" s="8"/>
    </row>
    <row r="318">
      <c r="A318" s="8"/>
      <c r="B318" s="8"/>
      <c r="C318" s="8"/>
      <c r="D318" s="8"/>
    </row>
    <row r="319">
      <c r="A319" s="8"/>
      <c r="B319" s="8"/>
      <c r="C319" s="8"/>
      <c r="D319" s="8"/>
    </row>
    <row r="320">
      <c r="A320" s="8"/>
      <c r="B320" s="8"/>
      <c r="C320" s="8"/>
      <c r="D320" s="8"/>
    </row>
    <row r="321">
      <c r="A321" s="8"/>
      <c r="B321" s="8"/>
      <c r="C321" s="8"/>
      <c r="D321" s="8"/>
    </row>
    <row r="322">
      <c r="A322" s="8"/>
      <c r="B322" s="8"/>
      <c r="C322" s="8"/>
      <c r="D322" s="8"/>
    </row>
    <row r="323">
      <c r="A323" s="8"/>
      <c r="B323" s="8"/>
      <c r="C323" s="8"/>
      <c r="D323" s="8"/>
    </row>
    <row r="324">
      <c r="A324" s="8"/>
      <c r="B324" s="8"/>
      <c r="C324" s="8"/>
      <c r="D324" s="8"/>
    </row>
    <row r="325">
      <c r="A325" s="8"/>
      <c r="B325" s="8"/>
      <c r="C325" s="8"/>
      <c r="D325" s="8"/>
    </row>
    <row r="326">
      <c r="A326" s="8"/>
      <c r="B326" s="8"/>
      <c r="C326" s="8"/>
      <c r="D326" s="8"/>
    </row>
    <row r="327">
      <c r="A327" s="8"/>
      <c r="B327" s="8"/>
      <c r="C327" s="8"/>
      <c r="D327" s="8"/>
    </row>
    <row r="328">
      <c r="A328" s="8"/>
      <c r="B328" s="8"/>
      <c r="C328" s="8"/>
      <c r="D328" s="8"/>
    </row>
    <row r="329">
      <c r="A329" s="8"/>
      <c r="B329" s="8"/>
      <c r="C329" s="8"/>
      <c r="D329" s="8"/>
    </row>
    <row r="330">
      <c r="A330" s="8"/>
      <c r="B330" s="8"/>
      <c r="C330" s="8"/>
      <c r="D330" s="8"/>
    </row>
    <row r="331">
      <c r="A331" s="8"/>
      <c r="B331" s="8"/>
      <c r="C331" s="8"/>
      <c r="D331" s="8"/>
    </row>
    <row r="332">
      <c r="A332" s="8"/>
      <c r="B332" s="8"/>
      <c r="C332" s="8"/>
      <c r="D332" s="8"/>
    </row>
    <row r="333">
      <c r="A333" s="8"/>
      <c r="B333" s="8"/>
      <c r="C333" s="8"/>
      <c r="D333" s="8"/>
    </row>
    <row r="334">
      <c r="A334" s="8"/>
      <c r="B334" s="8"/>
      <c r="C334" s="8"/>
      <c r="D334" s="8"/>
    </row>
    <row r="335">
      <c r="A335" s="8"/>
      <c r="B335" s="8"/>
      <c r="C335" s="8"/>
      <c r="D335" s="8"/>
    </row>
    <row r="336">
      <c r="A336" s="8"/>
      <c r="B336" s="8"/>
      <c r="C336" s="8"/>
      <c r="D336" s="8"/>
    </row>
    <row r="337">
      <c r="A337" s="8"/>
      <c r="B337" s="8"/>
      <c r="C337" s="8"/>
      <c r="D337" s="8"/>
    </row>
    <row r="338">
      <c r="A338" s="8"/>
      <c r="B338" s="8"/>
      <c r="C338" s="8"/>
      <c r="D338" s="8"/>
    </row>
    <row r="339">
      <c r="A339" s="8"/>
      <c r="B339" s="8"/>
      <c r="C339" s="8"/>
      <c r="D339" s="8"/>
    </row>
    <row r="340">
      <c r="A340" s="8"/>
      <c r="B340" s="8"/>
      <c r="C340" s="8"/>
      <c r="D340" s="8"/>
    </row>
    <row r="341">
      <c r="A341" s="8"/>
      <c r="B341" s="8"/>
      <c r="C341" s="8"/>
      <c r="D341" s="8"/>
    </row>
    <row r="342">
      <c r="A342" s="8"/>
      <c r="B342" s="8"/>
      <c r="C342" s="8"/>
      <c r="D342" s="8"/>
    </row>
    <row r="343">
      <c r="A343" s="8"/>
      <c r="B343" s="8"/>
      <c r="C343" s="8"/>
      <c r="D343" s="8"/>
    </row>
    <row r="344">
      <c r="A344" s="8"/>
      <c r="B344" s="8"/>
      <c r="C344" s="8"/>
      <c r="D344" s="8"/>
    </row>
    <row r="345">
      <c r="A345" s="8"/>
      <c r="B345" s="8"/>
      <c r="C345" s="8"/>
      <c r="D345" s="8"/>
    </row>
    <row r="346">
      <c r="A346" s="8"/>
      <c r="B346" s="8"/>
      <c r="C346" s="8"/>
      <c r="D346" s="8"/>
    </row>
    <row r="347">
      <c r="A347" s="8"/>
      <c r="B347" s="8"/>
      <c r="C347" s="8"/>
      <c r="D347" s="8"/>
    </row>
    <row r="348">
      <c r="A348" s="8"/>
      <c r="B348" s="8"/>
      <c r="C348" s="8"/>
      <c r="D348" s="8"/>
    </row>
    <row r="349">
      <c r="A349" s="8"/>
      <c r="B349" s="8"/>
      <c r="C349" s="8"/>
      <c r="D349" s="8"/>
    </row>
    <row r="350">
      <c r="A350" s="8"/>
      <c r="B350" s="8"/>
      <c r="C350" s="8"/>
      <c r="D350" s="8"/>
    </row>
    <row r="351">
      <c r="A351" s="8"/>
      <c r="B351" s="8"/>
      <c r="C351" s="8"/>
      <c r="D351" s="8"/>
    </row>
    <row r="352">
      <c r="A352" s="8"/>
      <c r="B352" s="8"/>
      <c r="C352" s="8"/>
      <c r="D352" s="8"/>
    </row>
    <row r="353">
      <c r="A353" s="8"/>
      <c r="B353" s="8"/>
      <c r="C353" s="8"/>
      <c r="D353" s="8"/>
    </row>
    <row r="354">
      <c r="A354" s="8"/>
      <c r="B354" s="8"/>
      <c r="C354" s="8"/>
      <c r="D354" s="8"/>
    </row>
    <row r="355">
      <c r="A355" s="8"/>
      <c r="B355" s="8"/>
      <c r="C355" s="8"/>
      <c r="D355" s="8"/>
    </row>
    <row r="356">
      <c r="A356" s="8"/>
      <c r="B356" s="8"/>
      <c r="C356" s="8"/>
      <c r="D356" s="8"/>
    </row>
    <row r="357">
      <c r="A357" s="8"/>
      <c r="B357" s="8"/>
      <c r="C357" s="8"/>
      <c r="D357" s="8"/>
    </row>
    <row r="358">
      <c r="A358" s="8"/>
      <c r="B358" s="8"/>
      <c r="C358" s="8"/>
      <c r="D358" s="8"/>
    </row>
    <row r="359">
      <c r="A359" s="8"/>
      <c r="B359" s="8"/>
      <c r="C359" s="8"/>
      <c r="D359" s="8"/>
    </row>
    <row r="360">
      <c r="A360" s="8"/>
      <c r="B360" s="8"/>
      <c r="C360" s="8"/>
      <c r="D360" s="8"/>
    </row>
    <row r="361">
      <c r="A361" s="8"/>
      <c r="B361" s="8"/>
      <c r="C361" s="8"/>
      <c r="D361" s="8"/>
    </row>
    <row r="362">
      <c r="A362" s="8"/>
      <c r="B362" s="8"/>
      <c r="C362" s="8"/>
      <c r="D362" s="8"/>
    </row>
    <row r="363">
      <c r="A363" s="8"/>
      <c r="B363" s="8"/>
      <c r="C363" s="8"/>
      <c r="D363" s="8"/>
    </row>
    <row r="364">
      <c r="A364" s="8"/>
      <c r="B364" s="8"/>
      <c r="C364" s="8"/>
      <c r="D364" s="8"/>
    </row>
    <row r="365">
      <c r="A365" s="8"/>
      <c r="B365" s="8"/>
      <c r="C365" s="8"/>
      <c r="D365" s="8"/>
    </row>
    <row r="366">
      <c r="A366" s="8"/>
      <c r="B366" s="8"/>
      <c r="C366" s="8"/>
      <c r="D366" s="8"/>
    </row>
    <row r="367">
      <c r="A367" s="8"/>
      <c r="B367" s="8"/>
      <c r="C367" s="8"/>
      <c r="D367" s="8"/>
    </row>
    <row r="368">
      <c r="A368" s="8"/>
      <c r="B368" s="8"/>
      <c r="C368" s="8"/>
      <c r="D368" s="8"/>
    </row>
    <row r="369">
      <c r="A369" s="8"/>
      <c r="B369" s="8"/>
      <c r="C369" s="8"/>
      <c r="D369" s="8"/>
    </row>
    <row r="370">
      <c r="A370" s="8"/>
      <c r="B370" s="8"/>
      <c r="C370" s="8"/>
      <c r="D370" s="8"/>
    </row>
    <row r="371">
      <c r="A371" s="8"/>
      <c r="B371" s="8"/>
      <c r="C371" s="8"/>
      <c r="D371" s="8"/>
    </row>
    <row r="372">
      <c r="A372" s="8"/>
      <c r="B372" s="8"/>
      <c r="C372" s="8"/>
      <c r="D372" s="8"/>
    </row>
    <row r="373">
      <c r="A373" s="8"/>
      <c r="B373" s="8"/>
      <c r="C373" s="8"/>
      <c r="D373" s="8"/>
    </row>
    <row r="374">
      <c r="A374" s="8"/>
      <c r="B374" s="8"/>
      <c r="C374" s="8"/>
      <c r="D374" s="8"/>
    </row>
    <row r="375">
      <c r="A375" s="8"/>
      <c r="B375" s="8"/>
      <c r="C375" s="8"/>
      <c r="D375" s="8"/>
    </row>
    <row r="376">
      <c r="A376" s="8"/>
      <c r="B376" s="8"/>
      <c r="C376" s="8"/>
      <c r="D376" s="8"/>
    </row>
    <row r="377">
      <c r="A377" s="8"/>
      <c r="B377" s="8"/>
      <c r="C377" s="8"/>
      <c r="D377" s="8"/>
    </row>
    <row r="378">
      <c r="A378" s="8"/>
      <c r="B378" s="8"/>
      <c r="C378" s="8"/>
      <c r="D378" s="8"/>
    </row>
    <row r="379">
      <c r="A379" s="8"/>
      <c r="B379" s="8"/>
      <c r="C379" s="8"/>
      <c r="D379" s="8"/>
    </row>
    <row r="380">
      <c r="A380" s="8"/>
      <c r="B380" s="8"/>
      <c r="C380" s="8"/>
      <c r="D380" s="8"/>
    </row>
    <row r="381">
      <c r="A381" s="8"/>
      <c r="B381" s="8"/>
      <c r="C381" s="8"/>
      <c r="D381" s="8"/>
    </row>
    <row r="382">
      <c r="A382" s="8"/>
      <c r="B382" s="8"/>
      <c r="C382" s="8"/>
      <c r="D382" s="8"/>
    </row>
    <row r="383">
      <c r="A383" s="8"/>
      <c r="B383" s="8"/>
      <c r="C383" s="8"/>
      <c r="D383" s="8"/>
    </row>
    <row r="384">
      <c r="A384" s="8"/>
      <c r="B384" s="8"/>
      <c r="C384" s="8"/>
      <c r="D384" s="8"/>
    </row>
    <row r="385">
      <c r="A385" s="8"/>
      <c r="B385" s="8"/>
      <c r="C385" s="8"/>
      <c r="D385" s="8"/>
    </row>
    <row r="386">
      <c r="A386" s="8"/>
      <c r="B386" s="8"/>
      <c r="C386" s="8"/>
      <c r="D386" s="8"/>
    </row>
    <row r="387">
      <c r="A387" s="8"/>
      <c r="B387" s="8"/>
      <c r="C387" s="8"/>
      <c r="D387" s="8"/>
    </row>
    <row r="388">
      <c r="A388" s="8"/>
      <c r="B388" s="8"/>
      <c r="C388" s="8"/>
      <c r="D388" s="8"/>
    </row>
    <row r="389">
      <c r="A389" s="8"/>
      <c r="B389" s="8"/>
      <c r="C389" s="8"/>
      <c r="D389" s="8"/>
    </row>
    <row r="390">
      <c r="A390" s="8"/>
      <c r="B390" s="8"/>
      <c r="C390" s="8"/>
      <c r="D390" s="8"/>
    </row>
    <row r="391">
      <c r="A391" s="8"/>
      <c r="B391" s="8"/>
      <c r="C391" s="8"/>
      <c r="D391" s="8"/>
    </row>
    <row r="392">
      <c r="A392" s="8"/>
      <c r="B392" s="8"/>
      <c r="C392" s="8"/>
      <c r="D392" s="8"/>
    </row>
    <row r="393">
      <c r="A393" s="8"/>
      <c r="B393" s="8"/>
      <c r="C393" s="8"/>
      <c r="D393" s="8"/>
    </row>
    <row r="394">
      <c r="A394" s="8"/>
      <c r="B394" s="8"/>
      <c r="C394" s="8"/>
      <c r="D394" s="8"/>
    </row>
    <row r="395">
      <c r="A395" s="8"/>
      <c r="B395" s="8"/>
      <c r="C395" s="8"/>
      <c r="D395" s="8"/>
    </row>
    <row r="396">
      <c r="A396" s="8"/>
      <c r="B396" s="8"/>
      <c r="C396" s="8"/>
      <c r="D396" s="8"/>
    </row>
    <row r="397">
      <c r="A397" s="8"/>
      <c r="B397" s="8"/>
      <c r="C397" s="8"/>
      <c r="D397" s="8"/>
    </row>
    <row r="398">
      <c r="A398" s="8"/>
      <c r="B398" s="8"/>
      <c r="C398" s="8"/>
      <c r="D398" s="8"/>
    </row>
    <row r="399">
      <c r="A399" s="8"/>
      <c r="B399" s="8"/>
      <c r="C399" s="8"/>
      <c r="D399" s="8"/>
    </row>
    <row r="400">
      <c r="A400" s="8"/>
      <c r="B400" s="8"/>
      <c r="C400" s="8"/>
      <c r="D400" s="8"/>
    </row>
    <row r="401">
      <c r="A401" s="8"/>
      <c r="B401" s="8"/>
      <c r="C401" s="8"/>
      <c r="D401" s="8"/>
    </row>
    <row r="402">
      <c r="A402" s="8"/>
      <c r="B402" s="8"/>
      <c r="C402" s="8"/>
      <c r="D402" s="8"/>
    </row>
    <row r="403">
      <c r="A403" s="8"/>
      <c r="B403" s="8"/>
      <c r="C403" s="8"/>
      <c r="D403" s="8"/>
    </row>
    <row r="404">
      <c r="A404" s="8"/>
      <c r="B404" s="8"/>
      <c r="C404" s="8"/>
      <c r="D404" s="8"/>
    </row>
    <row r="405">
      <c r="A405" s="8"/>
      <c r="B405" s="8"/>
      <c r="C405" s="8"/>
      <c r="D405" s="8"/>
    </row>
    <row r="406">
      <c r="A406" s="8"/>
      <c r="B406" s="8"/>
      <c r="C406" s="8"/>
      <c r="D406" s="8"/>
    </row>
    <row r="407">
      <c r="A407" s="8"/>
      <c r="B407" s="8"/>
      <c r="C407" s="8"/>
      <c r="D407" s="8"/>
    </row>
    <row r="408">
      <c r="A408" s="8"/>
      <c r="B408" s="8"/>
      <c r="C408" s="8"/>
      <c r="D408" s="8"/>
    </row>
    <row r="409">
      <c r="A409" s="8"/>
      <c r="B409" s="8"/>
      <c r="C409" s="8"/>
      <c r="D409" s="8"/>
    </row>
    <row r="410">
      <c r="A410" s="8"/>
      <c r="B410" s="8"/>
      <c r="C410" s="8"/>
      <c r="D410" s="8"/>
    </row>
    <row r="411">
      <c r="A411" s="8"/>
      <c r="B411" s="8"/>
      <c r="C411" s="8"/>
      <c r="D411" s="8"/>
    </row>
    <row r="412">
      <c r="A412" s="8"/>
      <c r="B412" s="8"/>
      <c r="C412" s="8"/>
      <c r="D412" s="8"/>
    </row>
    <row r="413">
      <c r="A413" s="8"/>
      <c r="B413" s="8"/>
      <c r="C413" s="8"/>
      <c r="D413" s="8"/>
    </row>
    <row r="414">
      <c r="A414" s="8"/>
      <c r="B414" s="8"/>
      <c r="C414" s="8"/>
      <c r="D414" s="8"/>
    </row>
    <row r="415">
      <c r="A415" s="8"/>
      <c r="B415" s="8"/>
      <c r="C415" s="8"/>
      <c r="D415" s="8"/>
    </row>
    <row r="416">
      <c r="A416" s="8"/>
      <c r="B416" s="8"/>
      <c r="C416" s="8"/>
      <c r="D416" s="8"/>
    </row>
    <row r="417">
      <c r="A417" s="8"/>
      <c r="B417" s="8"/>
      <c r="C417" s="8"/>
      <c r="D417" s="8"/>
    </row>
    <row r="418">
      <c r="A418" s="8"/>
      <c r="B418" s="8"/>
      <c r="C418" s="8"/>
      <c r="D418" s="8"/>
    </row>
    <row r="419">
      <c r="A419" s="8"/>
      <c r="B419" s="8"/>
      <c r="C419" s="8"/>
      <c r="D419" s="8"/>
    </row>
    <row r="420">
      <c r="A420" s="8"/>
      <c r="B420" s="8"/>
      <c r="C420" s="8"/>
      <c r="D420" s="8"/>
    </row>
    <row r="421">
      <c r="A421" s="8"/>
      <c r="B421" s="8"/>
      <c r="C421" s="8"/>
      <c r="D421" s="8"/>
    </row>
    <row r="422">
      <c r="A422" s="8"/>
      <c r="B422" s="8"/>
      <c r="C422" s="8"/>
      <c r="D422" s="8"/>
    </row>
    <row r="423">
      <c r="A423" s="8"/>
      <c r="B423" s="8"/>
      <c r="C423" s="8"/>
      <c r="D423" s="8"/>
    </row>
    <row r="424">
      <c r="A424" s="8"/>
      <c r="B424" s="8"/>
      <c r="C424" s="8"/>
      <c r="D424" s="8"/>
    </row>
    <row r="425">
      <c r="A425" s="8"/>
      <c r="B425" s="8"/>
      <c r="C425" s="8"/>
      <c r="D425" s="8"/>
    </row>
    <row r="426">
      <c r="A426" s="8"/>
      <c r="B426" s="8"/>
      <c r="C426" s="8"/>
      <c r="D426" s="8"/>
    </row>
    <row r="427">
      <c r="A427" s="8"/>
      <c r="B427" s="8"/>
      <c r="C427" s="8"/>
      <c r="D427" s="8"/>
    </row>
    <row r="428">
      <c r="A428" s="8"/>
      <c r="B428" s="8"/>
      <c r="C428" s="8"/>
      <c r="D428" s="8"/>
    </row>
    <row r="429">
      <c r="A429" s="8"/>
      <c r="B429" s="8"/>
      <c r="C429" s="8"/>
      <c r="D429" s="8"/>
    </row>
    <row r="430">
      <c r="A430" s="8"/>
      <c r="B430" s="8"/>
      <c r="C430" s="8"/>
      <c r="D430" s="8"/>
    </row>
    <row r="431">
      <c r="A431" s="8"/>
      <c r="B431" s="8"/>
      <c r="C431" s="8"/>
      <c r="D431" s="8"/>
    </row>
    <row r="432">
      <c r="A432" s="8"/>
      <c r="B432" s="8"/>
      <c r="C432" s="8"/>
      <c r="D432" s="8"/>
    </row>
    <row r="433">
      <c r="A433" s="8"/>
      <c r="B433" s="8"/>
      <c r="C433" s="8"/>
      <c r="D433" s="8"/>
    </row>
    <row r="434">
      <c r="A434" s="8"/>
      <c r="B434" s="8"/>
      <c r="C434" s="8"/>
      <c r="D434" s="8"/>
    </row>
    <row r="435">
      <c r="A435" s="8"/>
      <c r="B435" s="8"/>
      <c r="C435" s="8"/>
      <c r="D435" s="8"/>
    </row>
    <row r="436">
      <c r="A436" s="8"/>
      <c r="B436" s="8"/>
      <c r="C436" s="8"/>
      <c r="D436" s="8"/>
    </row>
    <row r="437">
      <c r="A437" s="8"/>
      <c r="B437" s="8"/>
      <c r="C437" s="8"/>
      <c r="D437" s="8"/>
    </row>
    <row r="438">
      <c r="A438" s="8"/>
      <c r="B438" s="8"/>
      <c r="C438" s="8"/>
      <c r="D438" s="8"/>
    </row>
    <row r="439">
      <c r="A439" s="8"/>
      <c r="B439" s="8"/>
      <c r="C439" s="8"/>
      <c r="D439" s="8"/>
    </row>
    <row r="440">
      <c r="A440" s="8"/>
      <c r="B440" s="8"/>
      <c r="C440" s="8"/>
      <c r="D440" s="8"/>
    </row>
    <row r="441">
      <c r="A441" s="8"/>
      <c r="B441" s="8"/>
      <c r="C441" s="8"/>
      <c r="D441" s="8"/>
    </row>
    <row r="442">
      <c r="A442" s="8"/>
      <c r="B442" s="8"/>
      <c r="C442" s="8"/>
      <c r="D442" s="8"/>
    </row>
    <row r="443">
      <c r="A443" s="8"/>
      <c r="B443" s="8"/>
      <c r="C443" s="8"/>
      <c r="D443" s="8"/>
    </row>
    <row r="444">
      <c r="A444" s="8"/>
      <c r="B444" s="8"/>
      <c r="C444" s="8"/>
      <c r="D444" s="8"/>
    </row>
    <row r="445">
      <c r="A445" s="8"/>
      <c r="B445" s="8"/>
      <c r="C445" s="8"/>
      <c r="D445" s="8"/>
    </row>
    <row r="446">
      <c r="A446" s="8"/>
      <c r="B446" s="8"/>
      <c r="C446" s="8"/>
      <c r="D446" s="8"/>
    </row>
    <row r="447">
      <c r="A447" s="8"/>
      <c r="B447" s="8"/>
      <c r="C447" s="8"/>
      <c r="D447" s="8"/>
    </row>
    <row r="448">
      <c r="A448" s="8"/>
      <c r="B448" s="8"/>
      <c r="C448" s="8"/>
      <c r="D448" s="8"/>
    </row>
    <row r="449">
      <c r="A449" s="8"/>
      <c r="B449" s="8"/>
      <c r="C449" s="8"/>
      <c r="D449" s="8"/>
    </row>
    <row r="450">
      <c r="A450" s="8"/>
      <c r="B450" s="8"/>
      <c r="C450" s="8"/>
      <c r="D450" s="8"/>
    </row>
    <row r="451">
      <c r="A451" s="8"/>
      <c r="B451" s="8"/>
      <c r="C451" s="8"/>
      <c r="D451" s="8"/>
    </row>
    <row r="452">
      <c r="A452" s="8"/>
      <c r="B452" s="8"/>
      <c r="C452" s="8"/>
      <c r="D452" s="8"/>
    </row>
    <row r="453">
      <c r="A453" s="8"/>
      <c r="B453" s="8"/>
      <c r="C453" s="8"/>
      <c r="D453" s="8"/>
    </row>
    <row r="454">
      <c r="A454" s="8"/>
      <c r="B454" s="8"/>
      <c r="C454" s="8"/>
      <c r="D454" s="8"/>
    </row>
    <row r="455">
      <c r="A455" s="8"/>
      <c r="B455" s="8"/>
      <c r="C455" s="8"/>
      <c r="D455" s="8"/>
    </row>
    <row r="456">
      <c r="A456" s="8"/>
      <c r="B456" s="8"/>
      <c r="C456" s="8"/>
      <c r="D456" s="8"/>
    </row>
    <row r="457">
      <c r="A457" s="8"/>
      <c r="B457" s="8"/>
      <c r="C457" s="8"/>
      <c r="D457" s="8"/>
    </row>
    <row r="458">
      <c r="A458" s="8"/>
      <c r="B458" s="8"/>
      <c r="C458" s="8"/>
      <c r="D458" s="8"/>
    </row>
    <row r="459">
      <c r="A459" s="8"/>
      <c r="B459" s="8"/>
      <c r="C459" s="8"/>
      <c r="D459" s="8"/>
    </row>
    <row r="460">
      <c r="A460" s="8"/>
      <c r="B460" s="8"/>
      <c r="C460" s="8"/>
      <c r="D460" s="8"/>
    </row>
    <row r="461">
      <c r="A461" s="8"/>
      <c r="B461" s="8"/>
      <c r="C461" s="8"/>
      <c r="D461" s="8"/>
    </row>
    <row r="462">
      <c r="A462" s="8"/>
      <c r="B462" s="8"/>
      <c r="C462" s="8"/>
      <c r="D462" s="8"/>
    </row>
    <row r="463">
      <c r="A463" s="8"/>
      <c r="B463" s="8"/>
      <c r="C463" s="8"/>
      <c r="D463" s="8"/>
    </row>
    <row r="464">
      <c r="A464" s="8"/>
      <c r="B464" s="8"/>
      <c r="C464" s="8"/>
      <c r="D464" s="8"/>
    </row>
    <row r="465">
      <c r="A465" s="8"/>
      <c r="B465" s="8"/>
      <c r="C465" s="8"/>
      <c r="D465" s="8"/>
    </row>
    <row r="466">
      <c r="A466" s="8"/>
      <c r="B466" s="8"/>
      <c r="C466" s="8"/>
      <c r="D466" s="8"/>
    </row>
    <row r="467">
      <c r="A467" s="8"/>
      <c r="B467" s="8"/>
      <c r="C467" s="8"/>
      <c r="D467" s="8"/>
    </row>
    <row r="468">
      <c r="A468" s="8"/>
      <c r="B468" s="8"/>
      <c r="C468" s="8"/>
      <c r="D468" s="8"/>
    </row>
    <row r="469">
      <c r="A469" s="8"/>
      <c r="B469" s="8"/>
      <c r="C469" s="8"/>
      <c r="D469" s="8"/>
    </row>
    <row r="470">
      <c r="A470" s="8"/>
      <c r="B470" s="8"/>
      <c r="C470" s="8"/>
      <c r="D470" s="8"/>
    </row>
    <row r="471">
      <c r="A471" s="8"/>
      <c r="B471" s="8"/>
      <c r="C471" s="8"/>
      <c r="D471" s="8"/>
    </row>
    <row r="472">
      <c r="A472" s="8"/>
      <c r="B472" s="8"/>
      <c r="C472" s="8"/>
      <c r="D472" s="8"/>
    </row>
    <row r="473">
      <c r="A473" s="8"/>
      <c r="B473" s="8"/>
      <c r="C473" s="8"/>
      <c r="D473" s="8"/>
    </row>
    <row r="474">
      <c r="A474" s="8"/>
      <c r="B474" s="8"/>
      <c r="C474" s="8"/>
      <c r="D474" s="8"/>
    </row>
    <row r="475">
      <c r="A475" s="8"/>
      <c r="B475" s="8"/>
      <c r="C475" s="8"/>
      <c r="D475" s="8"/>
    </row>
    <row r="476">
      <c r="A476" s="8"/>
      <c r="B476" s="8"/>
      <c r="C476" s="8"/>
      <c r="D476" s="8"/>
    </row>
    <row r="477">
      <c r="A477" s="8"/>
      <c r="B477" s="8"/>
      <c r="C477" s="8"/>
      <c r="D477" s="8"/>
    </row>
    <row r="478">
      <c r="A478" s="8"/>
      <c r="B478" s="8"/>
      <c r="C478" s="8"/>
      <c r="D478" s="8"/>
    </row>
    <row r="479">
      <c r="A479" s="8"/>
      <c r="B479" s="8"/>
      <c r="C479" s="8"/>
      <c r="D479" s="8"/>
    </row>
    <row r="480">
      <c r="A480" s="8"/>
      <c r="B480" s="8"/>
      <c r="C480" s="8"/>
      <c r="D480" s="8"/>
    </row>
    <row r="481">
      <c r="A481" s="8"/>
      <c r="B481" s="8"/>
      <c r="C481" s="8"/>
      <c r="D481" s="8"/>
    </row>
    <row r="482">
      <c r="A482" s="8"/>
      <c r="B482" s="8"/>
      <c r="C482" s="8"/>
      <c r="D482" s="8"/>
    </row>
    <row r="483">
      <c r="A483" s="8"/>
      <c r="B483" s="8"/>
      <c r="C483" s="8"/>
      <c r="D483" s="8"/>
    </row>
    <row r="484">
      <c r="A484" s="8"/>
      <c r="B484" s="8"/>
      <c r="C484" s="8"/>
      <c r="D484" s="8"/>
    </row>
    <row r="485">
      <c r="A485" s="8"/>
      <c r="B485" s="8"/>
      <c r="C485" s="8"/>
      <c r="D485" s="8"/>
    </row>
    <row r="486">
      <c r="A486" s="8"/>
      <c r="B486" s="8"/>
      <c r="C486" s="8"/>
      <c r="D486" s="8"/>
    </row>
    <row r="487">
      <c r="A487" s="8"/>
      <c r="B487" s="8"/>
      <c r="C487" s="8"/>
      <c r="D487" s="8"/>
    </row>
    <row r="488">
      <c r="A488" s="8"/>
      <c r="B488" s="8"/>
      <c r="C488" s="8"/>
      <c r="D488" s="8"/>
    </row>
    <row r="489">
      <c r="A489" s="8"/>
      <c r="B489" s="8"/>
      <c r="C489" s="8"/>
      <c r="D489" s="8"/>
    </row>
    <row r="490">
      <c r="A490" s="8"/>
      <c r="B490" s="8"/>
      <c r="C490" s="8"/>
      <c r="D490" s="8"/>
    </row>
    <row r="491">
      <c r="A491" s="8"/>
      <c r="B491" s="8"/>
      <c r="C491" s="8"/>
      <c r="D491" s="8"/>
    </row>
    <row r="492">
      <c r="A492" s="8"/>
      <c r="B492" s="8"/>
      <c r="C492" s="8"/>
      <c r="D492" s="8"/>
    </row>
    <row r="493">
      <c r="A493" s="8"/>
      <c r="B493" s="8"/>
      <c r="C493" s="8"/>
      <c r="D493" s="8"/>
    </row>
    <row r="494">
      <c r="A494" s="8"/>
      <c r="B494" s="8"/>
      <c r="C494" s="8"/>
      <c r="D494" s="8"/>
    </row>
    <row r="495">
      <c r="A495" s="8"/>
      <c r="B495" s="8"/>
      <c r="C495" s="8"/>
      <c r="D495" s="8"/>
    </row>
    <row r="496">
      <c r="A496" s="8"/>
      <c r="B496" s="8"/>
      <c r="C496" s="8"/>
      <c r="D496" s="8"/>
    </row>
    <row r="497">
      <c r="A497" s="8"/>
      <c r="B497" s="8"/>
      <c r="C497" s="8"/>
      <c r="D497" s="8"/>
    </row>
    <row r="498">
      <c r="A498" s="8"/>
      <c r="B498" s="8"/>
      <c r="C498" s="8"/>
      <c r="D498" s="8"/>
    </row>
    <row r="499">
      <c r="A499" s="8"/>
      <c r="B499" s="8"/>
      <c r="C499" s="8"/>
      <c r="D499" s="8"/>
    </row>
    <row r="500">
      <c r="A500" s="8"/>
      <c r="B500" s="8"/>
      <c r="C500" s="8"/>
      <c r="D500" s="8"/>
    </row>
    <row r="501">
      <c r="A501" s="8"/>
      <c r="B501" s="8"/>
      <c r="C501" s="8"/>
      <c r="D501" s="8"/>
    </row>
    <row r="502">
      <c r="A502" s="8"/>
      <c r="B502" s="8"/>
      <c r="C502" s="8"/>
      <c r="D502" s="8"/>
    </row>
    <row r="503">
      <c r="A503" s="8"/>
      <c r="B503" s="8"/>
      <c r="C503" s="8"/>
      <c r="D503" s="8"/>
    </row>
    <row r="504">
      <c r="A504" s="8"/>
      <c r="B504" s="8"/>
      <c r="C504" s="8"/>
      <c r="D504" s="8"/>
    </row>
    <row r="505">
      <c r="A505" s="8"/>
      <c r="B505" s="8"/>
      <c r="C505" s="8"/>
      <c r="D505" s="8"/>
    </row>
    <row r="506">
      <c r="A506" s="8"/>
      <c r="B506" s="8"/>
      <c r="C506" s="8"/>
      <c r="D506" s="8"/>
    </row>
    <row r="507">
      <c r="A507" s="8"/>
      <c r="B507" s="8"/>
      <c r="C507" s="8"/>
      <c r="D507" s="8"/>
    </row>
    <row r="508">
      <c r="A508" s="8"/>
      <c r="B508" s="8"/>
      <c r="C508" s="8"/>
      <c r="D508" s="8"/>
    </row>
    <row r="509">
      <c r="A509" s="8"/>
      <c r="B509" s="8"/>
      <c r="C509" s="8"/>
      <c r="D509" s="8"/>
    </row>
    <row r="510">
      <c r="A510" s="8"/>
      <c r="B510" s="8"/>
      <c r="C510" s="8"/>
      <c r="D510" s="8"/>
    </row>
    <row r="511">
      <c r="A511" s="8"/>
      <c r="B511" s="8"/>
      <c r="C511" s="8"/>
      <c r="D511" s="8"/>
    </row>
    <row r="512">
      <c r="A512" s="8"/>
      <c r="B512" s="8"/>
      <c r="C512" s="8"/>
      <c r="D512" s="8"/>
    </row>
    <row r="513">
      <c r="A513" s="8"/>
      <c r="B513" s="8"/>
      <c r="C513" s="8"/>
      <c r="D513" s="8"/>
    </row>
    <row r="514">
      <c r="A514" s="8"/>
      <c r="B514" s="8"/>
      <c r="C514" s="8"/>
      <c r="D514" s="8"/>
    </row>
    <row r="515">
      <c r="A515" s="8"/>
      <c r="B515" s="8"/>
      <c r="C515" s="8"/>
      <c r="D515" s="8"/>
    </row>
    <row r="516">
      <c r="A516" s="8"/>
      <c r="B516" s="8"/>
      <c r="C516" s="8"/>
      <c r="D516" s="8"/>
    </row>
    <row r="517">
      <c r="A517" s="8"/>
      <c r="B517" s="8"/>
      <c r="C517" s="8"/>
      <c r="D517" s="8"/>
    </row>
    <row r="518">
      <c r="A518" s="8"/>
      <c r="B518" s="8"/>
      <c r="C518" s="8"/>
      <c r="D518" s="8"/>
    </row>
    <row r="519">
      <c r="A519" s="8"/>
      <c r="B519" s="8"/>
      <c r="C519" s="8"/>
      <c r="D519" s="8"/>
    </row>
    <row r="520">
      <c r="A520" s="8"/>
      <c r="B520" s="8"/>
      <c r="C520" s="8"/>
      <c r="D520" s="8"/>
    </row>
    <row r="521">
      <c r="A521" s="8"/>
      <c r="B521" s="8"/>
      <c r="C521" s="8"/>
      <c r="D521" s="8"/>
    </row>
    <row r="522">
      <c r="A522" s="8"/>
      <c r="B522" s="8"/>
      <c r="C522" s="8"/>
      <c r="D522" s="8"/>
    </row>
    <row r="523">
      <c r="A523" s="8"/>
      <c r="B523" s="8"/>
      <c r="C523" s="8"/>
      <c r="D523" s="8"/>
    </row>
    <row r="524">
      <c r="A524" s="8"/>
      <c r="B524" s="8"/>
      <c r="C524" s="8"/>
      <c r="D524" s="8"/>
    </row>
    <row r="525">
      <c r="A525" s="8"/>
      <c r="B525" s="8"/>
      <c r="C525" s="8"/>
      <c r="D525" s="8"/>
    </row>
    <row r="526">
      <c r="A526" s="8"/>
      <c r="B526" s="8"/>
      <c r="C526" s="8"/>
      <c r="D526" s="8"/>
    </row>
    <row r="527">
      <c r="A527" s="8"/>
      <c r="B527" s="8"/>
      <c r="C527" s="8"/>
      <c r="D527" s="8"/>
    </row>
    <row r="528">
      <c r="A528" s="8"/>
      <c r="B528" s="8"/>
      <c r="C528" s="8"/>
      <c r="D528" s="8"/>
    </row>
    <row r="529">
      <c r="A529" s="8"/>
      <c r="B529" s="8"/>
      <c r="C529" s="8"/>
      <c r="D529" s="8"/>
    </row>
    <row r="530">
      <c r="A530" s="8"/>
      <c r="B530" s="8"/>
      <c r="C530" s="8"/>
      <c r="D530" s="8"/>
    </row>
    <row r="531">
      <c r="A531" s="8"/>
      <c r="B531" s="8"/>
      <c r="C531" s="8"/>
      <c r="D531" s="8"/>
    </row>
    <row r="532">
      <c r="A532" s="8"/>
      <c r="B532" s="8"/>
      <c r="C532" s="8"/>
      <c r="D532" s="8"/>
    </row>
    <row r="533">
      <c r="A533" s="8"/>
      <c r="B533" s="8"/>
      <c r="C533" s="8"/>
      <c r="D533" s="8"/>
    </row>
    <row r="534">
      <c r="A534" s="8"/>
      <c r="B534" s="8"/>
      <c r="C534" s="8"/>
      <c r="D534" s="8"/>
    </row>
    <row r="535">
      <c r="A535" s="8"/>
      <c r="B535" s="8"/>
      <c r="C535" s="8"/>
      <c r="D535" s="8"/>
    </row>
    <row r="536">
      <c r="A536" s="8"/>
      <c r="B536" s="8"/>
      <c r="C536" s="8"/>
      <c r="D536" s="8"/>
    </row>
    <row r="537">
      <c r="A537" s="8"/>
      <c r="B537" s="8"/>
      <c r="C537" s="8"/>
      <c r="D537" s="8"/>
    </row>
    <row r="538">
      <c r="A538" s="8"/>
      <c r="B538" s="8"/>
      <c r="C538" s="8"/>
      <c r="D538" s="8"/>
    </row>
    <row r="539">
      <c r="A539" s="8"/>
      <c r="B539" s="8"/>
      <c r="C539" s="8"/>
      <c r="D539" s="8"/>
    </row>
    <row r="540">
      <c r="A540" s="8"/>
      <c r="B540" s="8"/>
      <c r="C540" s="8"/>
      <c r="D540" s="8"/>
    </row>
    <row r="541">
      <c r="A541" s="8"/>
      <c r="B541" s="8"/>
      <c r="C541" s="8"/>
      <c r="D541" s="8"/>
    </row>
    <row r="542">
      <c r="A542" s="8"/>
      <c r="B542" s="8"/>
      <c r="C542" s="8"/>
      <c r="D542" s="8"/>
    </row>
    <row r="543">
      <c r="A543" s="8"/>
      <c r="B543" s="8"/>
      <c r="C543" s="8"/>
      <c r="D543" s="8"/>
    </row>
    <row r="544">
      <c r="A544" s="8"/>
      <c r="B544" s="8"/>
      <c r="C544" s="8"/>
      <c r="D544" s="8"/>
    </row>
    <row r="545">
      <c r="A545" s="8"/>
      <c r="B545" s="8"/>
      <c r="C545" s="8"/>
      <c r="D545" s="8"/>
    </row>
    <row r="546">
      <c r="A546" s="8"/>
      <c r="B546" s="8"/>
      <c r="C546" s="8"/>
      <c r="D546" s="8"/>
    </row>
    <row r="547">
      <c r="A547" s="8"/>
      <c r="B547" s="8"/>
      <c r="C547" s="8"/>
      <c r="D547" s="8"/>
    </row>
    <row r="548">
      <c r="A548" s="8"/>
      <c r="B548" s="8"/>
      <c r="C548" s="8"/>
      <c r="D548" s="8"/>
    </row>
    <row r="549">
      <c r="A549" s="8"/>
      <c r="B549" s="8"/>
      <c r="C549" s="8"/>
      <c r="D549" s="8"/>
    </row>
    <row r="550">
      <c r="A550" s="8"/>
      <c r="B550" s="8"/>
      <c r="C550" s="8"/>
      <c r="D550" s="8"/>
    </row>
    <row r="551">
      <c r="A551" s="8"/>
      <c r="B551" s="8"/>
      <c r="C551" s="8"/>
      <c r="D551" s="8"/>
    </row>
    <row r="552">
      <c r="A552" s="8"/>
      <c r="B552" s="8"/>
      <c r="C552" s="8"/>
      <c r="D552" s="8"/>
    </row>
    <row r="553">
      <c r="A553" s="8"/>
      <c r="B553" s="8"/>
      <c r="C553" s="8"/>
      <c r="D553" s="8"/>
    </row>
    <row r="554">
      <c r="A554" s="8"/>
      <c r="B554" s="8"/>
      <c r="C554" s="8"/>
      <c r="D554" s="8"/>
    </row>
    <row r="555">
      <c r="A555" s="8"/>
      <c r="B555" s="8"/>
      <c r="C555" s="8"/>
      <c r="D555" s="8"/>
    </row>
    <row r="556">
      <c r="A556" s="8"/>
      <c r="B556" s="8"/>
      <c r="C556" s="8"/>
      <c r="D556" s="8"/>
    </row>
    <row r="557">
      <c r="A557" s="8"/>
      <c r="B557" s="8"/>
      <c r="C557" s="8"/>
      <c r="D557" s="8"/>
    </row>
    <row r="558">
      <c r="A558" s="8"/>
      <c r="B558" s="8"/>
      <c r="C558" s="8"/>
      <c r="D558" s="8"/>
    </row>
    <row r="559">
      <c r="A559" s="8"/>
      <c r="B559" s="8"/>
      <c r="C559" s="8"/>
      <c r="D559" s="8"/>
    </row>
    <row r="560">
      <c r="A560" s="8"/>
      <c r="B560" s="8"/>
      <c r="C560" s="8"/>
      <c r="D560" s="8"/>
    </row>
    <row r="561">
      <c r="A561" s="8"/>
      <c r="B561" s="8"/>
      <c r="C561" s="8"/>
      <c r="D561" s="8"/>
    </row>
    <row r="562">
      <c r="A562" s="8"/>
      <c r="B562" s="8"/>
      <c r="C562" s="8"/>
      <c r="D562" s="8"/>
    </row>
    <row r="563">
      <c r="A563" s="8"/>
      <c r="B563" s="8"/>
      <c r="C563" s="8"/>
      <c r="D563" s="8"/>
    </row>
    <row r="564">
      <c r="A564" s="8"/>
      <c r="B564" s="8"/>
      <c r="C564" s="8"/>
      <c r="D564" s="8"/>
    </row>
    <row r="565">
      <c r="A565" s="8"/>
      <c r="B565" s="8"/>
      <c r="C565" s="8"/>
      <c r="D565" s="8"/>
    </row>
    <row r="566">
      <c r="A566" s="8"/>
      <c r="B566" s="8"/>
      <c r="C566" s="8"/>
      <c r="D566" s="8"/>
    </row>
    <row r="567">
      <c r="A567" s="8"/>
      <c r="B567" s="8"/>
      <c r="C567" s="8"/>
      <c r="D567" s="8"/>
    </row>
    <row r="568">
      <c r="A568" s="8"/>
      <c r="B568" s="8"/>
      <c r="C568" s="8"/>
      <c r="D568" s="8"/>
    </row>
    <row r="569">
      <c r="A569" s="8"/>
      <c r="B569" s="8"/>
      <c r="C569" s="8"/>
      <c r="D569" s="8"/>
    </row>
    <row r="570">
      <c r="A570" s="8"/>
      <c r="B570" s="8"/>
      <c r="C570" s="8"/>
      <c r="D570" s="8"/>
    </row>
    <row r="571">
      <c r="A571" s="8"/>
      <c r="B571" s="8"/>
      <c r="C571" s="8"/>
      <c r="D571" s="8"/>
    </row>
    <row r="572">
      <c r="A572" s="8"/>
      <c r="B572" s="8"/>
      <c r="C572" s="8"/>
      <c r="D572" s="8"/>
    </row>
    <row r="573">
      <c r="A573" s="8"/>
      <c r="B573" s="8"/>
      <c r="C573" s="8"/>
      <c r="D573" s="8"/>
    </row>
    <row r="574">
      <c r="A574" s="8"/>
      <c r="B574" s="8"/>
      <c r="C574" s="8"/>
      <c r="D574" s="8"/>
    </row>
    <row r="575">
      <c r="A575" s="8"/>
      <c r="B575" s="8"/>
      <c r="C575" s="8"/>
      <c r="D575" s="8"/>
    </row>
    <row r="576">
      <c r="A576" s="8"/>
      <c r="B576" s="8"/>
      <c r="C576" s="8"/>
      <c r="D576" s="8"/>
    </row>
    <row r="577">
      <c r="A577" s="8"/>
      <c r="B577" s="8"/>
      <c r="C577" s="8"/>
      <c r="D577" s="8"/>
    </row>
    <row r="578">
      <c r="A578" s="8"/>
      <c r="B578" s="8"/>
      <c r="C578" s="8"/>
      <c r="D578" s="8"/>
    </row>
    <row r="579">
      <c r="A579" s="8"/>
      <c r="B579" s="8"/>
      <c r="C579" s="8"/>
      <c r="D579" s="8"/>
    </row>
    <row r="580">
      <c r="A580" s="8"/>
      <c r="B580" s="8"/>
      <c r="C580" s="8"/>
      <c r="D580" s="8"/>
    </row>
    <row r="581">
      <c r="A581" s="8"/>
      <c r="B581" s="8"/>
      <c r="C581" s="8"/>
      <c r="D581" s="8"/>
    </row>
    <row r="582">
      <c r="A582" s="8"/>
      <c r="B582" s="8"/>
      <c r="C582" s="8"/>
      <c r="D582" s="8"/>
    </row>
    <row r="583">
      <c r="A583" s="8"/>
      <c r="B583" s="8"/>
      <c r="C583" s="8"/>
      <c r="D583" s="8"/>
    </row>
    <row r="584">
      <c r="A584" s="8"/>
      <c r="B584" s="8"/>
      <c r="C584" s="8"/>
      <c r="D584" s="8"/>
    </row>
    <row r="585">
      <c r="A585" s="8"/>
      <c r="B585" s="8"/>
      <c r="C585" s="8"/>
      <c r="D585" s="8"/>
    </row>
    <row r="586">
      <c r="A586" s="8"/>
      <c r="B586" s="8"/>
      <c r="C586" s="8"/>
      <c r="D586" s="8"/>
    </row>
    <row r="587">
      <c r="A587" s="8"/>
      <c r="B587" s="8"/>
      <c r="C587" s="8"/>
      <c r="D587" s="8"/>
    </row>
    <row r="588">
      <c r="A588" s="8"/>
      <c r="B588" s="8"/>
      <c r="C588" s="8"/>
      <c r="D588" s="8"/>
    </row>
    <row r="589">
      <c r="A589" s="8"/>
      <c r="B589" s="8"/>
      <c r="C589" s="8"/>
      <c r="D589" s="8"/>
    </row>
    <row r="590">
      <c r="A590" s="8"/>
      <c r="B590" s="8"/>
      <c r="C590" s="8"/>
      <c r="D590" s="8"/>
    </row>
    <row r="591">
      <c r="A591" s="8"/>
      <c r="B591" s="8"/>
      <c r="C591" s="8"/>
      <c r="D591" s="8"/>
    </row>
    <row r="592">
      <c r="A592" s="8"/>
      <c r="B592" s="8"/>
      <c r="C592" s="8"/>
      <c r="D592" s="8"/>
    </row>
    <row r="593">
      <c r="A593" s="8"/>
      <c r="B593" s="8"/>
      <c r="C593" s="8"/>
      <c r="D593" s="8"/>
    </row>
    <row r="594">
      <c r="A594" s="8"/>
      <c r="B594" s="8"/>
      <c r="C594" s="8"/>
      <c r="D594" s="8"/>
    </row>
    <row r="595">
      <c r="A595" s="8"/>
      <c r="B595" s="8"/>
      <c r="C595" s="8"/>
      <c r="D595" s="8"/>
    </row>
    <row r="596">
      <c r="A596" s="8"/>
      <c r="B596" s="8"/>
      <c r="C596" s="8"/>
      <c r="D596" s="8"/>
    </row>
    <row r="597">
      <c r="A597" s="8"/>
      <c r="B597" s="8"/>
      <c r="C597" s="8"/>
      <c r="D597" s="8"/>
    </row>
    <row r="598">
      <c r="A598" s="8"/>
      <c r="B598" s="8"/>
      <c r="C598" s="8"/>
      <c r="D598" s="8"/>
    </row>
    <row r="599">
      <c r="A599" s="8"/>
      <c r="B599" s="8"/>
      <c r="C599" s="8"/>
      <c r="D599" s="8"/>
    </row>
    <row r="600">
      <c r="A600" s="8"/>
      <c r="B600" s="8"/>
      <c r="C600" s="8"/>
      <c r="D600" s="8"/>
    </row>
    <row r="601">
      <c r="A601" s="8"/>
      <c r="B601" s="8"/>
      <c r="C601" s="8"/>
      <c r="D601" s="8"/>
    </row>
    <row r="602">
      <c r="A602" s="8"/>
      <c r="B602" s="8"/>
      <c r="C602" s="8"/>
      <c r="D602" s="8"/>
    </row>
    <row r="603">
      <c r="A603" s="8"/>
      <c r="B603" s="8"/>
      <c r="C603" s="8"/>
      <c r="D603" s="8"/>
    </row>
    <row r="604">
      <c r="A604" s="8"/>
      <c r="B604" s="8"/>
      <c r="C604" s="8"/>
      <c r="D604" s="8"/>
    </row>
    <row r="605">
      <c r="A605" s="8"/>
      <c r="B605" s="8"/>
      <c r="C605" s="8"/>
      <c r="D605" s="8"/>
    </row>
    <row r="606">
      <c r="A606" s="8"/>
      <c r="B606" s="8"/>
      <c r="C606" s="8"/>
      <c r="D606" s="8"/>
    </row>
    <row r="607">
      <c r="A607" s="8"/>
      <c r="B607" s="8"/>
      <c r="C607" s="8"/>
      <c r="D607" s="8"/>
    </row>
    <row r="608">
      <c r="A608" s="8"/>
      <c r="B608" s="8"/>
      <c r="C608" s="8"/>
      <c r="D608" s="8"/>
    </row>
    <row r="609">
      <c r="A609" s="8"/>
      <c r="B609" s="8"/>
      <c r="C609" s="8"/>
      <c r="D609" s="8"/>
    </row>
    <row r="610">
      <c r="A610" s="8"/>
      <c r="B610" s="8"/>
      <c r="C610" s="8"/>
      <c r="D610" s="8"/>
    </row>
    <row r="611">
      <c r="A611" s="8"/>
      <c r="B611" s="8"/>
      <c r="C611" s="8"/>
      <c r="D611" s="8"/>
    </row>
    <row r="612">
      <c r="A612" s="8"/>
      <c r="B612" s="8"/>
      <c r="C612" s="8"/>
      <c r="D612" s="8"/>
    </row>
    <row r="613">
      <c r="A613" s="8"/>
      <c r="B613" s="8"/>
      <c r="C613" s="8"/>
      <c r="D613" s="8"/>
    </row>
    <row r="614">
      <c r="A614" s="8"/>
      <c r="B614" s="8"/>
      <c r="C614" s="8"/>
      <c r="D614" s="8"/>
    </row>
    <row r="615">
      <c r="A615" s="8"/>
      <c r="B615" s="8"/>
      <c r="C615" s="8"/>
      <c r="D615" s="8"/>
    </row>
    <row r="616">
      <c r="A616" s="8"/>
      <c r="B616" s="8"/>
      <c r="C616" s="8"/>
      <c r="D616" s="8"/>
    </row>
    <row r="617">
      <c r="A617" s="8"/>
      <c r="B617" s="8"/>
      <c r="C617" s="8"/>
      <c r="D617" s="8"/>
    </row>
    <row r="618">
      <c r="A618" s="8"/>
      <c r="B618" s="8"/>
      <c r="C618" s="8"/>
      <c r="D618" s="8"/>
    </row>
    <row r="619">
      <c r="A619" s="8"/>
      <c r="B619" s="8"/>
      <c r="C619" s="8"/>
      <c r="D619" s="8"/>
    </row>
    <row r="620">
      <c r="A620" s="8"/>
      <c r="B620" s="8"/>
      <c r="C620" s="8"/>
      <c r="D620" s="8"/>
    </row>
    <row r="621">
      <c r="A621" s="8"/>
      <c r="B621" s="8"/>
      <c r="C621" s="8"/>
      <c r="D621" s="8"/>
    </row>
    <row r="622">
      <c r="A622" s="8"/>
      <c r="B622" s="8"/>
      <c r="C622" s="8"/>
      <c r="D622" s="8"/>
    </row>
    <row r="623">
      <c r="A623" s="8"/>
      <c r="B623" s="8"/>
      <c r="C623" s="8"/>
      <c r="D623" s="8"/>
    </row>
    <row r="624">
      <c r="A624" s="8"/>
      <c r="B624" s="8"/>
      <c r="C624" s="8"/>
      <c r="D624" s="8"/>
    </row>
    <row r="625">
      <c r="A625" s="8"/>
      <c r="B625" s="8"/>
      <c r="C625" s="8"/>
      <c r="D625" s="8"/>
    </row>
    <row r="626">
      <c r="A626" s="8"/>
      <c r="B626" s="8"/>
      <c r="C626" s="8"/>
      <c r="D626" s="8"/>
    </row>
    <row r="627">
      <c r="A627" s="8"/>
      <c r="B627" s="8"/>
      <c r="C627" s="8"/>
      <c r="D627" s="8"/>
    </row>
    <row r="628">
      <c r="A628" s="8"/>
      <c r="B628" s="8"/>
      <c r="C628" s="8"/>
      <c r="D628" s="8"/>
    </row>
    <row r="629">
      <c r="A629" s="8"/>
      <c r="B629" s="8"/>
      <c r="C629" s="8"/>
      <c r="D629" s="8"/>
    </row>
    <row r="630">
      <c r="A630" s="8"/>
      <c r="B630" s="8"/>
      <c r="C630" s="8"/>
      <c r="D630" s="8"/>
    </row>
    <row r="631">
      <c r="A631" s="8"/>
      <c r="B631" s="8"/>
      <c r="C631" s="8"/>
      <c r="D631" s="8"/>
    </row>
    <row r="632">
      <c r="A632" s="8"/>
      <c r="B632" s="8"/>
      <c r="C632" s="8"/>
      <c r="D632" s="8"/>
    </row>
    <row r="633">
      <c r="A633" s="8"/>
      <c r="B633" s="8"/>
      <c r="C633" s="8"/>
      <c r="D633" s="8"/>
    </row>
    <row r="634">
      <c r="A634" s="8"/>
      <c r="B634" s="8"/>
      <c r="C634" s="8"/>
      <c r="D634" s="8"/>
    </row>
    <row r="635">
      <c r="A635" s="8"/>
      <c r="B635" s="8"/>
      <c r="C635" s="8"/>
      <c r="D635" s="8"/>
    </row>
    <row r="636">
      <c r="A636" s="8"/>
      <c r="B636" s="8"/>
      <c r="C636" s="8"/>
      <c r="D636" s="8"/>
    </row>
    <row r="637">
      <c r="A637" s="8"/>
      <c r="B637" s="8"/>
      <c r="C637" s="8"/>
      <c r="D637" s="8"/>
    </row>
    <row r="638">
      <c r="A638" s="8"/>
      <c r="B638" s="8"/>
      <c r="C638" s="8"/>
      <c r="D638" s="8"/>
    </row>
    <row r="639">
      <c r="A639" s="8"/>
      <c r="B639" s="8"/>
      <c r="C639" s="8"/>
      <c r="D639" s="8"/>
    </row>
    <row r="640">
      <c r="A640" s="8"/>
      <c r="B640" s="8"/>
      <c r="C640" s="8"/>
      <c r="D640" s="8"/>
    </row>
    <row r="641">
      <c r="A641" s="8"/>
      <c r="B641" s="8"/>
      <c r="C641" s="8"/>
      <c r="D641" s="8"/>
    </row>
    <row r="642">
      <c r="A642" s="8"/>
      <c r="B642" s="8"/>
      <c r="C642" s="8"/>
      <c r="D642" s="8"/>
    </row>
    <row r="643">
      <c r="A643" s="8"/>
      <c r="B643" s="8"/>
      <c r="C643" s="8"/>
      <c r="D643" s="8"/>
    </row>
    <row r="644">
      <c r="A644" s="8"/>
      <c r="B644" s="8"/>
      <c r="C644" s="8"/>
      <c r="D644" s="8"/>
    </row>
    <row r="645">
      <c r="A645" s="8"/>
      <c r="B645" s="8"/>
      <c r="C645" s="8"/>
      <c r="D645" s="8"/>
    </row>
    <row r="646">
      <c r="A646" s="8"/>
      <c r="B646" s="8"/>
      <c r="C646" s="8"/>
      <c r="D646" s="8"/>
    </row>
    <row r="647">
      <c r="A647" s="8"/>
      <c r="B647" s="8"/>
      <c r="C647" s="8"/>
      <c r="D647" s="8"/>
    </row>
    <row r="648">
      <c r="A648" s="8"/>
      <c r="B648" s="8"/>
      <c r="C648" s="8"/>
      <c r="D648" s="8"/>
    </row>
    <row r="649">
      <c r="A649" s="8"/>
      <c r="B649" s="8"/>
      <c r="C649" s="8"/>
      <c r="D649" s="8"/>
    </row>
    <row r="650">
      <c r="A650" s="8"/>
      <c r="B650" s="8"/>
      <c r="C650" s="8"/>
      <c r="D650" s="8"/>
    </row>
    <row r="651">
      <c r="A651" s="8"/>
      <c r="B651" s="8"/>
      <c r="C651" s="8"/>
      <c r="D651" s="8"/>
    </row>
    <row r="652">
      <c r="A652" s="8"/>
      <c r="B652" s="8"/>
      <c r="C652" s="8"/>
      <c r="D652" s="8"/>
    </row>
    <row r="653">
      <c r="A653" s="8"/>
      <c r="B653" s="8"/>
      <c r="C653" s="8"/>
      <c r="D653" s="8"/>
    </row>
    <row r="654">
      <c r="A654" s="8"/>
      <c r="B654" s="8"/>
      <c r="C654" s="8"/>
      <c r="D654" s="8"/>
    </row>
    <row r="655">
      <c r="A655" s="8"/>
      <c r="B655" s="8"/>
      <c r="C655" s="8"/>
      <c r="D655" s="8"/>
    </row>
    <row r="656">
      <c r="A656" s="8"/>
      <c r="B656" s="8"/>
      <c r="C656" s="8"/>
      <c r="D656" s="8"/>
    </row>
    <row r="657">
      <c r="A657" s="8"/>
      <c r="B657" s="8"/>
      <c r="C657" s="8"/>
      <c r="D657" s="8"/>
    </row>
    <row r="658">
      <c r="A658" s="8"/>
      <c r="B658" s="8"/>
      <c r="C658" s="8"/>
      <c r="D658" s="8"/>
    </row>
    <row r="659">
      <c r="A659" s="8"/>
      <c r="B659" s="8"/>
      <c r="C659" s="8"/>
      <c r="D659" s="8"/>
    </row>
    <row r="660">
      <c r="A660" s="8"/>
      <c r="B660" s="8"/>
      <c r="C660" s="8"/>
      <c r="D660" s="8"/>
    </row>
    <row r="661">
      <c r="A661" s="8"/>
      <c r="B661" s="8"/>
      <c r="C661" s="8"/>
      <c r="D661" s="8"/>
    </row>
    <row r="662">
      <c r="A662" s="8"/>
      <c r="B662" s="8"/>
      <c r="C662" s="8"/>
      <c r="D662" s="8"/>
    </row>
    <row r="663">
      <c r="A663" s="8"/>
      <c r="B663" s="8"/>
      <c r="C663" s="8"/>
      <c r="D663" s="8"/>
    </row>
    <row r="664">
      <c r="A664" s="8"/>
      <c r="B664" s="8"/>
      <c r="C664" s="8"/>
      <c r="D664" s="8"/>
    </row>
    <row r="665">
      <c r="A665" s="8"/>
      <c r="B665" s="8"/>
      <c r="C665" s="8"/>
      <c r="D665" s="8"/>
    </row>
    <row r="666">
      <c r="A666" s="8"/>
      <c r="B666" s="8"/>
      <c r="C666" s="8"/>
      <c r="D666" s="8"/>
    </row>
    <row r="667">
      <c r="A667" s="8"/>
      <c r="B667" s="8"/>
      <c r="C667" s="8"/>
      <c r="D667" s="8"/>
    </row>
    <row r="668">
      <c r="A668" s="8"/>
      <c r="B668" s="8"/>
      <c r="C668" s="8"/>
      <c r="D668" s="8"/>
    </row>
    <row r="669">
      <c r="A669" s="8"/>
      <c r="B669" s="8"/>
      <c r="C669" s="8"/>
      <c r="D669" s="8"/>
    </row>
    <row r="670">
      <c r="A670" s="8"/>
      <c r="B670" s="8"/>
      <c r="C670" s="8"/>
      <c r="D670" s="8"/>
    </row>
    <row r="671">
      <c r="A671" s="8"/>
      <c r="B671" s="8"/>
      <c r="C671" s="8"/>
      <c r="D671" s="8"/>
    </row>
    <row r="672">
      <c r="A672" s="8"/>
      <c r="B672" s="8"/>
      <c r="C672" s="8"/>
      <c r="D672" s="8"/>
    </row>
    <row r="673">
      <c r="A673" s="8"/>
      <c r="B673" s="8"/>
      <c r="C673" s="8"/>
      <c r="D673" s="8"/>
    </row>
    <row r="674">
      <c r="A674" s="8"/>
      <c r="B674" s="8"/>
      <c r="C674" s="8"/>
      <c r="D674" s="8"/>
    </row>
    <row r="675">
      <c r="A675" s="8"/>
      <c r="B675" s="8"/>
      <c r="C675" s="8"/>
      <c r="D675" s="8"/>
    </row>
    <row r="676">
      <c r="A676" s="8"/>
      <c r="B676" s="8"/>
      <c r="C676" s="8"/>
      <c r="D676" s="8"/>
    </row>
    <row r="677">
      <c r="A677" s="8"/>
      <c r="B677" s="8"/>
      <c r="C677" s="8"/>
      <c r="D677" s="8"/>
    </row>
    <row r="678">
      <c r="A678" s="8"/>
      <c r="B678" s="8"/>
      <c r="C678" s="8"/>
      <c r="D678" s="8"/>
    </row>
    <row r="679">
      <c r="A679" s="8"/>
      <c r="B679" s="8"/>
      <c r="C679" s="8"/>
      <c r="D679" s="8"/>
    </row>
    <row r="680">
      <c r="A680" s="8"/>
      <c r="B680" s="8"/>
      <c r="C680" s="8"/>
      <c r="D680" s="8"/>
    </row>
    <row r="681">
      <c r="A681" s="8"/>
      <c r="B681" s="8"/>
      <c r="C681" s="8"/>
      <c r="D681" s="8"/>
    </row>
    <row r="682">
      <c r="A682" s="8"/>
      <c r="B682" s="8"/>
      <c r="C682" s="8"/>
      <c r="D682" s="8"/>
    </row>
    <row r="683">
      <c r="A683" s="8"/>
      <c r="B683" s="8"/>
      <c r="C683" s="8"/>
      <c r="D683" s="8"/>
    </row>
    <row r="684">
      <c r="A684" s="8"/>
      <c r="B684" s="8"/>
      <c r="C684" s="8"/>
      <c r="D684" s="8"/>
    </row>
    <row r="685">
      <c r="A685" s="8"/>
      <c r="B685" s="8"/>
      <c r="C685" s="8"/>
      <c r="D685" s="8"/>
    </row>
    <row r="686">
      <c r="A686" s="8"/>
      <c r="B686" s="8"/>
      <c r="C686" s="8"/>
      <c r="D686" s="8"/>
    </row>
    <row r="687">
      <c r="A687" s="8"/>
      <c r="B687" s="8"/>
      <c r="C687" s="8"/>
      <c r="D687" s="8"/>
    </row>
    <row r="688">
      <c r="A688" s="8"/>
      <c r="B688" s="8"/>
      <c r="C688" s="8"/>
      <c r="D688" s="8"/>
    </row>
    <row r="689">
      <c r="A689" s="8"/>
      <c r="B689" s="8"/>
      <c r="C689" s="8"/>
      <c r="D689" s="8"/>
    </row>
    <row r="690">
      <c r="A690" s="8"/>
      <c r="B690" s="8"/>
      <c r="C690" s="8"/>
      <c r="D690" s="8"/>
    </row>
    <row r="691">
      <c r="A691" s="8"/>
      <c r="B691" s="8"/>
      <c r="C691" s="8"/>
      <c r="D691" s="8"/>
    </row>
    <row r="692">
      <c r="A692" s="8"/>
      <c r="B692" s="8"/>
      <c r="C692" s="8"/>
      <c r="D692" s="8"/>
    </row>
    <row r="693">
      <c r="A693" s="8"/>
      <c r="B693" s="8"/>
      <c r="C693" s="8"/>
      <c r="D693" s="8"/>
    </row>
    <row r="694">
      <c r="A694" s="8"/>
      <c r="B694" s="8"/>
      <c r="C694" s="8"/>
      <c r="D694" s="8"/>
    </row>
    <row r="695">
      <c r="A695" s="8"/>
      <c r="B695" s="8"/>
      <c r="C695" s="8"/>
      <c r="D695" s="8"/>
    </row>
    <row r="696">
      <c r="A696" s="8"/>
      <c r="B696" s="8"/>
      <c r="C696" s="8"/>
      <c r="D696" s="8"/>
    </row>
    <row r="697">
      <c r="A697" s="8"/>
      <c r="B697" s="8"/>
      <c r="C697" s="8"/>
      <c r="D697" s="8"/>
    </row>
    <row r="698">
      <c r="A698" s="8"/>
      <c r="B698" s="8"/>
      <c r="C698" s="8"/>
      <c r="D698" s="8"/>
    </row>
    <row r="699">
      <c r="A699" s="8"/>
      <c r="B699" s="8"/>
      <c r="C699" s="8"/>
      <c r="D699" s="8"/>
    </row>
    <row r="700">
      <c r="A700" s="8"/>
      <c r="B700" s="8"/>
      <c r="C700" s="8"/>
      <c r="D700" s="8"/>
    </row>
    <row r="701">
      <c r="A701" s="8"/>
      <c r="B701" s="8"/>
      <c r="C701" s="8"/>
      <c r="D701" s="8"/>
    </row>
    <row r="702">
      <c r="A702" s="8"/>
      <c r="B702" s="8"/>
      <c r="C702" s="8"/>
      <c r="D702" s="8"/>
    </row>
    <row r="703">
      <c r="A703" s="8"/>
      <c r="B703" s="8"/>
      <c r="C703" s="8"/>
      <c r="D703" s="8"/>
    </row>
    <row r="704">
      <c r="A704" s="8"/>
      <c r="B704" s="8"/>
      <c r="C704" s="8"/>
      <c r="D704" s="8"/>
    </row>
    <row r="705">
      <c r="A705" s="8"/>
      <c r="B705" s="8"/>
      <c r="C705" s="8"/>
      <c r="D705" s="8"/>
    </row>
    <row r="706">
      <c r="A706" s="8"/>
      <c r="B706" s="8"/>
      <c r="C706" s="8"/>
      <c r="D706" s="8"/>
    </row>
    <row r="707">
      <c r="A707" s="8"/>
      <c r="B707" s="8"/>
      <c r="C707" s="8"/>
      <c r="D707" s="8"/>
    </row>
    <row r="708">
      <c r="A708" s="8"/>
      <c r="B708" s="8"/>
      <c r="C708" s="8"/>
      <c r="D708" s="8"/>
    </row>
    <row r="709">
      <c r="A709" s="8"/>
      <c r="B709" s="8"/>
      <c r="C709" s="8"/>
      <c r="D709" s="8"/>
    </row>
    <row r="710">
      <c r="A710" s="8"/>
      <c r="B710" s="8"/>
      <c r="C710" s="8"/>
      <c r="D710" s="8"/>
    </row>
    <row r="711">
      <c r="A711" s="8"/>
      <c r="B711" s="8"/>
      <c r="C711" s="8"/>
      <c r="D711" s="8"/>
    </row>
    <row r="712">
      <c r="A712" s="8"/>
      <c r="B712" s="8"/>
      <c r="C712" s="8"/>
      <c r="D712" s="8"/>
    </row>
    <row r="713">
      <c r="A713" s="8"/>
      <c r="B713" s="8"/>
      <c r="C713" s="8"/>
      <c r="D713" s="8"/>
    </row>
    <row r="714">
      <c r="A714" s="8"/>
      <c r="B714" s="8"/>
      <c r="C714" s="8"/>
      <c r="D714" s="8"/>
    </row>
    <row r="715">
      <c r="A715" s="8"/>
      <c r="B715" s="8"/>
      <c r="C715" s="8"/>
      <c r="D715" s="8"/>
    </row>
    <row r="716">
      <c r="A716" s="8"/>
      <c r="B716" s="8"/>
      <c r="C716" s="8"/>
      <c r="D716" s="8"/>
    </row>
    <row r="717">
      <c r="A717" s="8"/>
      <c r="B717" s="8"/>
      <c r="C717" s="8"/>
      <c r="D717" s="8"/>
    </row>
    <row r="718">
      <c r="A718" s="8"/>
      <c r="B718" s="8"/>
      <c r="C718" s="8"/>
      <c r="D718" s="8"/>
    </row>
    <row r="719">
      <c r="A719" s="8"/>
      <c r="B719" s="8"/>
      <c r="C719" s="8"/>
      <c r="D719" s="8"/>
    </row>
    <row r="720">
      <c r="A720" s="8"/>
      <c r="B720" s="8"/>
      <c r="C720" s="8"/>
      <c r="D720" s="8"/>
    </row>
    <row r="721">
      <c r="A721" s="8"/>
      <c r="B721" s="8"/>
      <c r="C721" s="8"/>
      <c r="D721" s="8"/>
    </row>
    <row r="722">
      <c r="A722" s="8"/>
      <c r="B722" s="8"/>
      <c r="C722" s="8"/>
      <c r="D722" s="8"/>
    </row>
    <row r="723">
      <c r="A723" s="8"/>
      <c r="B723" s="8"/>
      <c r="C723" s="8"/>
      <c r="D723" s="8"/>
    </row>
    <row r="724">
      <c r="A724" s="8"/>
      <c r="B724" s="8"/>
      <c r="C724" s="8"/>
      <c r="D724" s="8"/>
    </row>
    <row r="725">
      <c r="A725" s="8"/>
      <c r="B725" s="8"/>
      <c r="C725" s="8"/>
      <c r="D725" s="8"/>
    </row>
    <row r="726">
      <c r="A726" s="8"/>
      <c r="B726" s="8"/>
      <c r="C726" s="8"/>
      <c r="D726" s="8"/>
    </row>
    <row r="727">
      <c r="A727" s="8"/>
      <c r="B727" s="8"/>
      <c r="C727" s="8"/>
      <c r="D727" s="8"/>
    </row>
    <row r="728">
      <c r="A728" s="8"/>
      <c r="B728" s="8"/>
      <c r="C728" s="8"/>
      <c r="D728" s="8"/>
    </row>
    <row r="729">
      <c r="A729" s="8"/>
      <c r="B729" s="8"/>
      <c r="C729" s="8"/>
      <c r="D729" s="8"/>
    </row>
    <row r="730">
      <c r="A730" s="8"/>
      <c r="B730" s="8"/>
      <c r="C730" s="8"/>
      <c r="D730" s="8"/>
    </row>
    <row r="731">
      <c r="A731" s="8"/>
      <c r="B731" s="8"/>
      <c r="C731" s="8"/>
      <c r="D731" s="8"/>
    </row>
    <row r="732">
      <c r="A732" s="8"/>
      <c r="B732" s="8"/>
      <c r="C732" s="8"/>
      <c r="D732" s="8"/>
    </row>
    <row r="733">
      <c r="A733" s="8"/>
      <c r="B733" s="8"/>
      <c r="C733" s="8"/>
      <c r="D733" s="8"/>
    </row>
    <row r="734">
      <c r="A734" s="8"/>
      <c r="B734" s="8"/>
      <c r="C734" s="8"/>
      <c r="D734" s="8"/>
    </row>
    <row r="735">
      <c r="A735" s="8"/>
      <c r="B735" s="8"/>
      <c r="C735" s="8"/>
      <c r="D735" s="8"/>
    </row>
    <row r="736">
      <c r="A736" s="8"/>
      <c r="B736" s="8"/>
      <c r="C736" s="8"/>
      <c r="D736" s="8"/>
    </row>
    <row r="737">
      <c r="A737" s="8"/>
      <c r="B737" s="8"/>
      <c r="C737" s="8"/>
      <c r="D737" s="8"/>
    </row>
    <row r="738">
      <c r="A738" s="8"/>
      <c r="B738" s="8"/>
      <c r="C738" s="8"/>
      <c r="D738" s="8"/>
    </row>
    <row r="739">
      <c r="A739" s="8"/>
      <c r="B739" s="8"/>
      <c r="C739" s="8"/>
      <c r="D739" s="8"/>
    </row>
    <row r="740">
      <c r="A740" s="8"/>
      <c r="B740" s="8"/>
      <c r="C740" s="8"/>
      <c r="D740" s="8"/>
    </row>
    <row r="741">
      <c r="A741" s="8"/>
      <c r="B741" s="8"/>
      <c r="C741" s="8"/>
      <c r="D741" s="8"/>
    </row>
    <row r="742">
      <c r="A742" s="8"/>
      <c r="B742" s="8"/>
      <c r="C742" s="8"/>
      <c r="D742" s="8"/>
    </row>
    <row r="743">
      <c r="A743" s="8"/>
      <c r="B743" s="8"/>
      <c r="C743" s="8"/>
      <c r="D743" s="8"/>
    </row>
    <row r="744">
      <c r="A744" s="8"/>
      <c r="B744" s="8"/>
      <c r="C744" s="8"/>
      <c r="D744" s="8"/>
    </row>
    <row r="745">
      <c r="A745" s="8"/>
      <c r="B745" s="8"/>
      <c r="C745" s="8"/>
      <c r="D745" s="8"/>
    </row>
    <row r="746">
      <c r="A746" s="8"/>
      <c r="B746" s="8"/>
      <c r="C746" s="8"/>
      <c r="D746" s="8"/>
    </row>
    <row r="747">
      <c r="A747" s="8"/>
      <c r="B747" s="8"/>
      <c r="C747" s="8"/>
      <c r="D747" s="8"/>
    </row>
    <row r="748">
      <c r="A748" s="8"/>
      <c r="B748" s="8"/>
      <c r="C748" s="8"/>
      <c r="D748" s="8"/>
    </row>
    <row r="749">
      <c r="A749" s="8"/>
      <c r="B749" s="8"/>
      <c r="C749" s="8"/>
      <c r="D749" s="8"/>
    </row>
    <row r="750">
      <c r="A750" s="8"/>
      <c r="B750" s="8"/>
      <c r="C750" s="8"/>
      <c r="D750" s="8"/>
    </row>
    <row r="751">
      <c r="A751" s="8"/>
      <c r="B751" s="8"/>
      <c r="C751" s="8"/>
      <c r="D751" s="8"/>
    </row>
    <row r="752">
      <c r="A752" s="8"/>
      <c r="B752" s="8"/>
      <c r="C752" s="8"/>
      <c r="D752" s="8"/>
    </row>
    <row r="753">
      <c r="A753" s="8"/>
      <c r="B753" s="8"/>
      <c r="C753" s="8"/>
      <c r="D753" s="8"/>
    </row>
    <row r="754">
      <c r="A754" s="8"/>
      <c r="B754" s="8"/>
      <c r="C754" s="8"/>
      <c r="D754" s="8"/>
    </row>
    <row r="755">
      <c r="A755" s="8"/>
      <c r="B755" s="8"/>
      <c r="C755" s="8"/>
      <c r="D755" s="8"/>
    </row>
    <row r="756">
      <c r="A756" s="8"/>
      <c r="B756" s="8"/>
      <c r="C756" s="8"/>
      <c r="D756" s="8"/>
    </row>
    <row r="757">
      <c r="A757" s="8"/>
      <c r="B757" s="8"/>
      <c r="C757" s="8"/>
      <c r="D757" s="8"/>
    </row>
    <row r="758">
      <c r="A758" s="8"/>
      <c r="B758" s="8"/>
      <c r="C758" s="8"/>
      <c r="D758" s="8"/>
    </row>
    <row r="759">
      <c r="A759" s="8"/>
      <c r="B759" s="8"/>
      <c r="C759" s="8"/>
      <c r="D759" s="8"/>
    </row>
    <row r="760">
      <c r="A760" s="8"/>
      <c r="B760" s="8"/>
      <c r="C760" s="8"/>
      <c r="D760" s="8"/>
    </row>
    <row r="761">
      <c r="A761" s="8"/>
      <c r="B761" s="8"/>
      <c r="C761" s="8"/>
      <c r="D761" s="8"/>
    </row>
    <row r="762">
      <c r="A762" s="8"/>
      <c r="B762" s="8"/>
      <c r="C762" s="8"/>
      <c r="D762" s="8"/>
    </row>
    <row r="763">
      <c r="A763" s="8"/>
      <c r="B763" s="8"/>
      <c r="C763" s="8"/>
      <c r="D763" s="8"/>
    </row>
    <row r="764">
      <c r="A764" s="8"/>
      <c r="B764" s="8"/>
      <c r="C764" s="8"/>
      <c r="D764" s="8"/>
    </row>
    <row r="765">
      <c r="A765" s="8"/>
      <c r="B765" s="8"/>
      <c r="C765" s="8"/>
      <c r="D765" s="8"/>
    </row>
    <row r="766">
      <c r="A766" s="8"/>
      <c r="B766" s="8"/>
      <c r="C766" s="8"/>
      <c r="D766" s="8"/>
    </row>
    <row r="767">
      <c r="A767" s="8"/>
      <c r="B767" s="8"/>
      <c r="C767" s="8"/>
      <c r="D767" s="8"/>
    </row>
    <row r="768">
      <c r="A768" s="8"/>
      <c r="B768" s="8"/>
      <c r="C768" s="8"/>
      <c r="D768" s="8"/>
    </row>
    <row r="769">
      <c r="A769" s="8"/>
      <c r="B769" s="8"/>
      <c r="C769" s="8"/>
      <c r="D769" s="8"/>
    </row>
    <row r="770">
      <c r="A770" s="8"/>
      <c r="B770" s="8"/>
      <c r="C770" s="8"/>
      <c r="D770" s="8"/>
    </row>
    <row r="771">
      <c r="A771" s="8"/>
      <c r="B771" s="8"/>
      <c r="C771" s="8"/>
      <c r="D771" s="8"/>
    </row>
    <row r="772">
      <c r="A772" s="8"/>
      <c r="B772" s="8"/>
      <c r="C772" s="8"/>
      <c r="D772" s="8"/>
    </row>
    <row r="773">
      <c r="A773" s="8"/>
      <c r="B773" s="8"/>
      <c r="C773" s="8"/>
      <c r="D773" s="8"/>
    </row>
    <row r="774">
      <c r="A774" s="8"/>
      <c r="B774" s="8"/>
      <c r="C774" s="8"/>
      <c r="D774" s="8"/>
    </row>
    <row r="775">
      <c r="A775" s="8"/>
      <c r="B775" s="8"/>
      <c r="C775" s="8"/>
      <c r="D775" s="8"/>
    </row>
    <row r="776">
      <c r="A776" s="8"/>
      <c r="B776" s="8"/>
      <c r="C776" s="8"/>
      <c r="D776" s="8"/>
    </row>
    <row r="777">
      <c r="A777" s="8"/>
      <c r="B777" s="8"/>
      <c r="C777" s="8"/>
      <c r="D777" s="8"/>
    </row>
    <row r="778">
      <c r="A778" s="8"/>
      <c r="B778" s="8"/>
      <c r="C778" s="8"/>
      <c r="D778" s="8"/>
    </row>
    <row r="779">
      <c r="A779" s="8"/>
      <c r="B779" s="8"/>
      <c r="C779" s="8"/>
      <c r="D779" s="8"/>
    </row>
    <row r="780">
      <c r="A780" s="8"/>
      <c r="B780" s="8"/>
      <c r="C780" s="8"/>
      <c r="D780" s="8"/>
    </row>
    <row r="781">
      <c r="A781" s="8"/>
      <c r="B781" s="8"/>
      <c r="C781" s="8"/>
      <c r="D781" s="8"/>
    </row>
    <row r="782">
      <c r="A782" s="8"/>
      <c r="B782" s="8"/>
      <c r="C782" s="8"/>
      <c r="D782" s="8"/>
    </row>
    <row r="783">
      <c r="A783" s="8"/>
      <c r="B783" s="8"/>
      <c r="C783" s="8"/>
      <c r="D783" s="8"/>
    </row>
    <row r="784">
      <c r="A784" s="8"/>
      <c r="B784" s="8"/>
      <c r="C784" s="8"/>
      <c r="D784" s="8"/>
    </row>
    <row r="785">
      <c r="A785" s="8"/>
      <c r="B785" s="8"/>
      <c r="C785" s="8"/>
      <c r="D785" s="8"/>
    </row>
    <row r="786">
      <c r="A786" s="8"/>
      <c r="B786" s="8"/>
      <c r="C786" s="8"/>
      <c r="D786" s="8"/>
    </row>
    <row r="787">
      <c r="A787" s="8"/>
      <c r="B787" s="8"/>
      <c r="C787" s="8"/>
      <c r="D787" s="8"/>
    </row>
    <row r="788">
      <c r="A788" s="8"/>
      <c r="B788" s="8"/>
      <c r="C788" s="8"/>
      <c r="D788" s="8"/>
    </row>
    <row r="789">
      <c r="A789" s="8"/>
      <c r="B789" s="8"/>
      <c r="C789" s="8"/>
      <c r="D789" s="8"/>
    </row>
    <row r="790">
      <c r="A790" s="8"/>
      <c r="B790" s="8"/>
      <c r="C790" s="8"/>
      <c r="D790" s="8"/>
    </row>
    <row r="791">
      <c r="A791" s="8"/>
      <c r="B791" s="8"/>
      <c r="C791" s="8"/>
      <c r="D791" s="8"/>
    </row>
    <row r="792">
      <c r="A792" s="8"/>
      <c r="B792" s="8"/>
      <c r="C792" s="8"/>
      <c r="D792" s="8"/>
    </row>
    <row r="793">
      <c r="A793" s="8"/>
      <c r="B793" s="8"/>
      <c r="C793" s="8"/>
      <c r="D793" s="8"/>
    </row>
    <row r="794">
      <c r="A794" s="8"/>
      <c r="B794" s="8"/>
      <c r="C794" s="8"/>
      <c r="D794" s="8"/>
    </row>
    <row r="795">
      <c r="A795" s="8"/>
      <c r="B795" s="8"/>
      <c r="C795" s="8"/>
      <c r="D795" s="8"/>
    </row>
    <row r="796">
      <c r="A796" s="8"/>
      <c r="B796" s="8"/>
      <c r="C796" s="8"/>
      <c r="D796" s="8"/>
    </row>
    <row r="797">
      <c r="A797" s="8"/>
      <c r="B797" s="8"/>
      <c r="C797" s="8"/>
      <c r="D797" s="8"/>
    </row>
    <row r="798">
      <c r="A798" s="8"/>
      <c r="B798" s="8"/>
      <c r="C798" s="8"/>
      <c r="D798" s="8"/>
    </row>
    <row r="799">
      <c r="A799" s="8"/>
      <c r="B799" s="8"/>
      <c r="C799" s="8"/>
      <c r="D799" s="8"/>
    </row>
    <row r="800">
      <c r="A800" s="8"/>
      <c r="B800" s="8"/>
      <c r="C800" s="8"/>
      <c r="D800" s="8"/>
    </row>
    <row r="801">
      <c r="A801" s="8"/>
      <c r="B801" s="8"/>
      <c r="C801" s="8"/>
      <c r="D801" s="8"/>
    </row>
    <row r="802">
      <c r="A802" s="8"/>
      <c r="B802" s="8"/>
      <c r="C802" s="8"/>
      <c r="D802" s="8"/>
    </row>
    <row r="803">
      <c r="A803" s="8"/>
      <c r="B803" s="8"/>
      <c r="C803" s="8"/>
      <c r="D803" s="8"/>
    </row>
    <row r="804">
      <c r="A804" s="8"/>
      <c r="B804" s="8"/>
      <c r="C804" s="8"/>
      <c r="D804" s="8"/>
    </row>
    <row r="805">
      <c r="A805" s="8"/>
      <c r="B805" s="8"/>
      <c r="C805" s="8"/>
      <c r="D805" s="8"/>
    </row>
    <row r="806">
      <c r="A806" s="8"/>
      <c r="B806" s="8"/>
      <c r="C806" s="8"/>
      <c r="D806" s="8"/>
    </row>
    <row r="807">
      <c r="A807" s="8"/>
      <c r="B807" s="8"/>
      <c r="C807" s="8"/>
      <c r="D807" s="8"/>
    </row>
    <row r="808">
      <c r="A808" s="8"/>
      <c r="B808" s="8"/>
      <c r="C808" s="8"/>
      <c r="D808" s="8"/>
    </row>
    <row r="809">
      <c r="A809" s="8"/>
      <c r="B809" s="8"/>
      <c r="C809" s="8"/>
      <c r="D809" s="8"/>
    </row>
    <row r="810">
      <c r="A810" s="8"/>
      <c r="B810" s="8"/>
      <c r="C810" s="8"/>
      <c r="D810" s="8"/>
    </row>
    <row r="811">
      <c r="A811" s="8"/>
      <c r="B811" s="8"/>
      <c r="C811" s="8"/>
      <c r="D811" s="8"/>
    </row>
    <row r="812">
      <c r="A812" s="8"/>
      <c r="B812" s="8"/>
      <c r="C812" s="8"/>
      <c r="D812" s="8"/>
    </row>
    <row r="813">
      <c r="A813" s="8"/>
      <c r="B813" s="8"/>
      <c r="C813" s="8"/>
      <c r="D813" s="8"/>
    </row>
    <row r="814">
      <c r="A814" s="8"/>
      <c r="B814" s="8"/>
      <c r="C814" s="8"/>
      <c r="D814" s="8"/>
    </row>
    <row r="815">
      <c r="A815" s="8"/>
      <c r="B815" s="8"/>
      <c r="C815" s="8"/>
      <c r="D815" s="8"/>
    </row>
    <row r="816">
      <c r="A816" s="8"/>
      <c r="B816" s="8"/>
      <c r="C816" s="8"/>
      <c r="D816" s="8"/>
    </row>
    <row r="817">
      <c r="A817" s="8"/>
      <c r="B817" s="8"/>
      <c r="C817" s="8"/>
      <c r="D817" s="8"/>
    </row>
    <row r="818">
      <c r="A818" s="8"/>
      <c r="B818" s="8"/>
      <c r="C818" s="8"/>
      <c r="D818" s="8"/>
    </row>
    <row r="819">
      <c r="A819" s="8"/>
      <c r="B819" s="8"/>
      <c r="C819" s="8"/>
      <c r="D819" s="8"/>
    </row>
    <row r="820">
      <c r="A820" s="8"/>
      <c r="B820" s="8"/>
      <c r="C820" s="8"/>
      <c r="D820" s="8"/>
    </row>
    <row r="821">
      <c r="A821" s="8"/>
      <c r="B821" s="8"/>
      <c r="C821" s="8"/>
      <c r="D821" s="8"/>
    </row>
    <row r="822">
      <c r="A822" s="8"/>
      <c r="B822" s="8"/>
      <c r="C822" s="8"/>
      <c r="D822" s="8"/>
    </row>
    <row r="823">
      <c r="A823" s="8"/>
      <c r="B823" s="8"/>
      <c r="C823" s="8"/>
      <c r="D823" s="8"/>
    </row>
    <row r="824">
      <c r="A824" s="8"/>
      <c r="B824" s="8"/>
      <c r="C824" s="8"/>
      <c r="D824" s="8"/>
    </row>
    <row r="825">
      <c r="A825" s="8"/>
      <c r="B825" s="8"/>
      <c r="C825" s="8"/>
      <c r="D825" s="8"/>
    </row>
    <row r="826">
      <c r="A826" s="8"/>
      <c r="B826" s="8"/>
      <c r="C826" s="8"/>
      <c r="D826" s="8"/>
    </row>
    <row r="827">
      <c r="A827" s="8"/>
      <c r="B827" s="8"/>
      <c r="C827" s="8"/>
      <c r="D827" s="8"/>
    </row>
    <row r="828">
      <c r="A828" s="8"/>
      <c r="B828" s="8"/>
      <c r="C828" s="8"/>
      <c r="D828" s="8"/>
    </row>
    <row r="829">
      <c r="A829" s="8"/>
      <c r="B829" s="8"/>
      <c r="C829" s="8"/>
      <c r="D829" s="8"/>
    </row>
    <row r="830">
      <c r="A830" s="8"/>
      <c r="B830" s="8"/>
      <c r="C830" s="8"/>
      <c r="D830" s="8"/>
    </row>
    <row r="831">
      <c r="A831" s="8"/>
      <c r="B831" s="8"/>
      <c r="C831" s="8"/>
      <c r="D831" s="8"/>
    </row>
    <row r="832">
      <c r="A832" s="8"/>
      <c r="B832" s="8"/>
      <c r="C832" s="8"/>
      <c r="D832" s="8"/>
    </row>
    <row r="833">
      <c r="A833" s="8"/>
      <c r="B833" s="8"/>
      <c r="C833" s="8"/>
      <c r="D833" s="8"/>
    </row>
    <row r="834">
      <c r="A834" s="8"/>
      <c r="B834" s="8"/>
      <c r="C834" s="8"/>
      <c r="D834" s="8"/>
    </row>
    <row r="835">
      <c r="A835" s="8"/>
      <c r="B835" s="8"/>
      <c r="C835" s="8"/>
      <c r="D835" s="8"/>
    </row>
    <row r="836">
      <c r="A836" s="8"/>
      <c r="B836" s="8"/>
      <c r="C836" s="8"/>
      <c r="D836" s="8"/>
    </row>
    <row r="837">
      <c r="A837" s="8"/>
      <c r="B837" s="8"/>
      <c r="C837" s="8"/>
      <c r="D837" s="8"/>
    </row>
    <row r="838">
      <c r="A838" s="8"/>
      <c r="B838" s="8"/>
      <c r="C838" s="8"/>
      <c r="D838" s="8"/>
    </row>
    <row r="839">
      <c r="A839" s="8"/>
      <c r="B839" s="8"/>
      <c r="C839" s="8"/>
      <c r="D839" s="8"/>
    </row>
    <row r="840">
      <c r="A840" s="8"/>
      <c r="B840" s="8"/>
      <c r="C840" s="8"/>
      <c r="D840" s="8"/>
    </row>
    <row r="841">
      <c r="A841" s="8"/>
      <c r="B841" s="8"/>
      <c r="C841" s="8"/>
      <c r="D841" s="8"/>
    </row>
    <row r="842">
      <c r="A842" s="8"/>
      <c r="B842" s="8"/>
      <c r="C842" s="8"/>
      <c r="D842" s="8"/>
    </row>
    <row r="843">
      <c r="A843" s="8"/>
      <c r="B843" s="8"/>
      <c r="C843" s="8"/>
      <c r="D843" s="8"/>
    </row>
    <row r="844">
      <c r="A844" s="8"/>
      <c r="B844" s="8"/>
      <c r="C844" s="8"/>
      <c r="D844" s="8"/>
    </row>
    <row r="845">
      <c r="A845" s="8"/>
      <c r="B845" s="8"/>
      <c r="C845" s="8"/>
      <c r="D845" s="8"/>
    </row>
    <row r="846">
      <c r="A846" s="8"/>
      <c r="B846" s="8"/>
      <c r="C846" s="8"/>
      <c r="D846" s="8"/>
    </row>
    <row r="847">
      <c r="A847" s="8"/>
      <c r="B847" s="8"/>
      <c r="C847" s="8"/>
      <c r="D847" s="8"/>
    </row>
    <row r="848">
      <c r="A848" s="8"/>
      <c r="B848" s="8"/>
      <c r="C848" s="8"/>
      <c r="D848" s="8"/>
    </row>
    <row r="849">
      <c r="A849" s="8"/>
      <c r="B849" s="8"/>
      <c r="C849" s="8"/>
      <c r="D849" s="8"/>
    </row>
    <row r="850">
      <c r="A850" s="8"/>
      <c r="B850" s="8"/>
      <c r="C850" s="8"/>
      <c r="D850" s="8"/>
    </row>
    <row r="851">
      <c r="A851" s="8"/>
      <c r="B851" s="8"/>
      <c r="C851" s="8"/>
      <c r="D851" s="8"/>
    </row>
    <row r="852">
      <c r="A852" s="8"/>
      <c r="B852" s="8"/>
      <c r="C852" s="8"/>
      <c r="D852" s="8"/>
    </row>
    <row r="853">
      <c r="A853" s="8"/>
      <c r="B853" s="8"/>
      <c r="C853" s="8"/>
      <c r="D853" s="8"/>
    </row>
    <row r="854">
      <c r="A854" s="8"/>
      <c r="B854" s="8"/>
      <c r="C854" s="8"/>
      <c r="D854" s="8"/>
    </row>
    <row r="855">
      <c r="A855" s="8"/>
      <c r="B855" s="8"/>
      <c r="C855" s="8"/>
      <c r="D855" s="8"/>
    </row>
    <row r="856">
      <c r="A856" s="8"/>
      <c r="B856" s="8"/>
      <c r="C856" s="8"/>
      <c r="D856" s="8"/>
    </row>
    <row r="857">
      <c r="A857" s="8"/>
      <c r="B857" s="8"/>
      <c r="C857" s="8"/>
      <c r="D857" s="8"/>
    </row>
    <row r="858">
      <c r="A858" s="8"/>
      <c r="B858" s="8"/>
      <c r="C858" s="8"/>
      <c r="D858" s="8"/>
    </row>
    <row r="859">
      <c r="A859" s="8"/>
      <c r="B859" s="8"/>
      <c r="C859" s="8"/>
      <c r="D859" s="8"/>
    </row>
    <row r="860">
      <c r="A860" s="8"/>
      <c r="B860" s="8"/>
      <c r="C860" s="8"/>
      <c r="D860" s="8"/>
    </row>
    <row r="861">
      <c r="A861" s="8"/>
      <c r="B861" s="8"/>
      <c r="C861" s="8"/>
      <c r="D861" s="8"/>
    </row>
    <row r="862">
      <c r="A862" s="8"/>
      <c r="B862" s="8"/>
      <c r="C862" s="8"/>
      <c r="D862" s="8"/>
    </row>
    <row r="863">
      <c r="A863" s="8"/>
      <c r="B863" s="8"/>
      <c r="C863" s="8"/>
      <c r="D863" s="8"/>
    </row>
    <row r="864">
      <c r="A864" s="8"/>
      <c r="B864" s="8"/>
      <c r="C864" s="8"/>
      <c r="D864" s="8"/>
    </row>
    <row r="865">
      <c r="A865" s="8"/>
      <c r="B865" s="8"/>
      <c r="C865" s="8"/>
      <c r="D865" s="8"/>
    </row>
    <row r="866">
      <c r="A866" s="8"/>
      <c r="B866" s="8"/>
      <c r="C866" s="8"/>
      <c r="D866" s="8"/>
    </row>
    <row r="867">
      <c r="A867" s="8"/>
      <c r="B867" s="8"/>
      <c r="C867" s="8"/>
      <c r="D867" s="8"/>
    </row>
    <row r="868">
      <c r="A868" s="8"/>
      <c r="B868" s="8"/>
      <c r="C868" s="8"/>
      <c r="D868" s="8"/>
    </row>
    <row r="869">
      <c r="A869" s="8"/>
      <c r="B869" s="8"/>
      <c r="C869" s="8"/>
      <c r="D869" s="8"/>
    </row>
    <row r="870">
      <c r="A870" s="8"/>
      <c r="B870" s="8"/>
      <c r="C870" s="8"/>
      <c r="D870" s="8"/>
    </row>
    <row r="871">
      <c r="A871" s="8"/>
      <c r="B871" s="8"/>
      <c r="C871" s="8"/>
      <c r="D871" s="8"/>
    </row>
    <row r="872">
      <c r="A872" s="8"/>
      <c r="B872" s="8"/>
      <c r="C872" s="8"/>
      <c r="D872" s="8"/>
    </row>
    <row r="873">
      <c r="A873" s="8"/>
      <c r="B873" s="8"/>
      <c r="C873" s="8"/>
      <c r="D873" s="8"/>
    </row>
    <row r="874">
      <c r="A874" s="8"/>
      <c r="B874" s="8"/>
      <c r="C874" s="8"/>
      <c r="D874" s="8"/>
    </row>
    <row r="875">
      <c r="A875" s="8"/>
      <c r="B875" s="8"/>
      <c r="C875" s="8"/>
      <c r="D875" s="8"/>
    </row>
    <row r="876">
      <c r="A876" s="8"/>
      <c r="B876" s="8"/>
      <c r="C876" s="8"/>
      <c r="D876" s="8"/>
    </row>
    <row r="877">
      <c r="A877" s="8"/>
      <c r="B877" s="8"/>
      <c r="C877" s="8"/>
      <c r="D877" s="8"/>
    </row>
    <row r="878">
      <c r="A878" s="8"/>
      <c r="B878" s="8"/>
      <c r="C878" s="8"/>
      <c r="D878" s="8"/>
    </row>
    <row r="879">
      <c r="A879" s="8"/>
      <c r="B879" s="8"/>
      <c r="C879" s="8"/>
      <c r="D879" s="8"/>
    </row>
    <row r="880">
      <c r="A880" s="8"/>
      <c r="B880" s="8"/>
      <c r="C880" s="8"/>
      <c r="D880" s="8"/>
    </row>
    <row r="881">
      <c r="A881" s="8"/>
      <c r="B881" s="8"/>
      <c r="C881" s="8"/>
      <c r="D881" s="8"/>
    </row>
    <row r="882">
      <c r="A882" s="8"/>
      <c r="B882" s="8"/>
      <c r="C882" s="8"/>
      <c r="D882" s="8"/>
    </row>
    <row r="883">
      <c r="A883" s="8"/>
      <c r="B883" s="8"/>
      <c r="C883" s="8"/>
      <c r="D883" s="8"/>
    </row>
    <row r="884">
      <c r="A884" s="8"/>
      <c r="B884" s="8"/>
      <c r="C884" s="8"/>
      <c r="D884" s="8"/>
    </row>
    <row r="885">
      <c r="A885" s="8"/>
      <c r="B885" s="8"/>
      <c r="C885" s="8"/>
      <c r="D885" s="8"/>
    </row>
    <row r="886">
      <c r="A886" s="8"/>
      <c r="B886" s="8"/>
      <c r="C886" s="8"/>
      <c r="D886" s="8"/>
    </row>
    <row r="887">
      <c r="A887" s="8"/>
      <c r="B887" s="8"/>
      <c r="C887" s="8"/>
      <c r="D887" s="8"/>
    </row>
    <row r="888">
      <c r="A888" s="8"/>
      <c r="B888" s="8"/>
      <c r="C888" s="8"/>
      <c r="D888" s="8"/>
    </row>
    <row r="889">
      <c r="A889" s="8"/>
      <c r="B889" s="8"/>
      <c r="C889" s="8"/>
      <c r="D889" s="8"/>
    </row>
    <row r="890">
      <c r="A890" s="8"/>
      <c r="B890" s="8"/>
      <c r="C890" s="8"/>
      <c r="D890" s="8"/>
    </row>
    <row r="891">
      <c r="A891" s="8"/>
      <c r="B891" s="8"/>
      <c r="C891" s="8"/>
      <c r="D891" s="8"/>
    </row>
    <row r="892">
      <c r="A892" s="8"/>
      <c r="B892" s="8"/>
      <c r="C892" s="8"/>
      <c r="D892" s="8"/>
    </row>
    <row r="893">
      <c r="A893" s="8"/>
      <c r="B893" s="8"/>
      <c r="C893" s="8"/>
      <c r="D893" s="8"/>
    </row>
    <row r="894">
      <c r="A894" s="8"/>
      <c r="B894" s="8"/>
      <c r="C894" s="8"/>
      <c r="D894" s="8"/>
    </row>
    <row r="895">
      <c r="A895" s="8"/>
      <c r="B895" s="8"/>
      <c r="C895" s="8"/>
      <c r="D895" s="8"/>
    </row>
    <row r="896">
      <c r="A896" s="8"/>
      <c r="B896" s="8"/>
      <c r="C896" s="8"/>
      <c r="D896" s="8"/>
    </row>
    <row r="897">
      <c r="A897" s="8"/>
      <c r="B897" s="8"/>
      <c r="C897" s="8"/>
      <c r="D897" s="8"/>
    </row>
    <row r="898">
      <c r="A898" s="8"/>
      <c r="B898" s="8"/>
      <c r="C898" s="8"/>
      <c r="D898" s="8"/>
    </row>
    <row r="899">
      <c r="A899" s="8"/>
      <c r="B899" s="8"/>
      <c r="C899" s="8"/>
      <c r="D899" s="8"/>
    </row>
    <row r="900">
      <c r="A900" s="8"/>
      <c r="B900" s="8"/>
      <c r="C900" s="8"/>
      <c r="D900" s="8"/>
    </row>
    <row r="901">
      <c r="A901" s="8"/>
      <c r="B901" s="8"/>
      <c r="C901" s="8"/>
      <c r="D901" s="8"/>
    </row>
    <row r="902">
      <c r="A902" s="8"/>
      <c r="B902" s="8"/>
      <c r="C902" s="8"/>
      <c r="D902" s="8"/>
    </row>
    <row r="903">
      <c r="A903" s="8"/>
      <c r="B903" s="8"/>
      <c r="C903" s="8"/>
      <c r="D903" s="8"/>
    </row>
    <row r="904">
      <c r="A904" s="8"/>
      <c r="B904" s="8"/>
      <c r="C904" s="8"/>
      <c r="D904" s="8"/>
    </row>
    <row r="905">
      <c r="A905" s="8"/>
      <c r="B905" s="8"/>
      <c r="C905" s="8"/>
      <c r="D905" s="8"/>
    </row>
    <row r="906">
      <c r="A906" s="8"/>
      <c r="B906" s="8"/>
      <c r="C906" s="8"/>
      <c r="D906" s="8"/>
    </row>
    <row r="907">
      <c r="A907" s="8"/>
      <c r="B907" s="8"/>
      <c r="C907" s="8"/>
      <c r="D907" s="8"/>
    </row>
    <row r="908">
      <c r="A908" s="8"/>
      <c r="B908" s="8"/>
      <c r="C908" s="8"/>
      <c r="D908" s="8"/>
    </row>
    <row r="909">
      <c r="A909" s="8"/>
      <c r="B909" s="8"/>
      <c r="C909" s="8"/>
      <c r="D909" s="8"/>
    </row>
    <row r="910">
      <c r="A910" s="8"/>
      <c r="B910" s="8"/>
      <c r="C910" s="8"/>
      <c r="D910" s="8"/>
    </row>
    <row r="911">
      <c r="A911" s="8"/>
      <c r="B911" s="8"/>
      <c r="C911" s="8"/>
      <c r="D911" s="8"/>
    </row>
    <row r="912">
      <c r="A912" s="8"/>
      <c r="B912" s="8"/>
      <c r="C912" s="8"/>
      <c r="D912" s="8"/>
    </row>
    <row r="913">
      <c r="A913" s="8"/>
      <c r="B913" s="8"/>
      <c r="C913" s="8"/>
      <c r="D913" s="8"/>
    </row>
    <row r="914">
      <c r="A914" s="8"/>
      <c r="B914" s="8"/>
      <c r="C914" s="8"/>
      <c r="D914" s="8"/>
    </row>
    <row r="915">
      <c r="A915" s="8"/>
      <c r="B915" s="8"/>
      <c r="C915" s="8"/>
      <c r="D915" s="8"/>
    </row>
    <row r="916">
      <c r="A916" s="8"/>
      <c r="B916" s="8"/>
      <c r="C916" s="8"/>
      <c r="D916" s="8"/>
    </row>
    <row r="917">
      <c r="A917" s="8"/>
      <c r="B917" s="8"/>
      <c r="C917" s="8"/>
      <c r="D917" s="8"/>
    </row>
    <row r="918">
      <c r="A918" s="8"/>
      <c r="B918" s="8"/>
      <c r="C918" s="8"/>
      <c r="D918" s="8"/>
    </row>
    <row r="919">
      <c r="A919" s="8"/>
      <c r="B919" s="8"/>
      <c r="C919" s="8"/>
      <c r="D919" s="8"/>
    </row>
    <row r="920">
      <c r="A920" s="8"/>
      <c r="B920" s="8"/>
      <c r="C920" s="8"/>
      <c r="D920" s="8"/>
    </row>
    <row r="921">
      <c r="A921" s="8"/>
      <c r="B921" s="8"/>
      <c r="C921" s="8"/>
      <c r="D921" s="8"/>
    </row>
    <row r="922">
      <c r="A922" s="8"/>
      <c r="B922" s="8"/>
      <c r="C922" s="8"/>
      <c r="D922" s="8"/>
    </row>
    <row r="923">
      <c r="A923" s="8"/>
      <c r="B923" s="8"/>
      <c r="C923" s="8"/>
      <c r="D923" s="8"/>
    </row>
    <row r="924">
      <c r="A924" s="8"/>
      <c r="B924" s="8"/>
      <c r="C924" s="8"/>
      <c r="D924" s="8"/>
    </row>
    <row r="925">
      <c r="A925" s="8"/>
      <c r="B925" s="8"/>
      <c r="C925" s="8"/>
      <c r="D925" s="8"/>
    </row>
    <row r="926">
      <c r="A926" s="8"/>
      <c r="B926" s="8"/>
      <c r="C926" s="8"/>
      <c r="D926" s="8"/>
    </row>
    <row r="927">
      <c r="A927" s="8"/>
      <c r="B927" s="8"/>
      <c r="C927" s="8"/>
      <c r="D927" s="8"/>
    </row>
    <row r="928">
      <c r="A928" s="8"/>
      <c r="B928" s="8"/>
      <c r="C928" s="8"/>
      <c r="D928" s="8"/>
    </row>
    <row r="929">
      <c r="A929" s="8"/>
      <c r="B929" s="8"/>
      <c r="C929" s="8"/>
      <c r="D929" s="8"/>
    </row>
    <row r="930">
      <c r="A930" s="8"/>
      <c r="B930" s="8"/>
      <c r="C930" s="8"/>
      <c r="D930" s="8"/>
    </row>
    <row r="931">
      <c r="A931" s="8"/>
      <c r="B931" s="8"/>
      <c r="C931" s="8"/>
      <c r="D931" s="8"/>
    </row>
    <row r="932">
      <c r="A932" s="8"/>
      <c r="B932" s="8"/>
      <c r="C932" s="8"/>
      <c r="D932" s="8"/>
    </row>
    <row r="933">
      <c r="A933" s="8"/>
      <c r="B933" s="8"/>
      <c r="C933" s="8"/>
      <c r="D933" s="8"/>
    </row>
    <row r="934">
      <c r="A934" s="8"/>
      <c r="B934" s="8"/>
      <c r="C934" s="8"/>
      <c r="D934" s="8"/>
    </row>
    <row r="935">
      <c r="A935" s="8"/>
      <c r="B935" s="8"/>
      <c r="C935" s="8"/>
      <c r="D935" s="8"/>
    </row>
    <row r="936">
      <c r="A936" s="8"/>
      <c r="B936" s="8"/>
      <c r="C936" s="8"/>
      <c r="D936" s="8"/>
    </row>
    <row r="937">
      <c r="A937" s="8"/>
      <c r="B937" s="8"/>
      <c r="C937" s="8"/>
      <c r="D937" s="8"/>
    </row>
    <row r="938">
      <c r="A938" s="8"/>
      <c r="B938" s="8"/>
      <c r="C938" s="8"/>
      <c r="D938" s="8"/>
    </row>
    <row r="939">
      <c r="A939" s="8"/>
      <c r="B939" s="8"/>
      <c r="C939" s="8"/>
      <c r="D939" s="8"/>
    </row>
    <row r="940">
      <c r="A940" s="8"/>
      <c r="B940" s="8"/>
      <c r="C940" s="8"/>
      <c r="D940" s="8"/>
    </row>
    <row r="941">
      <c r="A941" s="8"/>
      <c r="B941" s="8"/>
      <c r="C941" s="8"/>
      <c r="D941" s="8"/>
    </row>
    <row r="942">
      <c r="A942" s="8"/>
      <c r="B942" s="8"/>
      <c r="C942" s="8"/>
      <c r="D942" s="8"/>
    </row>
    <row r="943">
      <c r="A943" s="8"/>
      <c r="B943" s="8"/>
      <c r="C943" s="8"/>
      <c r="D943" s="8"/>
    </row>
    <row r="944">
      <c r="A944" s="8"/>
      <c r="B944" s="8"/>
      <c r="C944" s="8"/>
      <c r="D944" s="8"/>
    </row>
    <row r="945">
      <c r="A945" s="8"/>
      <c r="B945" s="8"/>
      <c r="C945" s="8"/>
      <c r="D945" s="8"/>
    </row>
    <row r="946">
      <c r="A946" s="8"/>
      <c r="B946" s="8"/>
      <c r="C946" s="8"/>
      <c r="D946" s="8"/>
    </row>
    <row r="947">
      <c r="A947" s="8"/>
      <c r="B947" s="8"/>
      <c r="C947" s="8"/>
      <c r="D947" s="8"/>
    </row>
    <row r="948">
      <c r="A948" s="8"/>
      <c r="B948" s="8"/>
      <c r="C948" s="8"/>
      <c r="D948" s="8"/>
    </row>
    <row r="949">
      <c r="A949" s="8"/>
      <c r="B949" s="8"/>
      <c r="C949" s="8"/>
      <c r="D949" s="8"/>
    </row>
    <row r="950">
      <c r="A950" s="8"/>
      <c r="B950" s="8"/>
      <c r="C950" s="8"/>
      <c r="D950" s="8"/>
    </row>
    <row r="951">
      <c r="A951" s="8"/>
      <c r="B951" s="8"/>
      <c r="C951" s="8"/>
      <c r="D951" s="8"/>
    </row>
    <row r="952">
      <c r="A952" s="8"/>
      <c r="B952" s="8"/>
      <c r="C952" s="8"/>
      <c r="D952" s="8"/>
    </row>
    <row r="953">
      <c r="A953" s="8"/>
      <c r="B953" s="8"/>
      <c r="C953" s="8"/>
      <c r="D953" s="8"/>
    </row>
    <row r="954">
      <c r="A954" s="8"/>
      <c r="B954" s="8"/>
      <c r="C954" s="8"/>
      <c r="D954" s="8"/>
    </row>
    <row r="955">
      <c r="A955" s="8"/>
      <c r="B955" s="8"/>
      <c r="C955" s="8"/>
      <c r="D955" s="8"/>
    </row>
    <row r="956">
      <c r="A956" s="8"/>
      <c r="B956" s="8"/>
      <c r="C956" s="8"/>
      <c r="D956" s="8"/>
    </row>
    <row r="957">
      <c r="A957" s="8"/>
      <c r="B957" s="8"/>
      <c r="C957" s="8"/>
      <c r="D957" s="8"/>
    </row>
    <row r="958">
      <c r="A958" s="8"/>
      <c r="B958" s="8"/>
      <c r="C958" s="8"/>
      <c r="D958" s="8"/>
    </row>
    <row r="959">
      <c r="A959" s="8"/>
      <c r="B959" s="8"/>
      <c r="C959" s="8"/>
      <c r="D959" s="8"/>
    </row>
    <row r="960">
      <c r="A960" s="8"/>
      <c r="B960" s="8"/>
      <c r="C960" s="8"/>
      <c r="D960" s="8"/>
    </row>
    <row r="961">
      <c r="A961" s="8"/>
      <c r="B961" s="8"/>
      <c r="C961" s="8"/>
      <c r="D961" s="8"/>
    </row>
    <row r="962">
      <c r="A962" s="8"/>
      <c r="B962" s="8"/>
      <c r="C962" s="8"/>
      <c r="D962" s="8"/>
    </row>
    <row r="963">
      <c r="A963" s="8"/>
      <c r="B963" s="8"/>
      <c r="C963" s="8"/>
      <c r="D963" s="8"/>
    </row>
    <row r="964">
      <c r="A964" s="8"/>
      <c r="B964" s="8"/>
      <c r="C964" s="8"/>
      <c r="D964" s="8"/>
    </row>
    <row r="965">
      <c r="A965" s="8"/>
      <c r="B965" s="8"/>
      <c r="C965" s="8"/>
      <c r="D965" s="8"/>
    </row>
    <row r="966">
      <c r="A966" s="8"/>
      <c r="B966" s="8"/>
      <c r="C966" s="8"/>
      <c r="D966" s="8"/>
    </row>
    <row r="967">
      <c r="A967" s="8"/>
      <c r="B967" s="8"/>
      <c r="C967" s="8"/>
      <c r="D967" s="8"/>
    </row>
    <row r="968">
      <c r="A968" s="8"/>
      <c r="B968" s="8"/>
      <c r="C968" s="8"/>
      <c r="D968" s="8"/>
    </row>
    <row r="969">
      <c r="A969" s="8"/>
      <c r="B969" s="8"/>
      <c r="C969" s="8"/>
      <c r="D969" s="8"/>
    </row>
    <row r="970">
      <c r="A970" s="8"/>
      <c r="B970" s="8"/>
      <c r="C970" s="8"/>
      <c r="D970" s="8"/>
    </row>
    <row r="971">
      <c r="A971" s="8"/>
      <c r="B971" s="8"/>
      <c r="C971" s="8"/>
      <c r="D971" s="8"/>
    </row>
    <row r="972">
      <c r="A972" s="8"/>
      <c r="B972" s="8"/>
      <c r="C972" s="8"/>
      <c r="D972" s="8"/>
    </row>
    <row r="973">
      <c r="A973" s="8"/>
      <c r="B973" s="8"/>
      <c r="C973" s="8"/>
      <c r="D973" s="8"/>
    </row>
    <row r="974">
      <c r="A974" s="8"/>
      <c r="B974" s="8"/>
      <c r="C974" s="8"/>
      <c r="D974" s="8"/>
    </row>
    <row r="975">
      <c r="A975" s="8"/>
      <c r="B975" s="8"/>
      <c r="C975" s="8"/>
      <c r="D975" s="8"/>
    </row>
    <row r="976">
      <c r="A976" s="8"/>
      <c r="B976" s="8"/>
      <c r="C976" s="8"/>
      <c r="D976" s="8"/>
    </row>
    <row r="977">
      <c r="A977" s="8"/>
      <c r="B977" s="8"/>
      <c r="C977" s="8"/>
      <c r="D977" s="8"/>
    </row>
    <row r="978">
      <c r="A978" s="8"/>
      <c r="B978" s="8"/>
      <c r="C978" s="8"/>
      <c r="D978" s="8"/>
    </row>
    <row r="979">
      <c r="A979" s="8"/>
      <c r="B979" s="8"/>
      <c r="C979" s="8"/>
      <c r="D979" s="8"/>
    </row>
    <row r="980">
      <c r="A980" s="8"/>
      <c r="B980" s="8"/>
      <c r="C980" s="8"/>
      <c r="D980" s="8"/>
    </row>
    <row r="981">
      <c r="A981" s="8"/>
      <c r="B981" s="8"/>
      <c r="C981" s="8"/>
      <c r="D981" s="8"/>
    </row>
    <row r="982">
      <c r="A982" s="8"/>
      <c r="B982" s="8"/>
      <c r="C982" s="8"/>
      <c r="D982" s="8"/>
    </row>
    <row r="983">
      <c r="A983" s="8"/>
      <c r="B983" s="8"/>
      <c r="C983" s="8"/>
      <c r="D983" s="8"/>
    </row>
    <row r="984">
      <c r="A984" s="8"/>
      <c r="B984" s="8"/>
      <c r="C984" s="8"/>
      <c r="D984" s="8"/>
    </row>
    <row r="985">
      <c r="A985" s="8"/>
      <c r="B985" s="8"/>
      <c r="C985" s="8"/>
      <c r="D985" s="8"/>
    </row>
    <row r="986">
      <c r="A986" s="8"/>
      <c r="B986" s="8"/>
      <c r="C986" s="8"/>
      <c r="D986" s="8"/>
    </row>
    <row r="987">
      <c r="A987" s="8"/>
      <c r="B987" s="8"/>
      <c r="C987" s="8"/>
      <c r="D987" s="8"/>
    </row>
    <row r="988">
      <c r="A988" s="8"/>
      <c r="B988" s="8"/>
      <c r="C988" s="8"/>
      <c r="D988" s="8"/>
    </row>
    <row r="989">
      <c r="A989" s="8"/>
      <c r="B989" s="8"/>
      <c r="C989" s="8"/>
      <c r="D989" s="8"/>
    </row>
    <row r="990">
      <c r="A990" s="8"/>
      <c r="B990" s="8"/>
      <c r="C990" s="8"/>
      <c r="D990" s="8"/>
    </row>
    <row r="991">
      <c r="A991" s="8"/>
      <c r="B991" s="8"/>
      <c r="C991" s="8"/>
      <c r="D991" s="8"/>
    </row>
    <row r="992">
      <c r="A992" s="8"/>
      <c r="B992" s="8"/>
      <c r="C992" s="8"/>
      <c r="D992" s="8"/>
    </row>
    <row r="993">
      <c r="A993" s="8"/>
      <c r="B993" s="8"/>
      <c r="C993" s="8"/>
      <c r="D993" s="8"/>
    </row>
    <row r="994">
      <c r="A994" s="8"/>
      <c r="B994" s="8"/>
      <c r="C994" s="8"/>
      <c r="D994" s="8"/>
    </row>
    <row r="995">
      <c r="A995" s="8"/>
      <c r="B995" s="8"/>
      <c r="C995" s="8"/>
      <c r="D995" s="8"/>
    </row>
    <row r="996">
      <c r="A996" s="8"/>
      <c r="B996" s="8"/>
      <c r="C996" s="8"/>
      <c r="D996" s="8"/>
    </row>
    <row r="997">
      <c r="A997" s="8"/>
      <c r="B997" s="8"/>
      <c r="C997" s="8"/>
      <c r="D997" s="8"/>
    </row>
    <row r="998">
      <c r="A998" s="8"/>
      <c r="B998" s="8"/>
      <c r="C998" s="8"/>
      <c r="D998" s="8"/>
    </row>
    <row r="999">
      <c r="A999" s="8"/>
      <c r="B999" s="8"/>
      <c r="C999" s="8"/>
      <c r="D999" s="8"/>
    </row>
    <row r="1000">
      <c r="A1000" s="8"/>
      <c r="B1000" s="8"/>
      <c r="C1000" s="8"/>
      <c r="D1000" s="8"/>
    </row>
    <row r="1001">
      <c r="A1001" s="8"/>
      <c r="B1001" s="8"/>
      <c r="C1001" s="8"/>
      <c r="D1001" s="8"/>
    </row>
    <row r="1002">
      <c r="A1002" s="8"/>
      <c r="B1002" s="8"/>
      <c r="C1002" s="8"/>
      <c r="D1002" s="8"/>
    </row>
    <row r="1003">
      <c r="A1003" s="8"/>
      <c r="B1003" s="8"/>
      <c r="C1003" s="8"/>
      <c r="D1003" s="8"/>
    </row>
    <row r="1004">
      <c r="A1004" s="8"/>
      <c r="B1004" s="8"/>
      <c r="C1004" s="8"/>
      <c r="D1004" s="8"/>
    </row>
    <row r="1005">
      <c r="A1005" s="8"/>
      <c r="B1005" s="8"/>
      <c r="C1005" s="8"/>
      <c r="D1005" s="8"/>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88"/>
    <col customWidth="1" min="3" max="3" width="8.5"/>
    <col customWidth="1" min="4" max="4" width="30.63"/>
    <col customWidth="1" min="5" max="5" width="15.0"/>
    <col customWidth="1" min="6" max="6" width="50.75"/>
  </cols>
  <sheetData>
    <row r="1">
      <c r="A1" s="176" t="s">
        <v>6</v>
      </c>
      <c r="B1" s="178" t="s">
        <v>1113</v>
      </c>
      <c r="C1" s="178" t="s">
        <v>1114</v>
      </c>
      <c r="D1" s="178" t="s">
        <v>1116</v>
      </c>
      <c r="E1" s="178" t="s">
        <v>1117</v>
      </c>
      <c r="F1" s="179" t="s">
        <v>176</v>
      </c>
      <c r="G1" s="180" t="s">
        <v>1118</v>
      </c>
      <c r="H1" s="181" t="s">
        <v>1119</v>
      </c>
      <c r="I1" s="182"/>
      <c r="J1" s="182"/>
      <c r="K1" s="182"/>
      <c r="L1" s="182"/>
      <c r="M1" s="182"/>
      <c r="N1" s="182"/>
      <c r="O1" s="182"/>
      <c r="P1" s="182"/>
      <c r="Q1" s="182"/>
      <c r="R1" s="182"/>
      <c r="S1" s="182"/>
      <c r="T1" s="182"/>
      <c r="U1" s="182"/>
      <c r="V1" s="182"/>
      <c r="W1" s="182"/>
      <c r="X1" s="182"/>
      <c r="Y1" s="182"/>
      <c r="Z1" s="182"/>
      <c r="AA1" s="182"/>
      <c r="AB1" s="182"/>
      <c r="AC1" s="182"/>
    </row>
    <row r="2">
      <c r="A2" s="183" t="s">
        <v>1120</v>
      </c>
      <c r="B2" s="184" t="s">
        <v>1121</v>
      </c>
      <c r="C2" s="185" t="s">
        <v>1122</v>
      </c>
      <c r="D2" s="187" t="s">
        <v>1123</v>
      </c>
      <c r="E2" s="185" t="s">
        <v>1129</v>
      </c>
      <c r="F2" s="188" t="s">
        <v>1130</v>
      </c>
      <c r="G2" s="189">
        <v>606199.0</v>
      </c>
      <c r="H2" s="189">
        <v>606199.0</v>
      </c>
      <c r="I2" s="190"/>
      <c r="J2" s="191"/>
    </row>
    <row r="3">
      <c r="A3" s="183" t="s">
        <v>1132</v>
      </c>
      <c r="B3" s="184" t="s">
        <v>1133</v>
      </c>
      <c r="C3" s="185" t="s">
        <v>1134</v>
      </c>
      <c r="D3" s="192"/>
      <c r="E3" s="185" t="s">
        <v>1136</v>
      </c>
      <c r="F3" s="188" t="s">
        <v>1137</v>
      </c>
      <c r="G3" s="189">
        <v>250000.0</v>
      </c>
      <c r="H3" s="189">
        <v>47600.0</v>
      </c>
      <c r="I3" s="190"/>
      <c r="J3" s="191"/>
    </row>
    <row r="4">
      <c r="A4" s="183" t="s">
        <v>179</v>
      </c>
      <c r="B4" s="184" t="s">
        <v>1138</v>
      </c>
      <c r="C4" s="185" t="s">
        <v>1122</v>
      </c>
      <c r="D4" s="193" t="s">
        <v>1139</v>
      </c>
      <c r="E4" s="185" t="s">
        <v>1140</v>
      </c>
      <c r="F4" s="188" t="s">
        <v>1141</v>
      </c>
      <c r="G4" s="189">
        <v>500000.0</v>
      </c>
      <c r="H4" s="189">
        <v>112911.75</v>
      </c>
      <c r="I4" s="190"/>
      <c r="J4" s="191"/>
    </row>
    <row r="5">
      <c r="A5" s="183" t="s">
        <v>498</v>
      </c>
      <c r="B5" s="184" t="s">
        <v>1143</v>
      </c>
      <c r="C5" s="185" t="s">
        <v>1134</v>
      </c>
      <c r="D5" s="187" t="s">
        <v>1145</v>
      </c>
      <c r="E5" s="185" t="s">
        <v>1151</v>
      </c>
      <c r="F5" s="188" t="s">
        <v>1152</v>
      </c>
      <c r="G5" s="189">
        <v>250000.0</v>
      </c>
      <c r="H5" s="189" t="s">
        <v>1153</v>
      </c>
      <c r="I5" s="190"/>
      <c r="J5" s="191"/>
    </row>
    <row r="6">
      <c r="A6" s="183" t="s">
        <v>1154</v>
      </c>
      <c r="B6" s="184" t="s">
        <v>1155</v>
      </c>
      <c r="C6" s="185" t="s">
        <v>1134</v>
      </c>
      <c r="D6" s="187" t="s">
        <v>1156</v>
      </c>
      <c r="E6" s="185" t="s">
        <v>1159</v>
      </c>
      <c r="F6" s="188" t="s">
        <v>1161</v>
      </c>
      <c r="G6" s="189">
        <v>400000.0</v>
      </c>
      <c r="H6" s="189">
        <v>56774.0</v>
      </c>
      <c r="I6" s="190"/>
      <c r="J6" s="191"/>
    </row>
    <row r="7">
      <c r="A7" s="183" t="s">
        <v>670</v>
      </c>
      <c r="B7" s="184" t="s">
        <v>1163</v>
      </c>
      <c r="C7" s="185" t="s">
        <v>1122</v>
      </c>
      <c r="D7" s="187" t="s">
        <v>1165</v>
      </c>
      <c r="E7" s="185" t="s">
        <v>1151</v>
      </c>
      <c r="F7" s="188" t="s">
        <v>1167</v>
      </c>
      <c r="G7" s="189">
        <v>250000.0</v>
      </c>
      <c r="H7" s="194">
        <v>73762.0</v>
      </c>
      <c r="I7" s="190"/>
      <c r="J7" s="191"/>
    </row>
    <row r="8">
      <c r="A8" s="183" t="s">
        <v>1170</v>
      </c>
      <c r="B8" s="184" t="s">
        <v>1171</v>
      </c>
      <c r="C8" s="185" t="s">
        <v>1172</v>
      </c>
      <c r="D8" s="187" t="s">
        <v>1173</v>
      </c>
      <c r="E8" s="185" t="s">
        <v>1180</v>
      </c>
      <c r="F8" s="188" t="s">
        <v>1183</v>
      </c>
      <c r="G8" s="189">
        <v>68905.0</v>
      </c>
      <c r="H8" s="189">
        <v>11000.0</v>
      </c>
      <c r="I8" s="190"/>
      <c r="J8" s="191"/>
    </row>
    <row r="9">
      <c r="A9" s="183" t="s">
        <v>1184</v>
      </c>
      <c r="B9" s="184" t="s">
        <v>1185</v>
      </c>
      <c r="C9" s="185" t="s">
        <v>1172</v>
      </c>
      <c r="D9" s="187" t="s">
        <v>1173</v>
      </c>
      <c r="E9" s="185" t="s">
        <v>1180</v>
      </c>
      <c r="F9" s="188"/>
      <c r="G9" s="189">
        <v>87568.0</v>
      </c>
      <c r="H9" s="189">
        <v>14375.0</v>
      </c>
      <c r="I9" s="190"/>
      <c r="J9" s="197"/>
      <c r="K9" s="197"/>
    </row>
    <row r="10">
      <c r="A10" s="183" t="s">
        <v>1154</v>
      </c>
      <c r="B10" s="184" t="s">
        <v>1185</v>
      </c>
      <c r="C10" s="185" t="s">
        <v>1172</v>
      </c>
      <c r="D10" s="187" t="s">
        <v>1173</v>
      </c>
      <c r="E10" s="185" t="s">
        <v>1180</v>
      </c>
      <c r="F10" s="188"/>
      <c r="G10" s="189">
        <v>92935.0</v>
      </c>
      <c r="H10" s="189">
        <v>14375.0</v>
      </c>
      <c r="I10" s="190"/>
      <c r="J10" s="197"/>
      <c r="K10" s="197"/>
    </row>
    <row r="11">
      <c r="A11" s="183" t="s">
        <v>1192</v>
      </c>
      <c r="B11" s="184" t="s">
        <v>1194</v>
      </c>
      <c r="C11" s="185"/>
      <c r="D11" s="187" t="s">
        <v>1195</v>
      </c>
      <c r="E11" s="185" t="s">
        <v>1203</v>
      </c>
      <c r="F11" s="188" t="s">
        <v>1204</v>
      </c>
      <c r="G11" s="199" t="s">
        <v>1205</v>
      </c>
      <c r="H11" s="199"/>
      <c r="I11" s="190"/>
      <c r="J11" s="197"/>
      <c r="K11" s="197"/>
    </row>
    <row r="12">
      <c r="A12" s="183" t="s">
        <v>1192</v>
      </c>
      <c r="B12" s="185" t="s">
        <v>1206</v>
      </c>
      <c r="C12" s="185"/>
      <c r="D12" s="187" t="s">
        <v>1207</v>
      </c>
      <c r="E12" s="185" t="s">
        <v>1151</v>
      </c>
      <c r="F12" s="188" t="s">
        <v>1214</v>
      </c>
      <c r="G12" s="199"/>
      <c r="H12" s="201"/>
    </row>
    <row r="13">
      <c r="A13" s="183" t="s">
        <v>511</v>
      </c>
      <c r="B13" s="185" t="s">
        <v>1215</v>
      </c>
      <c r="C13" s="202"/>
      <c r="D13" s="204" t="s">
        <v>1216</v>
      </c>
      <c r="E13" s="204" t="s">
        <v>1219</v>
      </c>
      <c r="F13" s="188" t="s">
        <v>1224</v>
      </c>
      <c r="G13" s="199"/>
      <c r="H13" s="201"/>
    </row>
    <row r="14">
      <c r="A14" s="183" t="s">
        <v>511</v>
      </c>
      <c r="B14" s="185" t="s">
        <v>1225</v>
      </c>
      <c r="C14" s="185"/>
      <c r="D14" s="187" t="s">
        <v>1226</v>
      </c>
      <c r="E14" s="185" t="s">
        <v>1151</v>
      </c>
      <c r="F14" s="188" t="s">
        <v>1235</v>
      </c>
      <c r="G14" s="199"/>
      <c r="H14" s="201"/>
    </row>
    <row r="15">
      <c r="A15" s="183" t="s">
        <v>189</v>
      </c>
      <c r="B15" s="185" t="s">
        <v>1239</v>
      </c>
      <c r="C15" s="185"/>
      <c r="D15" s="187" t="s">
        <v>1240</v>
      </c>
      <c r="E15" s="185" t="s">
        <v>1242</v>
      </c>
      <c r="F15" s="206" t="s">
        <v>1243</v>
      </c>
      <c r="G15" s="207"/>
      <c r="H15" s="201"/>
    </row>
    <row r="16">
      <c r="A16" s="183" t="s">
        <v>1255</v>
      </c>
      <c r="B16" s="185" t="s">
        <v>1256</v>
      </c>
      <c r="C16" s="184"/>
      <c r="D16" s="215" t="s">
        <v>1257</v>
      </c>
      <c r="E16" s="184" t="s">
        <v>1264</v>
      </c>
      <c r="F16" s="206" t="s">
        <v>1265</v>
      </c>
      <c r="G16" s="207"/>
      <c r="H16" s="201"/>
    </row>
    <row r="17">
      <c r="A17" s="183" t="s">
        <v>553</v>
      </c>
      <c r="B17" s="185" t="s">
        <v>1270</v>
      </c>
      <c r="C17" s="185"/>
      <c r="D17" s="187" t="s">
        <v>1271</v>
      </c>
      <c r="E17" s="185" t="s">
        <v>1242</v>
      </c>
      <c r="F17" s="206" t="s">
        <v>1276</v>
      </c>
      <c r="G17" s="207"/>
      <c r="H17" s="201"/>
    </row>
    <row r="18">
      <c r="A18" s="183" t="s">
        <v>703</v>
      </c>
      <c r="B18" s="185" t="s">
        <v>1289</v>
      </c>
      <c r="C18" s="184"/>
      <c r="D18" s="215" t="s">
        <v>1291</v>
      </c>
      <c r="E18" s="184" t="s">
        <v>1264</v>
      </c>
      <c r="F18" s="206" t="s">
        <v>1296</v>
      </c>
      <c r="G18" s="207"/>
      <c r="H18" s="201"/>
    </row>
    <row r="19">
      <c r="A19" s="183" t="s">
        <v>1297</v>
      </c>
      <c r="B19" s="185" t="s">
        <v>1298</v>
      </c>
      <c r="C19" s="184"/>
      <c r="D19" s="215" t="s">
        <v>1300</v>
      </c>
      <c r="E19" s="184" t="s">
        <v>1264</v>
      </c>
      <c r="F19" s="188" t="s">
        <v>1309</v>
      </c>
      <c r="G19" s="199"/>
      <c r="H19" s="201"/>
    </row>
    <row r="20">
      <c r="A20" s="183" t="s">
        <v>1310</v>
      </c>
      <c r="B20" s="185" t="s">
        <v>1311</v>
      </c>
      <c r="C20" s="184"/>
      <c r="D20" s="215" t="s">
        <v>1312</v>
      </c>
      <c r="E20" s="184" t="s">
        <v>1264</v>
      </c>
      <c r="F20" s="219" t="s">
        <v>1325</v>
      </c>
      <c r="G20" s="220"/>
      <c r="H20" s="201"/>
    </row>
    <row r="21">
      <c r="A21" s="183" t="s">
        <v>1336</v>
      </c>
      <c r="B21" s="185" t="s">
        <v>1338</v>
      </c>
      <c r="C21" s="184"/>
      <c r="D21" s="215" t="s">
        <v>1339</v>
      </c>
      <c r="E21" s="184" t="s">
        <v>1264</v>
      </c>
      <c r="F21" s="219" t="s">
        <v>1352</v>
      </c>
      <c r="G21" s="220"/>
      <c r="H21" s="201"/>
    </row>
    <row r="22">
      <c r="A22" s="221"/>
      <c r="B22" s="222"/>
      <c r="C22" s="223"/>
      <c r="D22" s="223"/>
      <c r="E22" s="223"/>
      <c r="F22" s="224"/>
      <c r="G22" s="225"/>
      <c r="H22" s="201"/>
    </row>
    <row r="23">
      <c r="F23" s="226"/>
      <c r="G23" s="227"/>
      <c r="H23" s="201"/>
    </row>
    <row r="24">
      <c r="F24" s="226"/>
      <c r="G24" s="227"/>
      <c r="H24" s="201"/>
    </row>
    <row r="25">
      <c r="F25" s="226"/>
      <c r="G25" s="227"/>
      <c r="H25" s="201"/>
    </row>
    <row r="26">
      <c r="F26" s="226"/>
      <c r="G26" s="227"/>
      <c r="H26" s="201"/>
    </row>
    <row r="27">
      <c r="F27" s="226"/>
      <c r="G27" s="227"/>
      <c r="H27" s="201"/>
    </row>
    <row r="28">
      <c r="F28" s="226"/>
      <c r="G28" s="227"/>
      <c r="H28" s="201"/>
    </row>
    <row r="29">
      <c r="F29" s="226"/>
      <c r="G29" s="227"/>
      <c r="H29" s="201"/>
    </row>
    <row r="30">
      <c r="F30" s="226"/>
      <c r="G30" s="227"/>
      <c r="H30" s="201"/>
    </row>
    <row r="31">
      <c r="F31" s="226"/>
      <c r="G31" s="227"/>
      <c r="H31" s="201"/>
    </row>
    <row r="32">
      <c r="F32" s="226"/>
      <c r="G32" s="227"/>
      <c r="H32" s="201"/>
    </row>
    <row r="33">
      <c r="F33" s="226"/>
      <c r="G33" s="227"/>
      <c r="H33" s="201"/>
    </row>
    <row r="34">
      <c r="F34" s="226"/>
      <c r="G34" s="227"/>
      <c r="H34" s="201"/>
    </row>
    <row r="35">
      <c r="F35" s="226"/>
      <c r="G35" s="227"/>
      <c r="H35" s="201"/>
    </row>
    <row r="36">
      <c r="F36" s="226"/>
      <c r="G36" s="227"/>
      <c r="H36" s="201"/>
    </row>
    <row r="37">
      <c r="F37" s="226"/>
      <c r="G37" s="227"/>
      <c r="H37" s="201"/>
    </row>
    <row r="38">
      <c r="F38" s="226"/>
      <c r="G38" s="227"/>
      <c r="H38" s="201"/>
    </row>
    <row r="39">
      <c r="F39" s="226"/>
      <c r="G39" s="227"/>
      <c r="H39" s="201"/>
    </row>
    <row r="40">
      <c r="F40" s="226"/>
      <c r="G40" s="227"/>
      <c r="H40" s="201"/>
    </row>
    <row r="41">
      <c r="F41" s="226"/>
      <c r="G41" s="227"/>
      <c r="H41" s="201"/>
    </row>
    <row r="42">
      <c r="F42" s="226"/>
      <c r="G42" s="227"/>
      <c r="H42" s="201"/>
    </row>
    <row r="43">
      <c r="F43" s="226"/>
      <c r="G43" s="227"/>
      <c r="H43" s="201"/>
    </row>
    <row r="44">
      <c r="F44" s="226"/>
      <c r="G44" s="227"/>
      <c r="H44" s="201"/>
    </row>
    <row r="45">
      <c r="F45" s="226"/>
      <c r="G45" s="227"/>
      <c r="H45" s="201"/>
    </row>
    <row r="46">
      <c r="F46" s="226"/>
      <c r="G46" s="227"/>
      <c r="H46" s="201"/>
    </row>
    <row r="47">
      <c r="F47" s="226"/>
      <c r="G47" s="227"/>
      <c r="H47" s="201"/>
    </row>
    <row r="48">
      <c r="F48" s="226"/>
      <c r="G48" s="227"/>
      <c r="H48" s="201"/>
    </row>
    <row r="49">
      <c r="F49" s="226"/>
      <c r="G49" s="227"/>
      <c r="H49" s="201"/>
    </row>
    <row r="50">
      <c r="F50" s="226"/>
      <c r="G50" s="227"/>
      <c r="H50" s="201"/>
    </row>
    <row r="51">
      <c r="F51" s="226"/>
      <c r="G51" s="227"/>
      <c r="H51" s="201"/>
    </row>
    <row r="52">
      <c r="F52" s="226"/>
      <c r="G52" s="227"/>
      <c r="H52" s="201"/>
    </row>
    <row r="53">
      <c r="F53" s="226"/>
      <c r="G53" s="227"/>
      <c r="H53" s="201"/>
    </row>
    <row r="54">
      <c r="F54" s="226"/>
      <c r="G54" s="227"/>
      <c r="H54" s="201"/>
    </row>
    <row r="55">
      <c r="F55" s="226"/>
      <c r="G55" s="227"/>
      <c r="H55" s="201"/>
    </row>
    <row r="56">
      <c r="F56" s="226"/>
      <c r="G56" s="227"/>
      <c r="H56" s="201"/>
    </row>
    <row r="57">
      <c r="F57" s="226"/>
      <c r="G57" s="227"/>
      <c r="H57" s="201"/>
    </row>
    <row r="58">
      <c r="F58" s="226"/>
      <c r="G58" s="227"/>
      <c r="H58" s="201"/>
    </row>
    <row r="59">
      <c r="F59" s="226"/>
      <c r="G59" s="227"/>
      <c r="H59" s="201"/>
    </row>
    <row r="60">
      <c r="F60" s="226"/>
      <c r="G60" s="227"/>
      <c r="H60" s="201"/>
    </row>
    <row r="61">
      <c r="F61" s="226"/>
      <c r="G61" s="227"/>
      <c r="H61" s="201"/>
    </row>
    <row r="62">
      <c r="F62" s="226"/>
      <c r="G62" s="227"/>
      <c r="H62" s="201"/>
    </row>
    <row r="63">
      <c r="F63" s="226"/>
      <c r="G63" s="227"/>
      <c r="H63" s="201"/>
    </row>
    <row r="64">
      <c r="F64" s="226"/>
      <c r="G64" s="227"/>
      <c r="H64" s="201"/>
    </row>
    <row r="65">
      <c r="F65" s="226"/>
      <c r="G65" s="227"/>
      <c r="H65" s="201"/>
    </row>
    <row r="66">
      <c r="F66" s="226"/>
      <c r="G66" s="227"/>
      <c r="H66" s="201"/>
    </row>
    <row r="67">
      <c r="F67" s="226"/>
      <c r="G67" s="227"/>
      <c r="H67" s="201"/>
    </row>
    <row r="68">
      <c r="F68" s="226"/>
      <c r="G68" s="227"/>
      <c r="H68" s="201"/>
    </row>
    <row r="69">
      <c r="F69" s="226"/>
      <c r="G69" s="227"/>
      <c r="H69" s="201"/>
    </row>
    <row r="70">
      <c r="F70" s="226"/>
      <c r="G70" s="227"/>
      <c r="H70" s="201"/>
    </row>
    <row r="71">
      <c r="F71" s="226"/>
      <c r="G71" s="227"/>
      <c r="H71" s="201"/>
    </row>
    <row r="72">
      <c r="F72" s="226"/>
      <c r="G72" s="227"/>
      <c r="H72" s="201"/>
    </row>
    <row r="73">
      <c r="F73" s="226"/>
      <c r="G73" s="227"/>
      <c r="H73" s="201"/>
    </row>
    <row r="74">
      <c r="F74" s="226"/>
      <c r="G74" s="227"/>
      <c r="H74" s="201"/>
    </row>
    <row r="75">
      <c r="F75" s="226"/>
      <c r="G75" s="227"/>
      <c r="H75" s="201"/>
    </row>
    <row r="76">
      <c r="F76" s="226"/>
      <c r="G76" s="227"/>
      <c r="H76" s="201"/>
    </row>
    <row r="77">
      <c r="F77" s="226"/>
      <c r="G77" s="227"/>
      <c r="H77" s="201"/>
    </row>
    <row r="78">
      <c r="F78" s="226"/>
      <c r="G78" s="227"/>
      <c r="H78" s="201"/>
    </row>
    <row r="79">
      <c r="F79" s="226"/>
      <c r="G79" s="227"/>
      <c r="H79" s="201"/>
    </row>
    <row r="80">
      <c r="F80" s="226"/>
      <c r="G80" s="227"/>
      <c r="H80" s="201"/>
    </row>
    <row r="81">
      <c r="F81" s="226"/>
      <c r="G81" s="227"/>
      <c r="H81" s="201"/>
    </row>
    <row r="82">
      <c r="F82" s="226"/>
      <c r="G82" s="227"/>
      <c r="H82" s="201"/>
    </row>
    <row r="83">
      <c r="F83" s="226"/>
      <c r="G83" s="227"/>
      <c r="H83" s="201"/>
    </row>
    <row r="84">
      <c r="F84" s="226"/>
      <c r="G84" s="227"/>
      <c r="H84" s="201"/>
    </row>
    <row r="85">
      <c r="F85" s="226"/>
      <c r="G85" s="227"/>
      <c r="H85" s="201"/>
    </row>
    <row r="86">
      <c r="F86" s="226"/>
      <c r="G86" s="227"/>
      <c r="H86" s="201"/>
    </row>
    <row r="87">
      <c r="F87" s="226"/>
      <c r="G87" s="227"/>
      <c r="H87" s="201"/>
    </row>
    <row r="88">
      <c r="F88" s="226"/>
      <c r="G88" s="227"/>
      <c r="H88" s="201"/>
    </row>
    <row r="89">
      <c r="F89" s="226"/>
      <c r="G89" s="227"/>
      <c r="H89" s="201"/>
    </row>
    <row r="90">
      <c r="F90" s="226"/>
      <c r="G90" s="227"/>
      <c r="H90" s="201"/>
    </row>
    <row r="91">
      <c r="F91" s="226"/>
      <c r="G91" s="227"/>
      <c r="H91" s="201"/>
    </row>
    <row r="92">
      <c r="F92" s="226"/>
      <c r="G92" s="227"/>
      <c r="H92" s="201"/>
    </row>
    <row r="93">
      <c r="F93" s="226"/>
      <c r="G93" s="227"/>
      <c r="H93" s="201"/>
    </row>
    <row r="94">
      <c r="F94" s="226"/>
      <c r="G94" s="227"/>
      <c r="H94" s="201"/>
    </row>
    <row r="95">
      <c r="F95" s="226"/>
      <c r="G95" s="227"/>
      <c r="H95" s="201"/>
    </row>
    <row r="96">
      <c r="F96" s="226"/>
      <c r="G96" s="227"/>
      <c r="H96" s="201"/>
    </row>
    <row r="97">
      <c r="F97" s="226"/>
      <c r="G97" s="227"/>
      <c r="H97" s="201"/>
    </row>
    <row r="98">
      <c r="F98" s="226"/>
      <c r="G98" s="227"/>
      <c r="H98" s="201"/>
    </row>
    <row r="99">
      <c r="F99" s="226"/>
      <c r="G99" s="227"/>
      <c r="H99" s="201"/>
    </row>
    <row r="100">
      <c r="F100" s="226"/>
      <c r="G100" s="227"/>
      <c r="H100" s="201"/>
    </row>
    <row r="101">
      <c r="F101" s="226"/>
      <c r="G101" s="227"/>
      <c r="H101" s="201"/>
    </row>
    <row r="102">
      <c r="F102" s="226"/>
      <c r="G102" s="227"/>
      <c r="H102" s="201"/>
    </row>
    <row r="103">
      <c r="F103" s="226"/>
      <c r="G103" s="227"/>
      <c r="H103" s="201"/>
    </row>
    <row r="104">
      <c r="F104" s="226"/>
      <c r="G104" s="227"/>
      <c r="H104" s="201"/>
    </row>
    <row r="105">
      <c r="F105" s="226"/>
      <c r="G105" s="227"/>
      <c r="H105" s="201"/>
    </row>
    <row r="106">
      <c r="F106" s="226"/>
      <c r="G106" s="227"/>
      <c r="H106" s="201"/>
    </row>
    <row r="107">
      <c r="F107" s="226"/>
      <c r="G107" s="227"/>
      <c r="H107" s="201"/>
    </row>
    <row r="108">
      <c r="F108" s="226"/>
      <c r="G108" s="227"/>
      <c r="H108" s="201"/>
    </row>
    <row r="109">
      <c r="F109" s="226"/>
      <c r="G109" s="227"/>
      <c r="H109" s="201"/>
    </row>
    <row r="110">
      <c r="F110" s="226"/>
      <c r="G110" s="227"/>
      <c r="H110" s="201"/>
    </row>
    <row r="111">
      <c r="F111" s="226"/>
      <c r="G111" s="227"/>
      <c r="H111" s="201"/>
    </row>
    <row r="112">
      <c r="F112" s="226"/>
      <c r="G112" s="227"/>
      <c r="H112" s="201"/>
    </row>
    <row r="113">
      <c r="F113" s="226"/>
      <c r="G113" s="227"/>
      <c r="H113" s="201"/>
    </row>
    <row r="114">
      <c r="F114" s="226"/>
      <c r="G114" s="227"/>
      <c r="H114" s="201"/>
    </row>
    <row r="115">
      <c r="F115" s="226"/>
      <c r="G115" s="227"/>
      <c r="H115" s="201"/>
    </row>
    <row r="116">
      <c r="F116" s="226"/>
      <c r="G116" s="227"/>
      <c r="H116" s="201"/>
    </row>
    <row r="117">
      <c r="F117" s="226"/>
      <c r="G117" s="227"/>
      <c r="H117" s="201"/>
    </row>
    <row r="118">
      <c r="F118" s="226"/>
      <c r="G118" s="227"/>
      <c r="H118" s="201"/>
    </row>
    <row r="119">
      <c r="F119" s="226"/>
      <c r="G119" s="227"/>
      <c r="H119" s="201"/>
    </row>
    <row r="120">
      <c r="F120" s="226"/>
      <c r="G120" s="227"/>
      <c r="H120" s="201"/>
    </row>
    <row r="121">
      <c r="F121" s="226"/>
      <c r="G121" s="227"/>
      <c r="H121" s="201"/>
    </row>
    <row r="122">
      <c r="F122" s="226"/>
      <c r="G122" s="227"/>
      <c r="H122" s="201"/>
    </row>
    <row r="123">
      <c r="F123" s="226"/>
      <c r="G123" s="227"/>
      <c r="H123" s="201"/>
    </row>
    <row r="124">
      <c r="F124" s="226"/>
      <c r="G124" s="227"/>
      <c r="H124" s="201"/>
    </row>
    <row r="125">
      <c r="F125" s="226"/>
      <c r="G125" s="227"/>
      <c r="H125" s="201"/>
    </row>
    <row r="126">
      <c r="F126" s="226"/>
      <c r="G126" s="227"/>
      <c r="H126" s="201"/>
    </row>
    <row r="127">
      <c r="F127" s="226"/>
      <c r="G127" s="227"/>
      <c r="H127" s="201"/>
    </row>
    <row r="128">
      <c r="F128" s="226"/>
      <c r="G128" s="227"/>
      <c r="H128" s="201"/>
    </row>
    <row r="129">
      <c r="F129" s="226"/>
      <c r="G129" s="227"/>
      <c r="H129" s="201"/>
    </row>
    <row r="130">
      <c r="F130" s="226"/>
      <c r="G130" s="227"/>
      <c r="H130" s="201"/>
    </row>
    <row r="131">
      <c r="F131" s="226"/>
      <c r="G131" s="227"/>
      <c r="H131" s="201"/>
    </row>
    <row r="132">
      <c r="F132" s="226"/>
      <c r="G132" s="227"/>
      <c r="H132" s="201"/>
    </row>
    <row r="133">
      <c r="F133" s="226"/>
      <c r="G133" s="227"/>
      <c r="H133" s="201"/>
    </row>
    <row r="134">
      <c r="F134" s="226"/>
      <c r="G134" s="227"/>
      <c r="H134" s="201"/>
    </row>
    <row r="135">
      <c r="F135" s="226"/>
      <c r="G135" s="227"/>
      <c r="H135" s="201"/>
    </row>
    <row r="136">
      <c r="F136" s="226"/>
      <c r="G136" s="227"/>
      <c r="H136" s="201"/>
    </row>
    <row r="137">
      <c r="F137" s="226"/>
      <c r="G137" s="227"/>
      <c r="H137" s="201"/>
    </row>
    <row r="138">
      <c r="F138" s="226"/>
      <c r="G138" s="227"/>
      <c r="H138" s="201"/>
    </row>
    <row r="139">
      <c r="F139" s="226"/>
      <c r="G139" s="227"/>
      <c r="H139" s="201"/>
    </row>
    <row r="140">
      <c r="F140" s="226"/>
      <c r="G140" s="227"/>
      <c r="H140" s="201"/>
    </row>
    <row r="141">
      <c r="F141" s="226"/>
      <c r="G141" s="227"/>
      <c r="H141" s="201"/>
    </row>
    <row r="142">
      <c r="F142" s="226"/>
      <c r="G142" s="227"/>
      <c r="H142" s="201"/>
    </row>
    <row r="143">
      <c r="F143" s="226"/>
      <c r="G143" s="227"/>
      <c r="H143" s="201"/>
    </row>
    <row r="144">
      <c r="F144" s="226"/>
      <c r="G144" s="227"/>
      <c r="H144" s="201"/>
    </row>
    <row r="145">
      <c r="F145" s="226"/>
      <c r="G145" s="227"/>
      <c r="H145" s="201"/>
    </row>
    <row r="146">
      <c r="F146" s="226"/>
      <c r="G146" s="227"/>
      <c r="H146" s="201"/>
    </row>
    <row r="147">
      <c r="F147" s="226"/>
      <c r="G147" s="227"/>
      <c r="H147" s="201"/>
    </row>
    <row r="148">
      <c r="F148" s="226"/>
      <c r="G148" s="227"/>
      <c r="H148" s="201"/>
    </row>
    <row r="149">
      <c r="F149" s="226"/>
      <c r="G149" s="227"/>
      <c r="H149" s="201"/>
    </row>
    <row r="150">
      <c r="F150" s="226"/>
      <c r="G150" s="227"/>
      <c r="H150" s="201"/>
    </row>
    <row r="151">
      <c r="F151" s="226"/>
      <c r="G151" s="227"/>
      <c r="H151" s="201"/>
    </row>
    <row r="152">
      <c r="F152" s="226"/>
      <c r="G152" s="227"/>
      <c r="H152" s="201"/>
    </row>
    <row r="153">
      <c r="F153" s="226"/>
      <c r="G153" s="227"/>
      <c r="H153" s="201"/>
    </row>
    <row r="154">
      <c r="F154" s="226"/>
      <c r="G154" s="227"/>
      <c r="H154" s="201"/>
    </row>
    <row r="155">
      <c r="F155" s="226"/>
      <c r="G155" s="227"/>
      <c r="H155" s="201"/>
    </row>
    <row r="156">
      <c r="F156" s="226"/>
      <c r="G156" s="227"/>
      <c r="H156" s="201"/>
    </row>
    <row r="157">
      <c r="F157" s="226"/>
      <c r="G157" s="227"/>
      <c r="H157" s="201"/>
    </row>
    <row r="158">
      <c r="F158" s="226"/>
      <c r="G158" s="227"/>
      <c r="H158" s="201"/>
    </row>
    <row r="159">
      <c r="F159" s="226"/>
      <c r="G159" s="227"/>
      <c r="H159" s="201"/>
    </row>
    <row r="160">
      <c r="F160" s="226"/>
      <c r="G160" s="227"/>
      <c r="H160" s="201"/>
    </row>
    <row r="161">
      <c r="F161" s="226"/>
      <c r="G161" s="227"/>
      <c r="H161" s="201"/>
    </row>
    <row r="162">
      <c r="F162" s="226"/>
      <c r="G162" s="227"/>
      <c r="H162" s="201"/>
    </row>
    <row r="163">
      <c r="F163" s="226"/>
      <c r="G163" s="227"/>
      <c r="H163" s="201"/>
    </row>
    <row r="164">
      <c r="F164" s="226"/>
      <c r="G164" s="227"/>
      <c r="H164" s="201"/>
    </row>
    <row r="165">
      <c r="F165" s="226"/>
      <c r="G165" s="227"/>
      <c r="H165" s="201"/>
    </row>
    <row r="166">
      <c r="F166" s="226"/>
      <c r="G166" s="227"/>
      <c r="H166" s="201"/>
    </row>
    <row r="167">
      <c r="F167" s="226"/>
      <c r="G167" s="227"/>
      <c r="H167" s="201"/>
    </row>
    <row r="168">
      <c r="F168" s="226"/>
      <c r="G168" s="227"/>
      <c r="H168" s="201"/>
    </row>
    <row r="169">
      <c r="F169" s="226"/>
      <c r="G169" s="227"/>
      <c r="H169" s="201"/>
    </row>
    <row r="170">
      <c r="F170" s="226"/>
      <c r="G170" s="227"/>
      <c r="H170" s="201"/>
    </row>
    <row r="171">
      <c r="F171" s="226"/>
      <c r="G171" s="227"/>
      <c r="H171" s="201"/>
    </row>
    <row r="172">
      <c r="F172" s="226"/>
      <c r="G172" s="227"/>
      <c r="H172" s="201"/>
    </row>
    <row r="173">
      <c r="F173" s="226"/>
      <c r="G173" s="227"/>
      <c r="H173" s="201"/>
    </row>
    <row r="174">
      <c r="F174" s="226"/>
      <c r="G174" s="227"/>
      <c r="H174" s="201"/>
    </row>
    <row r="175">
      <c r="F175" s="226"/>
      <c r="G175" s="227"/>
      <c r="H175" s="201"/>
    </row>
    <row r="176">
      <c r="F176" s="226"/>
      <c r="G176" s="227"/>
      <c r="H176" s="201"/>
    </row>
    <row r="177">
      <c r="F177" s="226"/>
      <c r="G177" s="227"/>
      <c r="H177" s="201"/>
    </row>
    <row r="178">
      <c r="F178" s="226"/>
      <c r="G178" s="227"/>
      <c r="H178" s="201"/>
    </row>
    <row r="179">
      <c r="F179" s="226"/>
      <c r="G179" s="227"/>
      <c r="H179" s="201"/>
    </row>
    <row r="180">
      <c r="F180" s="226"/>
      <c r="G180" s="227"/>
      <c r="H180" s="201"/>
    </row>
    <row r="181">
      <c r="F181" s="226"/>
      <c r="G181" s="227"/>
      <c r="H181" s="201"/>
    </row>
    <row r="182">
      <c r="F182" s="226"/>
      <c r="G182" s="227"/>
      <c r="H182" s="201"/>
    </row>
    <row r="183">
      <c r="F183" s="226"/>
      <c r="G183" s="227"/>
      <c r="H183" s="201"/>
    </row>
    <row r="184">
      <c r="F184" s="226"/>
      <c r="G184" s="227"/>
      <c r="H184" s="201"/>
    </row>
    <row r="185">
      <c r="F185" s="226"/>
      <c r="G185" s="227"/>
      <c r="H185" s="201"/>
    </row>
    <row r="186">
      <c r="F186" s="226"/>
      <c r="G186" s="227"/>
      <c r="H186" s="201"/>
    </row>
    <row r="187">
      <c r="F187" s="226"/>
      <c r="G187" s="227"/>
      <c r="H187" s="201"/>
    </row>
    <row r="188">
      <c r="F188" s="226"/>
      <c r="G188" s="227"/>
      <c r="H188" s="201"/>
    </row>
    <row r="189">
      <c r="F189" s="226"/>
      <c r="G189" s="227"/>
      <c r="H189" s="201"/>
    </row>
    <row r="190">
      <c r="F190" s="226"/>
      <c r="G190" s="227"/>
      <c r="H190" s="201"/>
    </row>
    <row r="191">
      <c r="F191" s="226"/>
      <c r="G191" s="227"/>
      <c r="H191" s="201"/>
    </row>
    <row r="192">
      <c r="F192" s="226"/>
      <c r="G192" s="227"/>
      <c r="H192" s="201"/>
    </row>
    <row r="193">
      <c r="F193" s="226"/>
      <c r="G193" s="227"/>
      <c r="H193" s="201"/>
    </row>
    <row r="194">
      <c r="F194" s="226"/>
      <c r="G194" s="227"/>
      <c r="H194" s="201"/>
    </row>
    <row r="195">
      <c r="F195" s="226"/>
      <c r="G195" s="227"/>
      <c r="H195" s="201"/>
    </row>
    <row r="196">
      <c r="F196" s="226"/>
      <c r="G196" s="227"/>
      <c r="H196" s="201"/>
    </row>
    <row r="197">
      <c r="F197" s="226"/>
      <c r="G197" s="227"/>
      <c r="H197" s="201"/>
    </row>
    <row r="198">
      <c r="F198" s="226"/>
      <c r="G198" s="227"/>
      <c r="H198" s="201"/>
    </row>
    <row r="199">
      <c r="F199" s="226"/>
      <c r="G199" s="227"/>
      <c r="H199" s="201"/>
    </row>
    <row r="200">
      <c r="F200" s="226"/>
      <c r="G200" s="227"/>
      <c r="H200" s="201"/>
    </row>
    <row r="201">
      <c r="F201" s="226"/>
      <c r="G201" s="227"/>
      <c r="H201" s="201"/>
    </row>
    <row r="202">
      <c r="F202" s="226"/>
      <c r="G202" s="227"/>
      <c r="H202" s="201"/>
    </row>
    <row r="203">
      <c r="F203" s="226"/>
      <c r="G203" s="227"/>
      <c r="H203" s="201"/>
    </row>
    <row r="204">
      <c r="F204" s="226"/>
      <c r="G204" s="227"/>
      <c r="H204" s="201"/>
    </row>
    <row r="205">
      <c r="F205" s="226"/>
      <c r="G205" s="227"/>
      <c r="H205" s="201"/>
    </row>
    <row r="206">
      <c r="F206" s="226"/>
      <c r="G206" s="227"/>
      <c r="H206" s="201"/>
    </row>
    <row r="207">
      <c r="F207" s="226"/>
      <c r="G207" s="227"/>
      <c r="H207" s="201"/>
    </row>
    <row r="208">
      <c r="F208" s="226"/>
      <c r="G208" s="227"/>
      <c r="H208" s="201"/>
    </row>
    <row r="209">
      <c r="F209" s="226"/>
      <c r="G209" s="227"/>
      <c r="H209" s="201"/>
    </row>
    <row r="210">
      <c r="F210" s="226"/>
      <c r="G210" s="227"/>
      <c r="H210" s="201"/>
    </row>
    <row r="211">
      <c r="F211" s="226"/>
      <c r="G211" s="227"/>
      <c r="H211" s="201"/>
    </row>
    <row r="212">
      <c r="F212" s="226"/>
      <c r="G212" s="227"/>
      <c r="H212" s="201"/>
    </row>
    <row r="213">
      <c r="F213" s="226"/>
      <c r="G213" s="227"/>
      <c r="H213" s="201"/>
    </row>
    <row r="214">
      <c r="F214" s="226"/>
      <c r="G214" s="227"/>
      <c r="H214" s="201"/>
    </row>
    <row r="215">
      <c r="F215" s="226"/>
      <c r="G215" s="227"/>
      <c r="H215" s="201"/>
    </row>
    <row r="216">
      <c r="F216" s="226"/>
      <c r="G216" s="227"/>
      <c r="H216" s="201"/>
    </row>
    <row r="217">
      <c r="F217" s="226"/>
      <c r="G217" s="227"/>
      <c r="H217" s="201"/>
    </row>
    <row r="218">
      <c r="F218" s="226"/>
      <c r="G218" s="227"/>
      <c r="H218" s="201"/>
    </row>
    <row r="219">
      <c r="F219" s="226"/>
      <c r="G219" s="227"/>
      <c r="H219" s="201"/>
    </row>
    <row r="220">
      <c r="F220" s="226"/>
      <c r="G220" s="227"/>
      <c r="H220" s="201"/>
    </row>
    <row r="221">
      <c r="F221" s="226"/>
      <c r="G221" s="227"/>
      <c r="H221" s="201"/>
    </row>
    <row r="222">
      <c r="F222" s="226"/>
      <c r="G222" s="227"/>
      <c r="H222" s="201"/>
    </row>
    <row r="223">
      <c r="F223" s="226"/>
      <c r="G223" s="227"/>
      <c r="H223" s="201"/>
    </row>
    <row r="224">
      <c r="F224" s="226"/>
      <c r="G224" s="227"/>
      <c r="H224" s="201"/>
    </row>
    <row r="225">
      <c r="F225" s="226"/>
      <c r="G225" s="227"/>
      <c r="H225" s="201"/>
    </row>
    <row r="226">
      <c r="F226" s="226"/>
      <c r="G226" s="227"/>
      <c r="H226" s="201"/>
    </row>
    <row r="227">
      <c r="F227" s="226"/>
      <c r="G227" s="227"/>
      <c r="H227" s="201"/>
    </row>
    <row r="228">
      <c r="F228" s="226"/>
      <c r="G228" s="227"/>
      <c r="H228" s="201"/>
    </row>
    <row r="229">
      <c r="F229" s="226"/>
      <c r="G229" s="227"/>
      <c r="H229" s="201"/>
    </row>
    <row r="230">
      <c r="F230" s="226"/>
      <c r="G230" s="227"/>
      <c r="H230" s="201"/>
    </row>
    <row r="231">
      <c r="F231" s="226"/>
      <c r="G231" s="227"/>
      <c r="H231" s="201"/>
    </row>
    <row r="232">
      <c r="F232" s="226"/>
      <c r="G232" s="227"/>
      <c r="H232" s="201"/>
    </row>
    <row r="233">
      <c r="F233" s="226"/>
      <c r="G233" s="227"/>
      <c r="H233" s="201"/>
    </row>
    <row r="234">
      <c r="F234" s="226"/>
      <c r="G234" s="227"/>
      <c r="H234" s="201"/>
    </row>
    <row r="235">
      <c r="F235" s="226"/>
      <c r="G235" s="227"/>
      <c r="H235" s="201"/>
    </row>
    <row r="236">
      <c r="F236" s="226"/>
      <c r="G236" s="227"/>
      <c r="H236" s="201"/>
    </row>
    <row r="237">
      <c r="F237" s="226"/>
      <c r="G237" s="227"/>
      <c r="H237" s="201"/>
    </row>
    <row r="238">
      <c r="F238" s="226"/>
      <c r="G238" s="227"/>
      <c r="H238" s="201"/>
    </row>
    <row r="239">
      <c r="F239" s="226"/>
      <c r="G239" s="227"/>
      <c r="H239" s="201"/>
    </row>
    <row r="240">
      <c r="F240" s="226"/>
      <c r="G240" s="227"/>
      <c r="H240" s="201"/>
    </row>
    <row r="241">
      <c r="F241" s="226"/>
      <c r="G241" s="227"/>
      <c r="H241" s="201"/>
    </row>
    <row r="242">
      <c r="F242" s="226"/>
      <c r="G242" s="227"/>
      <c r="H242" s="201"/>
    </row>
    <row r="243">
      <c r="F243" s="226"/>
      <c r="G243" s="227"/>
      <c r="H243" s="201"/>
    </row>
    <row r="244">
      <c r="F244" s="226"/>
      <c r="G244" s="227"/>
      <c r="H244" s="201"/>
    </row>
    <row r="245">
      <c r="F245" s="226"/>
      <c r="G245" s="227"/>
      <c r="H245" s="201"/>
    </row>
    <row r="246">
      <c r="F246" s="226"/>
      <c r="G246" s="227"/>
      <c r="H246" s="201"/>
    </row>
    <row r="247">
      <c r="F247" s="226"/>
      <c r="G247" s="227"/>
      <c r="H247" s="201"/>
    </row>
    <row r="248">
      <c r="F248" s="226"/>
      <c r="G248" s="227"/>
      <c r="H248" s="201"/>
    </row>
    <row r="249">
      <c r="F249" s="226"/>
      <c r="G249" s="227"/>
      <c r="H249" s="201"/>
    </row>
    <row r="250">
      <c r="F250" s="226"/>
      <c r="G250" s="227"/>
      <c r="H250" s="201"/>
    </row>
    <row r="251">
      <c r="F251" s="226"/>
      <c r="G251" s="227"/>
      <c r="H251" s="201"/>
    </row>
    <row r="252">
      <c r="F252" s="226"/>
      <c r="G252" s="227"/>
      <c r="H252" s="201"/>
    </row>
    <row r="253">
      <c r="F253" s="226"/>
      <c r="G253" s="227"/>
      <c r="H253" s="201"/>
    </row>
    <row r="254">
      <c r="F254" s="226"/>
      <c r="G254" s="227"/>
      <c r="H254" s="201"/>
    </row>
    <row r="255">
      <c r="F255" s="226"/>
      <c r="G255" s="227"/>
      <c r="H255" s="201"/>
    </row>
    <row r="256">
      <c r="F256" s="226"/>
      <c r="G256" s="227"/>
      <c r="H256" s="201"/>
    </row>
    <row r="257">
      <c r="F257" s="226"/>
      <c r="G257" s="227"/>
      <c r="H257" s="201"/>
    </row>
    <row r="258">
      <c r="F258" s="226"/>
      <c r="G258" s="227"/>
      <c r="H258" s="201"/>
    </row>
    <row r="259">
      <c r="F259" s="226"/>
      <c r="G259" s="227"/>
      <c r="H259" s="201"/>
    </row>
    <row r="260">
      <c r="F260" s="226"/>
      <c r="G260" s="227"/>
      <c r="H260" s="201"/>
    </row>
    <row r="261">
      <c r="F261" s="226"/>
      <c r="G261" s="227"/>
      <c r="H261" s="201"/>
    </row>
    <row r="262">
      <c r="F262" s="226"/>
      <c r="G262" s="227"/>
      <c r="H262" s="201"/>
    </row>
    <row r="263">
      <c r="F263" s="226"/>
      <c r="G263" s="227"/>
      <c r="H263" s="201"/>
    </row>
    <row r="264">
      <c r="F264" s="226"/>
      <c r="G264" s="227"/>
      <c r="H264" s="201"/>
    </row>
    <row r="265">
      <c r="F265" s="226"/>
      <c r="G265" s="227"/>
      <c r="H265" s="201"/>
    </row>
    <row r="266">
      <c r="F266" s="226"/>
      <c r="G266" s="227"/>
      <c r="H266" s="201"/>
    </row>
    <row r="267">
      <c r="F267" s="226"/>
      <c r="G267" s="227"/>
      <c r="H267" s="201"/>
    </row>
    <row r="268">
      <c r="F268" s="226"/>
      <c r="G268" s="227"/>
      <c r="H268" s="201"/>
    </row>
    <row r="269">
      <c r="F269" s="226"/>
      <c r="G269" s="227"/>
      <c r="H269" s="201"/>
    </row>
    <row r="270">
      <c r="F270" s="226"/>
      <c r="G270" s="227"/>
      <c r="H270" s="201"/>
    </row>
    <row r="271">
      <c r="F271" s="226"/>
      <c r="G271" s="227"/>
      <c r="H271" s="201"/>
    </row>
    <row r="272">
      <c r="F272" s="226"/>
      <c r="G272" s="227"/>
      <c r="H272" s="201"/>
    </row>
    <row r="273">
      <c r="F273" s="226"/>
      <c r="G273" s="227"/>
      <c r="H273" s="201"/>
    </row>
    <row r="274">
      <c r="F274" s="226"/>
      <c r="G274" s="227"/>
      <c r="H274" s="201"/>
    </row>
    <row r="275">
      <c r="F275" s="226"/>
      <c r="G275" s="227"/>
      <c r="H275" s="201"/>
    </row>
    <row r="276">
      <c r="F276" s="226"/>
      <c r="G276" s="227"/>
      <c r="H276" s="201"/>
    </row>
    <row r="277">
      <c r="F277" s="226"/>
      <c r="G277" s="227"/>
      <c r="H277" s="201"/>
    </row>
    <row r="278">
      <c r="F278" s="226"/>
      <c r="G278" s="227"/>
      <c r="H278" s="201"/>
    </row>
    <row r="279">
      <c r="F279" s="226"/>
      <c r="G279" s="227"/>
      <c r="H279" s="201"/>
    </row>
    <row r="280">
      <c r="F280" s="226"/>
      <c r="G280" s="227"/>
      <c r="H280" s="201"/>
    </row>
    <row r="281">
      <c r="F281" s="226"/>
      <c r="G281" s="227"/>
      <c r="H281" s="201"/>
    </row>
    <row r="282">
      <c r="F282" s="226"/>
      <c r="G282" s="227"/>
      <c r="H282" s="201"/>
    </row>
    <row r="283">
      <c r="F283" s="226"/>
      <c r="G283" s="227"/>
      <c r="H283" s="201"/>
    </row>
    <row r="284">
      <c r="F284" s="226"/>
      <c r="G284" s="227"/>
      <c r="H284" s="201"/>
    </row>
    <row r="285">
      <c r="F285" s="226"/>
      <c r="G285" s="227"/>
      <c r="H285" s="201"/>
    </row>
    <row r="286">
      <c r="F286" s="226"/>
      <c r="G286" s="227"/>
      <c r="H286" s="201"/>
    </row>
    <row r="287">
      <c r="F287" s="226"/>
      <c r="G287" s="227"/>
      <c r="H287" s="201"/>
    </row>
    <row r="288">
      <c r="F288" s="226"/>
      <c r="G288" s="227"/>
      <c r="H288" s="201"/>
    </row>
    <row r="289">
      <c r="F289" s="226"/>
      <c r="G289" s="227"/>
      <c r="H289" s="201"/>
    </row>
    <row r="290">
      <c r="F290" s="226"/>
      <c r="G290" s="227"/>
      <c r="H290" s="201"/>
    </row>
    <row r="291">
      <c r="F291" s="226"/>
      <c r="G291" s="227"/>
      <c r="H291" s="201"/>
    </row>
    <row r="292">
      <c r="F292" s="226"/>
      <c r="G292" s="227"/>
      <c r="H292" s="201"/>
    </row>
    <row r="293">
      <c r="F293" s="226"/>
      <c r="G293" s="227"/>
      <c r="H293" s="201"/>
    </row>
    <row r="294">
      <c r="F294" s="226"/>
      <c r="G294" s="227"/>
      <c r="H294" s="201"/>
    </row>
    <row r="295">
      <c r="F295" s="226"/>
      <c r="G295" s="227"/>
      <c r="H295" s="201"/>
    </row>
    <row r="296">
      <c r="F296" s="226"/>
      <c r="G296" s="227"/>
      <c r="H296" s="201"/>
    </row>
    <row r="297">
      <c r="F297" s="226"/>
      <c r="G297" s="227"/>
      <c r="H297" s="201"/>
    </row>
    <row r="298">
      <c r="F298" s="226"/>
      <c r="G298" s="227"/>
      <c r="H298" s="201"/>
    </row>
    <row r="299">
      <c r="F299" s="226"/>
      <c r="G299" s="227"/>
      <c r="H299" s="201"/>
    </row>
    <row r="300">
      <c r="F300" s="226"/>
      <c r="G300" s="227"/>
      <c r="H300" s="201"/>
    </row>
    <row r="301">
      <c r="F301" s="226"/>
      <c r="G301" s="227"/>
      <c r="H301" s="201"/>
    </row>
    <row r="302">
      <c r="F302" s="226"/>
      <c r="G302" s="227"/>
      <c r="H302" s="201"/>
    </row>
    <row r="303">
      <c r="F303" s="226"/>
      <c r="G303" s="227"/>
      <c r="H303" s="201"/>
    </row>
    <row r="304">
      <c r="F304" s="226"/>
      <c r="G304" s="227"/>
      <c r="H304" s="201"/>
    </row>
    <row r="305">
      <c r="F305" s="226"/>
      <c r="G305" s="227"/>
      <c r="H305" s="201"/>
    </row>
    <row r="306">
      <c r="F306" s="226"/>
      <c r="G306" s="227"/>
      <c r="H306" s="201"/>
    </row>
    <row r="307">
      <c r="F307" s="226"/>
      <c r="G307" s="227"/>
      <c r="H307" s="201"/>
    </row>
    <row r="308">
      <c r="F308" s="226"/>
      <c r="G308" s="227"/>
      <c r="H308" s="201"/>
    </row>
    <row r="309">
      <c r="F309" s="226"/>
      <c r="G309" s="227"/>
      <c r="H309" s="201"/>
    </row>
    <row r="310">
      <c r="F310" s="226"/>
      <c r="G310" s="227"/>
      <c r="H310" s="201"/>
    </row>
    <row r="311">
      <c r="F311" s="226"/>
      <c r="G311" s="227"/>
      <c r="H311" s="201"/>
    </row>
    <row r="312">
      <c r="F312" s="226"/>
      <c r="G312" s="227"/>
      <c r="H312" s="201"/>
    </row>
    <row r="313">
      <c r="F313" s="226"/>
      <c r="G313" s="227"/>
      <c r="H313" s="201"/>
    </row>
    <row r="314">
      <c r="F314" s="226"/>
      <c r="G314" s="227"/>
      <c r="H314" s="201"/>
    </row>
    <row r="315">
      <c r="F315" s="226"/>
      <c r="G315" s="227"/>
      <c r="H315" s="201"/>
    </row>
    <row r="316">
      <c r="F316" s="226"/>
      <c r="G316" s="227"/>
      <c r="H316" s="201"/>
    </row>
    <row r="317">
      <c r="F317" s="226"/>
      <c r="G317" s="227"/>
      <c r="H317" s="201"/>
    </row>
    <row r="318">
      <c r="F318" s="226"/>
      <c r="G318" s="227"/>
      <c r="H318" s="201"/>
    </row>
    <row r="319">
      <c r="F319" s="226"/>
      <c r="G319" s="227"/>
      <c r="H319" s="201"/>
    </row>
    <row r="320">
      <c r="F320" s="226"/>
      <c r="G320" s="227"/>
      <c r="H320" s="201"/>
    </row>
    <row r="321">
      <c r="F321" s="226"/>
      <c r="G321" s="227"/>
      <c r="H321" s="201"/>
    </row>
    <row r="322">
      <c r="F322" s="226"/>
      <c r="G322" s="227"/>
      <c r="H322" s="201"/>
    </row>
    <row r="323">
      <c r="F323" s="226"/>
      <c r="G323" s="227"/>
      <c r="H323" s="201"/>
    </row>
    <row r="324">
      <c r="F324" s="226"/>
      <c r="G324" s="227"/>
      <c r="H324" s="201"/>
    </row>
    <row r="325">
      <c r="F325" s="226"/>
      <c r="G325" s="227"/>
      <c r="H325" s="201"/>
    </row>
    <row r="326">
      <c r="F326" s="226"/>
      <c r="G326" s="227"/>
      <c r="H326" s="201"/>
    </row>
    <row r="327">
      <c r="F327" s="226"/>
      <c r="G327" s="227"/>
      <c r="H327" s="201"/>
    </row>
    <row r="328">
      <c r="F328" s="226"/>
      <c r="G328" s="227"/>
      <c r="H328" s="201"/>
    </row>
    <row r="329">
      <c r="F329" s="226"/>
      <c r="G329" s="227"/>
      <c r="H329" s="201"/>
    </row>
    <row r="330">
      <c r="F330" s="226"/>
      <c r="G330" s="227"/>
      <c r="H330" s="201"/>
    </row>
    <row r="331">
      <c r="F331" s="226"/>
      <c r="G331" s="227"/>
      <c r="H331" s="201"/>
    </row>
    <row r="332">
      <c r="F332" s="226"/>
      <c r="G332" s="227"/>
      <c r="H332" s="201"/>
    </row>
    <row r="333">
      <c r="F333" s="226"/>
      <c r="G333" s="227"/>
      <c r="H333" s="201"/>
    </row>
    <row r="334">
      <c r="F334" s="226"/>
      <c r="G334" s="227"/>
      <c r="H334" s="201"/>
    </row>
    <row r="335">
      <c r="F335" s="226"/>
      <c r="G335" s="227"/>
      <c r="H335" s="201"/>
    </row>
    <row r="336">
      <c r="F336" s="226"/>
      <c r="G336" s="227"/>
      <c r="H336" s="201"/>
    </row>
    <row r="337">
      <c r="F337" s="226"/>
      <c r="G337" s="227"/>
      <c r="H337" s="201"/>
    </row>
    <row r="338">
      <c r="F338" s="226"/>
      <c r="G338" s="227"/>
      <c r="H338" s="201"/>
    </row>
    <row r="339">
      <c r="F339" s="226"/>
      <c r="G339" s="227"/>
      <c r="H339" s="201"/>
    </row>
    <row r="340">
      <c r="F340" s="226"/>
      <c r="G340" s="227"/>
      <c r="H340" s="201"/>
    </row>
    <row r="341">
      <c r="F341" s="226"/>
      <c r="G341" s="227"/>
      <c r="H341" s="201"/>
    </row>
    <row r="342">
      <c r="F342" s="226"/>
      <c r="G342" s="227"/>
      <c r="H342" s="201"/>
    </row>
    <row r="343">
      <c r="F343" s="226"/>
      <c r="G343" s="227"/>
      <c r="H343" s="201"/>
    </row>
    <row r="344">
      <c r="F344" s="226"/>
      <c r="G344" s="227"/>
      <c r="H344" s="201"/>
    </row>
    <row r="345">
      <c r="F345" s="226"/>
      <c r="G345" s="227"/>
      <c r="H345" s="201"/>
    </row>
    <row r="346">
      <c r="F346" s="226"/>
      <c r="G346" s="227"/>
      <c r="H346" s="201"/>
    </row>
    <row r="347">
      <c r="F347" s="226"/>
      <c r="G347" s="227"/>
      <c r="H347" s="201"/>
    </row>
    <row r="348">
      <c r="F348" s="226"/>
      <c r="G348" s="227"/>
      <c r="H348" s="201"/>
    </row>
    <row r="349">
      <c r="F349" s="226"/>
      <c r="G349" s="227"/>
      <c r="H349" s="201"/>
    </row>
    <row r="350">
      <c r="F350" s="226"/>
      <c r="G350" s="227"/>
      <c r="H350" s="201"/>
    </row>
    <row r="351">
      <c r="F351" s="226"/>
      <c r="G351" s="227"/>
      <c r="H351" s="201"/>
    </row>
    <row r="352">
      <c r="F352" s="226"/>
      <c r="G352" s="227"/>
      <c r="H352" s="201"/>
    </row>
    <row r="353">
      <c r="F353" s="226"/>
      <c r="G353" s="227"/>
      <c r="H353" s="201"/>
    </row>
    <row r="354">
      <c r="F354" s="226"/>
      <c r="G354" s="227"/>
      <c r="H354" s="201"/>
    </row>
    <row r="355">
      <c r="F355" s="226"/>
      <c r="G355" s="227"/>
      <c r="H355" s="201"/>
    </row>
    <row r="356">
      <c r="F356" s="226"/>
      <c r="G356" s="227"/>
      <c r="H356" s="201"/>
    </row>
    <row r="357">
      <c r="F357" s="226"/>
      <c r="G357" s="227"/>
      <c r="H357" s="201"/>
    </row>
    <row r="358">
      <c r="F358" s="226"/>
      <c r="G358" s="227"/>
      <c r="H358" s="201"/>
    </row>
    <row r="359">
      <c r="F359" s="226"/>
      <c r="G359" s="227"/>
      <c r="H359" s="201"/>
    </row>
    <row r="360">
      <c r="F360" s="226"/>
      <c r="G360" s="227"/>
      <c r="H360" s="201"/>
    </row>
    <row r="361">
      <c r="F361" s="226"/>
      <c r="G361" s="227"/>
      <c r="H361" s="201"/>
    </row>
    <row r="362">
      <c r="F362" s="226"/>
      <c r="G362" s="227"/>
      <c r="H362" s="201"/>
    </row>
    <row r="363">
      <c r="F363" s="226"/>
      <c r="G363" s="227"/>
      <c r="H363" s="201"/>
    </row>
    <row r="364">
      <c r="F364" s="226"/>
      <c r="G364" s="227"/>
      <c r="H364" s="201"/>
    </row>
    <row r="365">
      <c r="F365" s="226"/>
      <c r="G365" s="227"/>
      <c r="H365" s="201"/>
    </row>
    <row r="366">
      <c r="F366" s="226"/>
      <c r="G366" s="227"/>
      <c r="H366" s="201"/>
    </row>
    <row r="367">
      <c r="F367" s="226"/>
      <c r="G367" s="227"/>
      <c r="H367" s="201"/>
    </row>
    <row r="368">
      <c r="F368" s="226"/>
      <c r="G368" s="227"/>
      <c r="H368" s="201"/>
    </row>
    <row r="369">
      <c r="F369" s="226"/>
      <c r="G369" s="227"/>
      <c r="H369" s="201"/>
    </row>
    <row r="370">
      <c r="F370" s="226"/>
      <c r="G370" s="227"/>
      <c r="H370" s="201"/>
    </row>
    <row r="371">
      <c r="F371" s="226"/>
      <c r="G371" s="227"/>
      <c r="H371" s="201"/>
    </row>
    <row r="372">
      <c r="F372" s="226"/>
      <c r="G372" s="227"/>
      <c r="H372" s="201"/>
    </row>
    <row r="373">
      <c r="F373" s="226"/>
      <c r="G373" s="227"/>
      <c r="H373" s="201"/>
    </row>
    <row r="374">
      <c r="F374" s="226"/>
      <c r="G374" s="227"/>
      <c r="H374" s="201"/>
    </row>
    <row r="375">
      <c r="F375" s="226"/>
      <c r="G375" s="227"/>
      <c r="H375" s="201"/>
    </row>
    <row r="376">
      <c r="F376" s="226"/>
      <c r="G376" s="227"/>
      <c r="H376" s="201"/>
    </row>
    <row r="377">
      <c r="F377" s="226"/>
      <c r="G377" s="227"/>
      <c r="H377" s="201"/>
    </row>
    <row r="378">
      <c r="F378" s="226"/>
      <c r="G378" s="227"/>
      <c r="H378" s="201"/>
    </row>
    <row r="379">
      <c r="F379" s="226"/>
      <c r="G379" s="227"/>
      <c r="H379" s="201"/>
    </row>
    <row r="380">
      <c r="F380" s="226"/>
      <c r="G380" s="227"/>
      <c r="H380" s="201"/>
    </row>
    <row r="381">
      <c r="F381" s="226"/>
      <c r="G381" s="227"/>
      <c r="H381" s="201"/>
    </row>
    <row r="382">
      <c r="F382" s="226"/>
      <c r="G382" s="227"/>
      <c r="H382" s="201"/>
    </row>
    <row r="383">
      <c r="F383" s="226"/>
      <c r="G383" s="227"/>
      <c r="H383" s="201"/>
    </row>
    <row r="384">
      <c r="F384" s="226"/>
      <c r="G384" s="227"/>
      <c r="H384" s="201"/>
    </row>
    <row r="385">
      <c r="F385" s="226"/>
      <c r="G385" s="227"/>
      <c r="H385" s="201"/>
    </row>
    <row r="386">
      <c r="F386" s="226"/>
      <c r="G386" s="227"/>
      <c r="H386" s="201"/>
    </row>
    <row r="387">
      <c r="F387" s="226"/>
      <c r="G387" s="227"/>
      <c r="H387" s="201"/>
    </row>
    <row r="388">
      <c r="F388" s="226"/>
      <c r="G388" s="227"/>
      <c r="H388" s="201"/>
    </row>
    <row r="389">
      <c r="F389" s="226"/>
      <c r="G389" s="227"/>
      <c r="H389" s="201"/>
    </row>
    <row r="390">
      <c r="F390" s="226"/>
      <c r="G390" s="227"/>
      <c r="H390" s="201"/>
    </row>
    <row r="391">
      <c r="F391" s="226"/>
      <c r="G391" s="227"/>
      <c r="H391" s="201"/>
    </row>
    <row r="392">
      <c r="F392" s="226"/>
      <c r="G392" s="227"/>
      <c r="H392" s="201"/>
    </row>
    <row r="393">
      <c r="F393" s="226"/>
      <c r="G393" s="227"/>
      <c r="H393" s="201"/>
    </row>
    <row r="394">
      <c r="F394" s="226"/>
      <c r="G394" s="227"/>
      <c r="H394" s="201"/>
    </row>
    <row r="395">
      <c r="F395" s="226"/>
      <c r="G395" s="227"/>
      <c r="H395" s="201"/>
    </row>
    <row r="396">
      <c r="F396" s="226"/>
      <c r="G396" s="227"/>
      <c r="H396" s="201"/>
    </row>
    <row r="397">
      <c r="F397" s="226"/>
      <c r="G397" s="227"/>
      <c r="H397" s="201"/>
    </row>
    <row r="398">
      <c r="F398" s="226"/>
      <c r="G398" s="227"/>
      <c r="H398" s="201"/>
    </row>
    <row r="399">
      <c r="F399" s="226"/>
      <c r="G399" s="227"/>
      <c r="H399" s="201"/>
    </row>
    <row r="400">
      <c r="F400" s="226"/>
      <c r="G400" s="227"/>
      <c r="H400" s="201"/>
    </row>
    <row r="401">
      <c r="F401" s="226"/>
      <c r="G401" s="227"/>
      <c r="H401" s="201"/>
    </row>
    <row r="402">
      <c r="F402" s="226"/>
      <c r="G402" s="227"/>
      <c r="H402" s="201"/>
    </row>
    <row r="403">
      <c r="F403" s="226"/>
      <c r="G403" s="227"/>
      <c r="H403" s="201"/>
    </row>
    <row r="404">
      <c r="F404" s="226"/>
      <c r="G404" s="227"/>
      <c r="H404" s="201"/>
    </row>
    <row r="405">
      <c r="F405" s="226"/>
      <c r="G405" s="227"/>
      <c r="H405" s="201"/>
    </row>
    <row r="406">
      <c r="F406" s="226"/>
      <c r="G406" s="227"/>
      <c r="H406" s="201"/>
    </row>
    <row r="407">
      <c r="F407" s="226"/>
      <c r="G407" s="227"/>
      <c r="H407" s="201"/>
    </row>
    <row r="408">
      <c r="F408" s="226"/>
      <c r="G408" s="227"/>
      <c r="H408" s="201"/>
    </row>
    <row r="409">
      <c r="F409" s="226"/>
      <c r="G409" s="227"/>
      <c r="H409" s="201"/>
    </row>
    <row r="410">
      <c r="F410" s="226"/>
      <c r="G410" s="227"/>
      <c r="H410" s="201"/>
    </row>
    <row r="411">
      <c r="F411" s="226"/>
      <c r="G411" s="227"/>
      <c r="H411" s="201"/>
    </row>
    <row r="412">
      <c r="F412" s="226"/>
      <c r="G412" s="227"/>
      <c r="H412" s="201"/>
    </row>
    <row r="413">
      <c r="F413" s="226"/>
      <c r="G413" s="227"/>
      <c r="H413" s="201"/>
    </row>
    <row r="414">
      <c r="F414" s="226"/>
      <c r="G414" s="227"/>
      <c r="H414" s="201"/>
    </row>
    <row r="415">
      <c r="F415" s="226"/>
      <c r="G415" s="227"/>
      <c r="H415" s="201"/>
    </row>
    <row r="416">
      <c r="F416" s="226"/>
      <c r="G416" s="227"/>
      <c r="H416" s="201"/>
    </row>
    <row r="417">
      <c r="F417" s="226"/>
      <c r="G417" s="227"/>
      <c r="H417" s="201"/>
    </row>
    <row r="418">
      <c r="F418" s="226"/>
      <c r="G418" s="227"/>
      <c r="H418" s="201"/>
    </row>
    <row r="419">
      <c r="F419" s="226"/>
      <c r="G419" s="227"/>
      <c r="H419" s="201"/>
    </row>
    <row r="420">
      <c r="F420" s="226"/>
      <c r="G420" s="227"/>
      <c r="H420" s="201"/>
    </row>
    <row r="421">
      <c r="F421" s="226"/>
      <c r="G421" s="227"/>
      <c r="H421" s="201"/>
    </row>
    <row r="422">
      <c r="F422" s="226"/>
      <c r="G422" s="227"/>
      <c r="H422" s="201"/>
    </row>
    <row r="423">
      <c r="F423" s="226"/>
      <c r="G423" s="227"/>
      <c r="H423" s="201"/>
    </row>
    <row r="424">
      <c r="F424" s="226"/>
      <c r="G424" s="227"/>
      <c r="H424" s="201"/>
    </row>
    <row r="425">
      <c r="F425" s="226"/>
      <c r="G425" s="227"/>
      <c r="H425" s="201"/>
    </row>
    <row r="426">
      <c r="F426" s="226"/>
      <c r="G426" s="227"/>
      <c r="H426" s="201"/>
    </row>
    <row r="427">
      <c r="F427" s="226"/>
      <c r="G427" s="227"/>
      <c r="H427" s="201"/>
    </row>
    <row r="428">
      <c r="F428" s="226"/>
      <c r="G428" s="227"/>
      <c r="H428" s="201"/>
    </row>
    <row r="429">
      <c r="F429" s="226"/>
      <c r="G429" s="227"/>
      <c r="H429" s="201"/>
    </row>
    <row r="430">
      <c r="F430" s="226"/>
      <c r="G430" s="227"/>
      <c r="H430" s="201"/>
    </row>
    <row r="431">
      <c r="F431" s="226"/>
      <c r="G431" s="227"/>
      <c r="H431" s="201"/>
    </row>
    <row r="432">
      <c r="F432" s="226"/>
      <c r="G432" s="227"/>
      <c r="H432" s="201"/>
    </row>
    <row r="433">
      <c r="F433" s="226"/>
      <c r="G433" s="227"/>
      <c r="H433" s="201"/>
    </row>
    <row r="434">
      <c r="F434" s="226"/>
      <c r="G434" s="227"/>
      <c r="H434" s="201"/>
    </row>
    <row r="435">
      <c r="F435" s="226"/>
      <c r="G435" s="227"/>
      <c r="H435" s="201"/>
    </row>
    <row r="436">
      <c r="F436" s="226"/>
      <c r="G436" s="227"/>
      <c r="H436" s="201"/>
    </row>
    <row r="437">
      <c r="F437" s="226"/>
      <c r="G437" s="227"/>
      <c r="H437" s="201"/>
    </row>
    <row r="438">
      <c r="F438" s="226"/>
      <c r="G438" s="227"/>
      <c r="H438" s="201"/>
    </row>
    <row r="439">
      <c r="F439" s="226"/>
      <c r="G439" s="227"/>
      <c r="H439" s="201"/>
    </row>
    <row r="440">
      <c r="F440" s="226"/>
      <c r="G440" s="227"/>
      <c r="H440" s="201"/>
    </row>
    <row r="441">
      <c r="F441" s="226"/>
      <c r="G441" s="227"/>
      <c r="H441" s="201"/>
    </row>
    <row r="442">
      <c r="F442" s="226"/>
      <c r="G442" s="227"/>
      <c r="H442" s="201"/>
    </row>
    <row r="443">
      <c r="F443" s="226"/>
      <c r="G443" s="227"/>
      <c r="H443" s="201"/>
    </row>
    <row r="444">
      <c r="F444" s="226"/>
      <c r="G444" s="227"/>
      <c r="H444" s="201"/>
    </row>
    <row r="445">
      <c r="F445" s="226"/>
      <c r="G445" s="227"/>
      <c r="H445" s="201"/>
    </row>
    <row r="446">
      <c r="F446" s="226"/>
      <c r="G446" s="227"/>
      <c r="H446" s="201"/>
    </row>
    <row r="447">
      <c r="F447" s="226"/>
      <c r="G447" s="227"/>
      <c r="H447" s="201"/>
    </row>
    <row r="448">
      <c r="F448" s="226"/>
      <c r="G448" s="227"/>
      <c r="H448" s="201"/>
    </row>
    <row r="449">
      <c r="F449" s="226"/>
      <c r="G449" s="227"/>
      <c r="H449" s="201"/>
    </row>
    <row r="450">
      <c r="F450" s="226"/>
      <c r="G450" s="227"/>
      <c r="H450" s="201"/>
    </row>
    <row r="451">
      <c r="F451" s="226"/>
      <c r="G451" s="227"/>
      <c r="H451" s="201"/>
    </row>
    <row r="452">
      <c r="F452" s="226"/>
      <c r="G452" s="227"/>
      <c r="H452" s="201"/>
    </row>
    <row r="453">
      <c r="F453" s="226"/>
      <c r="G453" s="227"/>
      <c r="H453" s="201"/>
    </row>
    <row r="454">
      <c r="F454" s="226"/>
      <c r="G454" s="227"/>
      <c r="H454" s="201"/>
    </row>
    <row r="455">
      <c r="F455" s="226"/>
      <c r="G455" s="227"/>
      <c r="H455" s="201"/>
    </row>
    <row r="456">
      <c r="F456" s="226"/>
      <c r="G456" s="227"/>
      <c r="H456" s="201"/>
    </row>
    <row r="457">
      <c r="F457" s="226"/>
      <c r="G457" s="227"/>
      <c r="H457" s="201"/>
    </row>
    <row r="458">
      <c r="F458" s="226"/>
      <c r="G458" s="227"/>
      <c r="H458" s="201"/>
    </row>
    <row r="459">
      <c r="F459" s="226"/>
      <c r="G459" s="227"/>
      <c r="H459" s="201"/>
    </row>
    <row r="460">
      <c r="F460" s="226"/>
      <c r="G460" s="227"/>
      <c r="H460" s="201"/>
    </row>
    <row r="461">
      <c r="F461" s="226"/>
      <c r="G461" s="227"/>
      <c r="H461" s="201"/>
    </row>
    <row r="462">
      <c r="F462" s="226"/>
      <c r="G462" s="227"/>
      <c r="H462" s="201"/>
    </row>
    <row r="463">
      <c r="F463" s="226"/>
      <c r="G463" s="227"/>
      <c r="H463" s="201"/>
    </row>
    <row r="464">
      <c r="F464" s="226"/>
      <c r="G464" s="227"/>
      <c r="H464" s="201"/>
    </row>
    <row r="465">
      <c r="F465" s="226"/>
      <c r="G465" s="227"/>
      <c r="H465" s="201"/>
    </row>
    <row r="466">
      <c r="F466" s="226"/>
      <c r="G466" s="227"/>
      <c r="H466" s="201"/>
    </row>
    <row r="467">
      <c r="F467" s="226"/>
      <c r="G467" s="227"/>
      <c r="H467" s="201"/>
    </row>
    <row r="468">
      <c r="F468" s="226"/>
      <c r="G468" s="227"/>
      <c r="H468" s="201"/>
    </row>
    <row r="469">
      <c r="F469" s="226"/>
      <c r="G469" s="227"/>
      <c r="H469" s="201"/>
    </row>
    <row r="470">
      <c r="F470" s="226"/>
      <c r="G470" s="227"/>
      <c r="H470" s="201"/>
    </row>
    <row r="471">
      <c r="F471" s="226"/>
      <c r="G471" s="227"/>
      <c r="H471" s="201"/>
    </row>
    <row r="472">
      <c r="F472" s="226"/>
      <c r="G472" s="227"/>
      <c r="H472" s="201"/>
    </row>
    <row r="473">
      <c r="F473" s="226"/>
      <c r="G473" s="227"/>
      <c r="H473" s="201"/>
    </row>
    <row r="474">
      <c r="F474" s="226"/>
      <c r="G474" s="227"/>
      <c r="H474" s="201"/>
    </row>
    <row r="475">
      <c r="F475" s="226"/>
      <c r="G475" s="227"/>
      <c r="H475" s="201"/>
    </row>
    <row r="476">
      <c r="F476" s="226"/>
      <c r="G476" s="227"/>
      <c r="H476" s="201"/>
    </row>
    <row r="477">
      <c r="F477" s="226"/>
      <c r="G477" s="227"/>
      <c r="H477" s="201"/>
    </row>
    <row r="478">
      <c r="F478" s="226"/>
      <c r="G478" s="227"/>
      <c r="H478" s="201"/>
    </row>
    <row r="479">
      <c r="F479" s="226"/>
      <c r="G479" s="227"/>
      <c r="H479" s="201"/>
    </row>
    <row r="480">
      <c r="F480" s="226"/>
      <c r="G480" s="227"/>
      <c r="H480" s="201"/>
    </row>
    <row r="481">
      <c r="F481" s="226"/>
      <c r="G481" s="227"/>
      <c r="H481" s="201"/>
    </row>
    <row r="482">
      <c r="F482" s="226"/>
      <c r="G482" s="227"/>
      <c r="H482" s="201"/>
    </row>
    <row r="483">
      <c r="F483" s="226"/>
      <c r="G483" s="227"/>
      <c r="H483" s="201"/>
    </row>
    <row r="484">
      <c r="F484" s="226"/>
      <c r="G484" s="227"/>
      <c r="H484" s="201"/>
    </row>
    <row r="485">
      <c r="F485" s="226"/>
      <c r="G485" s="227"/>
      <c r="H485" s="201"/>
    </row>
    <row r="486">
      <c r="F486" s="226"/>
      <c r="G486" s="227"/>
      <c r="H486" s="201"/>
    </row>
    <row r="487">
      <c r="F487" s="226"/>
      <c r="G487" s="227"/>
      <c r="H487" s="201"/>
    </row>
    <row r="488">
      <c r="F488" s="226"/>
      <c r="G488" s="227"/>
      <c r="H488" s="201"/>
    </row>
    <row r="489">
      <c r="F489" s="226"/>
      <c r="G489" s="227"/>
      <c r="H489" s="201"/>
    </row>
    <row r="490">
      <c r="F490" s="226"/>
      <c r="G490" s="227"/>
      <c r="H490" s="201"/>
    </row>
    <row r="491">
      <c r="F491" s="226"/>
      <c r="G491" s="227"/>
      <c r="H491" s="201"/>
    </row>
    <row r="492">
      <c r="F492" s="226"/>
      <c r="G492" s="227"/>
      <c r="H492" s="201"/>
    </row>
    <row r="493">
      <c r="F493" s="226"/>
      <c r="G493" s="227"/>
      <c r="H493" s="201"/>
    </row>
    <row r="494">
      <c r="F494" s="226"/>
      <c r="G494" s="227"/>
      <c r="H494" s="201"/>
    </row>
    <row r="495">
      <c r="F495" s="226"/>
      <c r="G495" s="227"/>
      <c r="H495" s="201"/>
    </row>
    <row r="496">
      <c r="F496" s="226"/>
      <c r="G496" s="227"/>
      <c r="H496" s="201"/>
    </row>
    <row r="497">
      <c r="F497" s="226"/>
      <c r="G497" s="227"/>
      <c r="H497" s="201"/>
    </row>
    <row r="498">
      <c r="F498" s="226"/>
      <c r="G498" s="227"/>
      <c r="H498" s="201"/>
    </row>
    <row r="499">
      <c r="F499" s="226"/>
      <c r="G499" s="227"/>
      <c r="H499" s="201"/>
    </row>
    <row r="500">
      <c r="F500" s="226"/>
      <c r="G500" s="227"/>
      <c r="H500" s="201"/>
    </row>
    <row r="501">
      <c r="F501" s="226"/>
      <c r="G501" s="227"/>
      <c r="H501" s="201"/>
    </row>
    <row r="502">
      <c r="F502" s="226"/>
      <c r="G502" s="227"/>
      <c r="H502" s="201"/>
    </row>
    <row r="503">
      <c r="F503" s="226"/>
      <c r="G503" s="227"/>
      <c r="H503" s="201"/>
    </row>
    <row r="504">
      <c r="F504" s="226"/>
      <c r="G504" s="227"/>
      <c r="H504" s="201"/>
    </row>
    <row r="505">
      <c r="F505" s="226"/>
      <c r="G505" s="227"/>
      <c r="H505" s="201"/>
    </row>
    <row r="506">
      <c r="F506" s="226"/>
      <c r="G506" s="227"/>
      <c r="H506" s="201"/>
    </row>
    <row r="507">
      <c r="F507" s="226"/>
      <c r="G507" s="227"/>
      <c r="H507" s="201"/>
    </row>
    <row r="508">
      <c r="F508" s="226"/>
      <c r="G508" s="227"/>
      <c r="H508" s="201"/>
    </row>
    <row r="509">
      <c r="F509" s="226"/>
      <c r="G509" s="227"/>
      <c r="H509" s="201"/>
    </row>
    <row r="510">
      <c r="F510" s="226"/>
      <c r="G510" s="227"/>
      <c r="H510" s="201"/>
    </row>
    <row r="511">
      <c r="F511" s="226"/>
      <c r="G511" s="227"/>
      <c r="H511" s="201"/>
    </row>
    <row r="512">
      <c r="F512" s="226"/>
      <c r="G512" s="227"/>
      <c r="H512" s="201"/>
    </row>
    <row r="513">
      <c r="F513" s="226"/>
      <c r="G513" s="227"/>
      <c r="H513" s="201"/>
    </row>
    <row r="514">
      <c r="F514" s="226"/>
      <c r="G514" s="227"/>
      <c r="H514" s="201"/>
    </row>
    <row r="515">
      <c r="F515" s="226"/>
      <c r="G515" s="227"/>
      <c r="H515" s="201"/>
    </row>
    <row r="516">
      <c r="F516" s="226"/>
      <c r="G516" s="227"/>
      <c r="H516" s="201"/>
    </row>
    <row r="517">
      <c r="F517" s="226"/>
      <c r="G517" s="227"/>
      <c r="H517" s="201"/>
    </row>
    <row r="518">
      <c r="F518" s="226"/>
      <c r="G518" s="227"/>
      <c r="H518" s="201"/>
    </row>
    <row r="519">
      <c r="F519" s="226"/>
      <c r="G519" s="227"/>
      <c r="H519" s="201"/>
    </row>
    <row r="520">
      <c r="F520" s="226"/>
      <c r="G520" s="227"/>
      <c r="H520" s="201"/>
    </row>
    <row r="521">
      <c r="F521" s="226"/>
      <c r="G521" s="227"/>
      <c r="H521" s="201"/>
    </row>
    <row r="522">
      <c r="F522" s="226"/>
      <c r="G522" s="227"/>
      <c r="H522" s="201"/>
    </row>
    <row r="523">
      <c r="F523" s="226"/>
      <c r="G523" s="227"/>
      <c r="H523" s="201"/>
    </row>
    <row r="524">
      <c r="F524" s="226"/>
      <c r="G524" s="227"/>
      <c r="H524" s="201"/>
    </row>
    <row r="525">
      <c r="F525" s="226"/>
      <c r="G525" s="227"/>
      <c r="H525" s="201"/>
    </row>
    <row r="526">
      <c r="F526" s="226"/>
      <c r="G526" s="227"/>
      <c r="H526" s="201"/>
    </row>
    <row r="527">
      <c r="F527" s="226"/>
      <c r="G527" s="227"/>
      <c r="H527" s="201"/>
    </row>
    <row r="528">
      <c r="F528" s="226"/>
      <c r="G528" s="227"/>
      <c r="H528" s="201"/>
    </row>
    <row r="529">
      <c r="F529" s="226"/>
      <c r="G529" s="227"/>
      <c r="H529" s="201"/>
    </row>
    <row r="530">
      <c r="F530" s="226"/>
      <c r="G530" s="227"/>
      <c r="H530" s="201"/>
    </row>
    <row r="531">
      <c r="F531" s="226"/>
      <c r="G531" s="227"/>
      <c r="H531" s="201"/>
    </row>
    <row r="532">
      <c r="F532" s="226"/>
      <c r="G532" s="227"/>
      <c r="H532" s="201"/>
    </row>
    <row r="533">
      <c r="F533" s="226"/>
      <c r="G533" s="227"/>
      <c r="H533" s="201"/>
    </row>
    <row r="534">
      <c r="F534" s="226"/>
      <c r="G534" s="227"/>
      <c r="H534" s="201"/>
    </row>
    <row r="535">
      <c r="F535" s="226"/>
      <c r="G535" s="227"/>
      <c r="H535" s="201"/>
    </row>
    <row r="536">
      <c r="F536" s="226"/>
      <c r="G536" s="227"/>
      <c r="H536" s="201"/>
    </row>
    <row r="537">
      <c r="F537" s="226"/>
      <c r="G537" s="227"/>
      <c r="H537" s="201"/>
    </row>
    <row r="538">
      <c r="F538" s="226"/>
      <c r="G538" s="227"/>
      <c r="H538" s="201"/>
    </row>
    <row r="539">
      <c r="F539" s="226"/>
      <c r="G539" s="227"/>
      <c r="H539" s="201"/>
    </row>
    <row r="540">
      <c r="F540" s="226"/>
      <c r="G540" s="227"/>
      <c r="H540" s="201"/>
    </row>
    <row r="541">
      <c r="F541" s="226"/>
      <c r="G541" s="227"/>
      <c r="H541" s="201"/>
    </row>
    <row r="542">
      <c r="F542" s="226"/>
      <c r="G542" s="227"/>
      <c r="H542" s="201"/>
    </row>
    <row r="543">
      <c r="F543" s="226"/>
      <c r="G543" s="227"/>
      <c r="H543" s="201"/>
    </row>
    <row r="544">
      <c r="F544" s="226"/>
      <c r="G544" s="227"/>
      <c r="H544" s="201"/>
    </row>
    <row r="545">
      <c r="F545" s="226"/>
      <c r="G545" s="227"/>
      <c r="H545" s="201"/>
    </row>
    <row r="546">
      <c r="F546" s="226"/>
      <c r="G546" s="227"/>
      <c r="H546" s="201"/>
    </row>
    <row r="547">
      <c r="F547" s="226"/>
      <c r="G547" s="227"/>
      <c r="H547" s="201"/>
    </row>
    <row r="548">
      <c r="F548" s="226"/>
      <c r="G548" s="227"/>
      <c r="H548" s="201"/>
    </row>
    <row r="549">
      <c r="F549" s="226"/>
      <c r="G549" s="227"/>
      <c r="H549" s="201"/>
    </row>
    <row r="550">
      <c r="F550" s="226"/>
      <c r="G550" s="227"/>
      <c r="H550" s="201"/>
    </row>
    <row r="551">
      <c r="F551" s="226"/>
      <c r="G551" s="227"/>
      <c r="H551" s="201"/>
    </row>
    <row r="552">
      <c r="F552" s="226"/>
      <c r="G552" s="227"/>
      <c r="H552" s="201"/>
    </row>
    <row r="553">
      <c r="F553" s="226"/>
      <c r="G553" s="227"/>
      <c r="H553" s="201"/>
    </row>
    <row r="554">
      <c r="F554" s="226"/>
      <c r="G554" s="227"/>
      <c r="H554" s="201"/>
    </row>
    <row r="555">
      <c r="F555" s="226"/>
      <c r="G555" s="227"/>
      <c r="H555" s="201"/>
    </row>
    <row r="556">
      <c r="F556" s="226"/>
      <c r="G556" s="227"/>
      <c r="H556" s="201"/>
    </row>
    <row r="557">
      <c r="F557" s="226"/>
      <c r="G557" s="227"/>
      <c r="H557" s="201"/>
    </row>
    <row r="558">
      <c r="F558" s="226"/>
      <c r="G558" s="227"/>
      <c r="H558" s="201"/>
    </row>
    <row r="559">
      <c r="F559" s="226"/>
      <c r="G559" s="227"/>
      <c r="H559" s="201"/>
    </row>
    <row r="560">
      <c r="F560" s="226"/>
      <c r="G560" s="227"/>
      <c r="H560" s="201"/>
    </row>
    <row r="561">
      <c r="F561" s="226"/>
      <c r="G561" s="227"/>
      <c r="H561" s="201"/>
    </row>
    <row r="562">
      <c r="F562" s="226"/>
      <c r="G562" s="227"/>
      <c r="H562" s="201"/>
    </row>
    <row r="563">
      <c r="F563" s="226"/>
      <c r="G563" s="227"/>
      <c r="H563" s="201"/>
    </row>
    <row r="564">
      <c r="F564" s="226"/>
      <c r="G564" s="227"/>
      <c r="H564" s="201"/>
    </row>
    <row r="565">
      <c r="F565" s="226"/>
      <c r="G565" s="227"/>
      <c r="H565" s="201"/>
    </row>
    <row r="566">
      <c r="F566" s="226"/>
      <c r="G566" s="227"/>
      <c r="H566" s="201"/>
    </row>
    <row r="567">
      <c r="F567" s="226"/>
      <c r="G567" s="227"/>
      <c r="H567" s="201"/>
    </row>
    <row r="568">
      <c r="F568" s="226"/>
      <c r="G568" s="227"/>
      <c r="H568" s="201"/>
    </row>
    <row r="569">
      <c r="F569" s="226"/>
      <c r="G569" s="227"/>
      <c r="H569" s="201"/>
    </row>
    <row r="570">
      <c r="F570" s="226"/>
      <c r="G570" s="227"/>
      <c r="H570" s="201"/>
    </row>
    <row r="571">
      <c r="F571" s="226"/>
      <c r="G571" s="227"/>
      <c r="H571" s="201"/>
    </row>
    <row r="572">
      <c r="F572" s="226"/>
      <c r="G572" s="227"/>
      <c r="H572" s="201"/>
    </row>
    <row r="573">
      <c r="F573" s="226"/>
      <c r="G573" s="227"/>
      <c r="H573" s="201"/>
    </row>
    <row r="574">
      <c r="F574" s="226"/>
      <c r="G574" s="227"/>
      <c r="H574" s="201"/>
    </row>
    <row r="575">
      <c r="F575" s="226"/>
      <c r="G575" s="227"/>
      <c r="H575" s="201"/>
    </row>
    <row r="576">
      <c r="F576" s="226"/>
      <c r="G576" s="227"/>
      <c r="H576" s="201"/>
    </row>
    <row r="577">
      <c r="F577" s="226"/>
      <c r="G577" s="227"/>
      <c r="H577" s="201"/>
    </row>
    <row r="578">
      <c r="F578" s="226"/>
      <c r="G578" s="227"/>
      <c r="H578" s="201"/>
    </row>
    <row r="579">
      <c r="F579" s="226"/>
      <c r="G579" s="227"/>
      <c r="H579" s="201"/>
    </row>
    <row r="580">
      <c r="F580" s="226"/>
      <c r="G580" s="227"/>
      <c r="H580" s="201"/>
    </row>
    <row r="581">
      <c r="F581" s="226"/>
      <c r="G581" s="227"/>
      <c r="H581" s="201"/>
    </row>
    <row r="582">
      <c r="F582" s="226"/>
      <c r="G582" s="227"/>
      <c r="H582" s="201"/>
    </row>
    <row r="583">
      <c r="F583" s="226"/>
      <c r="G583" s="227"/>
      <c r="H583" s="201"/>
    </row>
    <row r="584">
      <c r="F584" s="226"/>
      <c r="G584" s="227"/>
      <c r="H584" s="201"/>
    </row>
    <row r="585">
      <c r="F585" s="226"/>
      <c r="G585" s="227"/>
      <c r="H585" s="201"/>
    </row>
    <row r="586">
      <c r="F586" s="226"/>
      <c r="G586" s="227"/>
      <c r="H586" s="201"/>
    </row>
    <row r="587">
      <c r="F587" s="226"/>
      <c r="G587" s="227"/>
      <c r="H587" s="201"/>
    </row>
    <row r="588">
      <c r="F588" s="226"/>
      <c r="G588" s="227"/>
      <c r="H588" s="201"/>
    </row>
    <row r="589">
      <c r="F589" s="226"/>
      <c r="G589" s="227"/>
      <c r="H589" s="201"/>
    </row>
    <row r="590">
      <c r="F590" s="226"/>
      <c r="G590" s="227"/>
      <c r="H590" s="201"/>
    </row>
    <row r="591">
      <c r="F591" s="226"/>
      <c r="G591" s="227"/>
      <c r="H591" s="201"/>
    </row>
    <row r="592">
      <c r="F592" s="226"/>
      <c r="G592" s="227"/>
      <c r="H592" s="201"/>
    </row>
    <row r="593">
      <c r="F593" s="226"/>
      <c r="G593" s="227"/>
      <c r="H593" s="201"/>
    </row>
    <row r="594">
      <c r="F594" s="226"/>
      <c r="G594" s="227"/>
      <c r="H594" s="201"/>
    </row>
    <row r="595">
      <c r="F595" s="226"/>
      <c r="G595" s="227"/>
      <c r="H595" s="201"/>
    </row>
    <row r="596">
      <c r="F596" s="226"/>
      <c r="G596" s="227"/>
      <c r="H596" s="201"/>
    </row>
    <row r="597">
      <c r="F597" s="226"/>
      <c r="G597" s="227"/>
      <c r="H597" s="201"/>
    </row>
    <row r="598">
      <c r="F598" s="226"/>
      <c r="G598" s="227"/>
      <c r="H598" s="201"/>
    </row>
    <row r="599">
      <c r="F599" s="226"/>
      <c r="G599" s="227"/>
      <c r="H599" s="201"/>
    </row>
    <row r="600">
      <c r="F600" s="226"/>
      <c r="G600" s="227"/>
      <c r="H600" s="201"/>
    </row>
    <row r="601">
      <c r="F601" s="226"/>
      <c r="G601" s="227"/>
      <c r="H601" s="201"/>
    </row>
    <row r="602">
      <c r="F602" s="226"/>
      <c r="G602" s="227"/>
      <c r="H602" s="201"/>
    </row>
    <row r="603">
      <c r="F603" s="226"/>
      <c r="G603" s="227"/>
      <c r="H603" s="201"/>
    </row>
    <row r="604">
      <c r="F604" s="226"/>
      <c r="G604" s="227"/>
      <c r="H604" s="201"/>
    </row>
    <row r="605">
      <c r="F605" s="226"/>
      <c r="G605" s="227"/>
      <c r="H605" s="201"/>
    </row>
    <row r="606">
      <c r="F606" s="226"/>
      <c r="G606" s="227"/>
      <c r="H606" s="201"/>
    </row>
    <row r="607">
      <c r="F607" s="226"/>
      <c r="G607" s="227"/>
      <c r="H607" s="201"/>
    </row>
    <row r="608">
      <c r="F608" s="226"/>
      <c r="G608" s="227"/>
      <c r="H608" s="201"/>
    </row>
    <row r="609">
      <c r="F609" s="226"/>
      <c r="G609" s="227"/>
      <c r="H609" s="201"/>
    </row>
    <row r="610">
      <c r="F610" s="226"/>
      <c r="G610" s="227"/>
      <c r="H610" s="201"/>
    </row>
    <row r="611">
      <c r="F611" s="226"/>
      <c r="G611" s="227"/>
      <c r="H611" s="201"/>
    </row>
    <row r="612">
      <c r="F612" s="226"/>
      <c r="G612" s="227"/>
      <c r="H612" s="201"/>
    </row>
    <row r="613">
      <c r="F613" s="226"/>
      <c r="G613" s="227"/>
      <c r="H613" s="201"/>
    </row>
    <row r="614">
      <c r="F614" s="226"/>
      <c r="G614" s="227"/>
      <c r="H614" s="201"/>
    </row>
    <row r="615">
      <c r="F615" s="226"/>
      <c r="G615" s="227"/>
      <c r="H615" s="201"/>
    </row>
    <row r="616">
      <c r="F616" s="226"/>
      <c r="G616" s="227"/>
      <c r="H616" s="201"/>
    </row>
    <row r="617">
      <c r="F617" s="226"/>
      <c r="G617" s="227"/>
      <c r="H617" s="201"/>
    </row>
    <row r="618">
      <c r="F618" s="226"/>
      <c r="G618" s="227"/>
      <c r="H618" s="201"/>
    </row>
    <row r="619">
      <c r="F619" s="226"/>
      <c r="G619" s="227"/>
      <c r="H619" s="201"/>
    </row>
    <row r="620">
      <c r="F620" s="226"/>
      <c r="G620" s="227"/>
      <c r="H620" s="201"/>
    </row>
    <row r="621">
      <c r="F621" s="226"/>
      <c r="G621" s="227"/>
      <c r="H621" s="201"/>
    </row>
    <row r="622">
      <c r="F622" s="226"/>
      <c r="G622" s="227"/>
      <c r="H622" s="201"/>
    </row>
    <row r="623">
      <c r="F623" s="226"/>
      <c r="G623" s="227"/>
      <c r="H623" s="201"/>
    </row>
    <row r="624">
      <c r="F624" s="226"/>
      <c r="G624" s="227"/>
      <c r="H624" s="201"/>
    </row>
    <row r="625">
      <c r="F625" s="226"/>
      <c r="G625" s="227"/>
      <c r="H625" s="201"/>
    </row>
    <row r="626">
      <c r="F626" s="226"/>
      <c r="G626" s="227"/>
      <c r="H626" s="201"/>
    </row>
    <row r="627">
      <c r="F627" s="226"/>
      <c r="G627" s="227"/>
      <c r="H627" s="201"/>
    </row>
    <row r="628">
      <c r="F628" s="226"/>
      <c r="G628" s="227"/>
      <c r="H628" s="201"/>
    </row>
    <row r="629">
      <c r="F629" s="226"/>
      <c r="G629" s="227"/>
      <c r="H629" s="201"/>
    </row>
    <row r="630">
      <c r="F630" s="226"/>
      <c r="G630" s="227"/>
      <c r="H630" s="201"/>
    </row>
    <row r="631">
      <c r="F631" s="226"/>
      <c r="G631" s="227"/>
      <c r="H631" s="201"/>
    </row>
    <row r="632">
      <c r="F632" s="226"/>
      <c r="G632" s="227"/>
      <c r="H632" s="201"/>
    </row>
    <row r="633">
      <c r="F633" s="226"/>
      <c r="G633" s="227"/>
      <c r="H633" s="201"/>
    </row>
    <row r="634">
      <c r="F634" s="226"/>
      <c r="G634" s="227"/>
      <c r="H634" s="201"/>
    </row>
    <row r="635">
      <c r="F635" s="226"/>
      <c r="G635" s="227"/>
      <c r="H635" s="201"/>
    </row>
    <row r="636">
      <c r="F636" s="226"/>
      <c r="G636" s="227"/>
      <c r="H636" s="201"/>
    </row>
    <row r="637">
      <c r="F637" s="226"/>
      <c r="G637" s="227"/>
      <c r="H637" s="201"/>
    </row>
    <row r="638">
      <c r="F638" s="226"/>
      <c r="G638" s="227"/>
      <c r="H638" s="201"/>
    </row>
    <row r="639">
      <c r="F639" s="226"/>
      <c r="G639" s="227"/>
      <c r="H639" s="201"/>
    </row>
    <row r="640">
      <c r="F640" s="226"/>
      <c r="G640" s="227"/>
      <c r="H640" s="201"/>
    </row>
    <row r="641">
      <c r="F641" s="226"/>
      <c r="G641" s="227"/>
      <c r="H641" s="201"/>
    </row>
    <row r="642">
      <c r="F642" s="226"/>
      <c r="G642" s="227"/>
      <c r="H642" s="201"/>
    </row>
    <row r="643">
      <c r="F643" s="226"/>
      <c r="G643" s="227"/>
      <c r="H643" s="201"/>
    </row>
    <row r="644">
      <c r="F644" s="226"/>
      <c r="G644" s="227"/>
      <c r="H644" s="201"/>
    </row>
    <row r="645">
      <c r="F645" s="226"/>
      <c r="G645" s="227"/>
      <c r="H645" s="201"/>
    </row>
    <row r="646">
      <c r="F646" s="226"/>
      <c r="G646" s="227"/>
      <c r="H646" s="201"/>
    </row>
    <row r="647">
      <c r="F647" s="226"/>
      <c r="G647" s="227"/>
      <c r="H647" s="201"/>
    </row>
    <row r="648">
      <c r="F648" s="226"/>
      <c r="G648" s="227"/>
      <c r="H648" s="201"/>
    </row>
    <row r="649">
      <c r="F649" s="226"/>
      <c r="G649" s="227"/>
      <c r="H649" s="201"/>
    </row>
    <row r="650">
      <c r="F650" s="226"/>
      <c r="G650" s="227"/>
      <c r="H650" s="201"/>
    </row>
    <row r="651">
      <c r="F651" s="226"/>
      <c r="G651" s="227"/>
      <c r="H651" s="201"/>
    </row>
    <row r="652">
      <c r="F652" s="226"/>
      <c r="G652" s="227"/>
      <c r="H652" s="201"/>
    </row>
    <row r="653">
      <c r="F653" s="226"/>
      <c r="G653" s="227"/>
      <c r="H653" s="201"/>
    </row>
    <row r="654">
      <c r="F654" s="226"/>
      <c r="G654" s="227"/>
      <c r="H654" s="201"/>
    </row>
    <row r="655">
      <c r="F655" s="226"/>
      <c r="G655" s="227"/>
      <c r="H655" s="201"/>
    </row>
    <row r="656">
      <c r="F656" s="226"/>
      <c r="G656" s="227"/>
      <c r="H656" s="201"/>
    </row>
    <row r="657">
      <c r="F657" s="226"/>
      <c r="G657" s="227"/>
      <c r="H657" s="201"/>
    </row>
    <row r="658">
      <c r="F658" s="226"/>
      <c r="G658" s="227"/>
      <c r="H658" s="201"/>
    </row>
    <row r="659">
      <c r="F659" s="226"/>
      <c r="G659" s="227"/>
      <c r="H659" s="201"/>
    </row>
    <row r="660">
      <c r="F660" s="226"/>
      <c r="G660" s="227"/>
      <c r="H660" s="201"/>
    </row>
    <row r="661">
      <c r="F661" s="226"/>
      <c r="G661" s="227"/>
      <c r="H661" s="201"/>
    </row>
    <row r="662">
      <c r="F662" s="226"/>
      <c r="G662" s="227"/>
      <c r="H662" s="201"/>
    </row>
    <row r="663">
      <c r="F663" s="226"/>
      <c r="G663" s="227"/>
      <c r="H663" s="201"/>
    </row>
    <row r="664">
      <c r="F664" s="226"/>
      <c r="G664" s="227"/>
      <c r="H664" s="201"/>
    </row>
    <row r="665">
      <c r="F665" s="226"/>
      <c r="G665" s="227"/>
      <c r="H665" s="201"/>
    </row>
    <row r="666">
      <c r="F666" s="226"/>
      <c r="G666" s="227"/>
      <c r="H666" s="201"/>
    </row>
    <row r="667">
      <c r="F667" s="226"/>
      <c r="G667" s="227"/>
      <c r="H667" s="201"/>
    </row>
    <row r="668">
      <c r="F668" s="226"/>
      <c r="G668" s="227"/>
      <c r="H668" s="201"/>
    </row>
    <row r="669">
      <c r="F669" s="226"/>
      <c r="G669" s="227"/>
      <c r="H669" s="201"/>
    </row>
    <row r="670">
      <c r="F670" s="226"/>
      <c r="G670" s="227"/>
      <c r="H670" s="201"/>
    </row>
    <row r="671">
      <c r="F671" s="226"/>
      <c r="G671" s="227"/>
      <c r="H671" s="201"/>
    </row>
    <row r="672">
      <c r="F672" s="226"/>
      <c r="G672" s="227"/>
      <c r="H672" s="201"/>
    </row>
    <row r="673">
      <c r="F673" s="226"/>
      <c r="G673" s="227"/>
      <c r="H673" s="201"/>
    </row>
    <row r="674">
      <c r="F674" s="226"/>
      <c r="G674" s="227"/>
      <c r="H674" s="201"/>
    </row>
    <row r="675">
      <c r="F675" s="226"/>
      <c r="G675" s="227"/>
      <c r="H675" s="201"/>
    </row>
    <row r="676">
      <c r="F676" s="226"/>
      <c r="G676" s="227"/>
      <c r="H676" s="201"/>
    </row>
    <row r="677">
      <c r="F677" s="226"/>
      <c r="G677" s="227"/>
      <c r="H677" s="201"/>
    </row>
    <row r="678">
      <c r="F678" s="226"/>
      <c r="G678" s="227"/>
      <c r="H678" s="201"/>
    </row>
    <row r="679">
      <c r="F679" s="226"/>
      <c r="G679" s="227"/>
      <c r="H679" s="201"/>
    </row>
    <row r="680">
      <c r="F680" s="226"/>
      <c r="G680" s="227"/>
      <c r="H680" s="201"/>
    </row>
    <row r="681">
      <c r="F681" s="226"/>
      <c r="G681" s="227"/>
      <c r="H681" s="201"/>
    </row>
    <row r="682">
      <c r="F682" s="226"/>
      <c r="G682" s="227"/>
      <c r="H682" s="201"/>
    </row>
    <row r="683">
      <c r="F683" s="226"/>
      <c r="G683" s="227"/>
      <c r="H683" s="201"/>
    </row>
    <row r="684">
      <c r="F684" s="226"/>
      <c r="G684" s="227"/>
      <c r="H684" s="201"/>
    </row>
    <row r="685">
      <c r="F685" s="226"/>
      <c r="G685" s="227"/>
      <c r="H685" s="201"/>
    </row>
    <row r="686">
      <c r="F686" s="226"/>
      <c r="G686" s="227"/>
      <c r="H686" s="201"/>
    </row>
    <row r="687">
      <c r="F687" s="226"/>
      <c r="G687" s="227"/>
      <c r="H687" s="201"/>
    </row>
    <row r="688">
      <c r="F688" s="226"/>
      <c r="G688" s="227"/>
      <c r="H688" s="201"/>
    </row>
    <row r="689">
      <c r="F689" s="226"/>
      <c r="G689" s="227"/>
      <c r="H689" s="201"/>
    </row>
    <row r="690">
      <c r="F690" s="226"/>
      <c r="G690" s="227"/>
      <c r="H690" s="201"/>
    </row>
    <row r="691">
      <c r="F691" s="226"/>
      <c r="G691" s="227"/>
      <c r="H691" s="201"/>
    </row>
    <row r="692">
      <c r="F692" s="226"/>
      <c r="G692" s="227"/>
      <c r="H692" s="201"/>
    </row>
    <row r="693">
      <c r="F693" s="226"/>
      <c r="G693" s="227"/>
      <c r="H693" s="201"/>
    </row>
    <row r="694">
      <c r="F694" s="226"/>
      <c r="G694" s="227"/>
      <c r="H694" s="201"/>
    </row>
    <row r="695">
      <c r="F695" s="226"/>
      <c r="G695" s="227"/>
      <c r="H695" s="201"/>
    </row>
    <row r="696">
      <c r="F696" s="226"/>
      <c r="G696" s="227"/>
      <c r="H696" s="201"/>
    </row>
    <row r="697">
      <c r="F697" s="226"/>
      <c r="G697" s="227"/>
      <c r="H697" s="201"/>
    </row>
    <row r="698">
      <c r="F698" s="226"/>
      <c r="G698" s="227"/>
      <c r="H698" s="201"/>
    </row>
    <row r="699">
      <c r="F699" s="226"/>
      <c r="G699" s="227"/>
      <c r="H699" s="201"/>
    </row>
    <row r="700">
      <c r="F700" s="226"/>
      <c r="G700" s="227"/>
      <c r="H700" s="201"/>
    </row>
    <row r="701">
      <c r="F701" s="226"/>
      <c r="G701" s="227"/>
      <c r="H701" s="201"/>
    </row>
    <row r="702">
      <c r="F702" s="226"/>
      <c r="G702" s="227"/>
      <c r="H702" s="201"/>
    </row>
    <row r="703">
      <c r="F703" s="226"/>
      <c r="G703" s="227"/>
      <c r="H703" s="201"/>
    </row>
    <row r="704">
      <c r="F704" s="226"/>
      <c r="G704" s="227"/>
      <c r="H704" s="201"/>
    </row>
    <row r="705">
      <c r="F705" s="226"/>
      <c r="G705" s="227"/>
      <c r="H705" s="201"/>
    </row>
    <row r="706">
      <c r="F706" s="226"/>
      <c r="G706" s="227"/>
      <c r="H706" s="201"/>
    </row>
    <row r="707">
      <c r="F707" s="226"/>
      <c r="G707" s="227"/>
      <c r="H707" s="201"/>
    </row>
    <row r="708">
      <c r="F708" s="226"/>
      <c r="G708" s="227"/>
      <c r="H708" s="201"/>
    </row>
    <row r="709">
      <c r="F709" s="226"/>
      <c r="G709" s="227"/>
      <c r="H709" s="201"/>
    </row>
    <row r="710">
      <c r="F710" s="226"/>
      <c r="G710" s="227"/>
      <c r="H710" s="201"/>
    </row>
    <row r="711">
      <c r="F711" s="226"/>
      <c r="G711" s="227"/>
      <c r="H711" s="201"/>
    </row>
    <row r="712">
      <c r="F712" s="226"/>
      <c r="G712" s="227"/>
      <c r="H712" s="201"/>
    </row>
    <row r="713">
      <c r="F713" s="226"/>
      <c r="G713" s="227"/>
      <c r="H713" s="201"/>
    </row>
    <row r="714">
      <c r="F714" s="226"/>
      <c r="G714" s="227"/>
      <c r="H714" s="201"/>
    </row>
    <row r="715">
      <c r="F715" s="226"/>
      <c r="G715" s="227"/>
      <c r="H715" s="201"/>
    </row>
    <row r="716">
      <c r="F716" s="226"/>
      <c r="G716" s="227"/>
      <c r="H716" s="201"/>
    </row>
    <row r="717">
      <c r="F717" s="226"/>
      <c r="G717" s="227"/>
      <c r="H717" s="201"/>
    </row>
    <row r="718">
      <c r="F718" s="226"/>
      <c r="G718" s="227"/>
      <c r="H718" s="201"/>
    </row>
    <row r="719">
      <c r="F719" s="226"/>
      <c r="G719" s="227"/>
      <c r="H719" s="201"/>
    </row>
    <row r="720">
      <c r="F720" s="226"/>
      <c r="G720" s="227"/>
      <c r="H720" s="201"/>
    </row>
    <row r="721">
      <c r="F721" s="226"/>
      <c r="G721" s="227"/>
      <c r="H721" s="201"/>
    </row>
    <row r="722">
      <c r="F722" s="226"/>
      <c r="G722" s="227"/>
      <c r="H722" s="201"/>
    </row>
    <row r="723">
      <c r="F723" s="226"/>
      <c r="G723" s="227"/>
      <c r="H723" s="201"/>
    </row>
    <row r="724">
      <c r="F724" s="226"/>
      <c r="G724" s="227"/>
      <c r="H724" s="201"/>
    </row>
    <row r="725">
      <c r="F725" s="226"/>
      <c r="G725" s="227"/>
      <c r="H725" s="201"/>
    </row>
    <row r="726">
      <c r="F726" s="226"/>
      <c r="G726" s="227"/>
      <c r="H726" s="201"/>
    </row>
    <row r="727">
      <c r="F727" s="226"/>
      <c r="G727" s="227"/>
      <c r="H727" s="201"/>
    </row>
    <row r="728">
      <c r="F728" s="226"/>
      <c r="G728" s="227"/>
      <c r="H728" s="201"/>
    </row>
    <row r="729">
      <c r="F729" s="226"/>
      <c r="G729" s="227"/>
      <c r="H729" s="201"/>
    </row>
    <row r="730">
      <c r="F730" s="226"/>
      <c r="G730" s="227"/>
      <c r="H730" s="201"/>
    </row>
    <row r="731">
      <c r="F731" s="226"/>
      <c r="G731" s="227"/>
      <c r="H731" s="201"/>
    </row>
    <row r="732">
      <c r="F732" s="226"/>
      <c r="G732" s="227"/>
      <c r="H732" s="201"/>
    </row>
    <row r="733">
      <c r="F733" s="226"/>
      <c r="G733" s="227"/>
      <c r="H733" s="201"/>
    </row>
    <row r="734">
      <c r="F734" s="226"/>
      <c r="G734" s="227"/>
      <c r="H734" s="201"/>
    </row>
    <row r="735">
      <c r="F735" s="226"/>
      <c r="G735" s="227"/>
      <c r="H735" s="201"/>
    </row>
    <row r="736">
      <c r="F736" s="226"/>
      <c r="G736" s="227"/>
      <c r="H736" s="201"/>
    </row>
    <row r="737">
      <c r="F737" s="226"/>
      <c r="G737" s="227"/>
      <c r="H737" s="201"/>
    </row>
    <row r="738">
      <c r="F738" s="226"/>
      <c r="G738" s="227"/>
      <c r="H738" s="201"/>
    </row>
    <row r="739">
      <c r="F739" s="226"/>
      <c r="G739" s="227"/>
      <c r="H739" s="201"/>
    </row>
    <row r="740">
      <c r="F740" s="226"/>
      <c r="G740" s="227"/>
      <c r="H740" s="201"/>
    </row>
    <row r="741">
      <c r="F741" s="226"/>
      <c r="G741" s="227"/>
      <c r="H741" s="201"/>
    </row>
    <row r="742">
      <c r="F742" s="226"/>
      <c r="G742" s="227"/>
      <c r="H742" s="201"/>
    </row>
    <row r="743">
      <c r="F743" s="226"/>
      <c r="G743" s="227"/>
      <c r="H743" s="201"/>
    </row>
    <row r="744">
      <c r="F744" s="226"/>
      <c r="G744" s="227"/>
      <c r="H744" s="201"/>
    </row>
    <row r="745">
      <c r="F745" s="226"/>
      <c r="G745" s="227"/>
      <c r="H745" s="201"/>
    </row>
    <row r="746">
      <c r="F746" s="226"/>
      <c r="G746" s="227"/>
      <c r="H746" s="201"/>
    </row>
    <row r="747">
      <c r="F747" s="226"/>
      <c r="G747" s="227"/>
      <c r="H747" s="201"/>
    </row>
    <row r="748">
      <c r="F748" s="226"/>
      <c r="G748" s="227"/>
      <c r="H748" s="201"/>
    </row>
    <row r="749">
      <c r="F749" s="226"/>
      <c r="G749" s="227"/>
      <c r="H749" s="201"/>
    </row>
    <row r="750">
      <c r="F750" s="226"/>
      <c r="G750" s="227"/>
      <c r="H750" s="201"/>
    </row>
    <row r="751">
      <c r="F751" s="226"/>
      <c r="G751" s="227"/>
      <c r="H751" s="201"/>
    </row>
    <row r="752">
      <c r="F752" s="226"/>
      <c r="G752" s="227"/>
      <c r="H752" s="201"/>
    </row>
    <row r="753">
      <c r="F753" s="226"/>
      <c r="G753" s="227"/>
      <c r="H753" s="201"/>
    </row>
    <row r="754">
      <c r="F754" s="226"/>
      <c r="G754" s="227"/>
      <c r="H754" s="201"/>
    </row>
    <row r="755">
      <c r="F755" s="226"/>
      <c r="G755" s="227"/>
      <c r="H755" s="201"/>
    </row>
    <row r="756">
      <c r="F756" s="226"/>
      <c r="G756" s="227"/>
      <c r="H756" s="201"/>
    </row>
    <row r="757">
      <c r="F757" s="226"/>
      <c r="G757" s="227"/>
      <c r="H757" s="201"/>
    </row>
    <row r="758">
      <c r="F758" s="226"/>
      <c r="G758" s="227"/>
      <c r="H758" s="201"/>
    </row>
    <row r="759">
      <c r="F759" s="226"/>
      <c r="G759" s="227"/>
      <c r="H759" s="201"/>
    </row>
    <row r="760">
      <c r="F760" s="226"/>
      <c r="G760" s="227"/>
      <c r="H760" s="201"/>
    </row>
    <row r="761">
      <c r="F761" s="226"/>
      <c r="G761" s="227"/>
      <c r="H761" s="201"/>
    </row>
    <row r="762">
      <c r="F762" s="226"/>
      <c r="G762" s="227"/>
      <c r="H762" s="201"/>
    </row>
    <row r="763">
      <c r="F763" s="226"/>
      <c r="G763" s="227"/>
      <c r="H763" s="201"/>
    </row>
    <row r="764">
      <c r="F764" s="226"/>
      <c r="G764" s="227"/>
      <c r="H764" s="201"/>
    </row>
    <row r="765">
      <c r="F765" s="226"/>
      <c r="G765" s="227"/>
      <c r="H765" s="201"/>
    </row>
    <row r="766">
      <c r="F766" s="226"/>
      <c r="G766" s="227"/>
      <c r="H766" s="201"/>
    </row>
    <row r="767">
      <c r="F767" s="226"/>
      <c r="G767" s="227"/>
      <c r="H767" s="201"/>
    </row>
    <row r="768">
      <c r="F768" s="226"/>
      <c r="G768" s="227"/>
      <c r="H768" s="201"/>
    </row>
    <row r="769">
      <c r="F769" s="226"/>
      <c r="G769" s="227"/>
      <c r="H769" s="201"/>
    </row>
    <row r="770">
      <c r="F770" s="226"/>
      <c r="G770" s="227"/>
      <c r="H770" s="201"/>
    </row>
    <row r="771">
      <c r="F771" s="226"/>
      <c r="G771" s="227"/>
      <c r="H771" s="201"/>
    </row>
    <row r="772">
      <c r="F772" s="226"/>
      <c r="G772" s="227"/>
      <c r="H772" s="201"/>
    </row>
    <row r="773">
      <c r="F773" s="226"/>
      <c r="G773" s="227"/>
      <c r="H773" s="201"/>
    </row>
    <row r="774">
      <c r="F774" s="226"/>
      <c r="G774" s="227"/>
      <c r="H774" s="201"/>
    </row>
    <row r="775">
      <c r="F775" s="226"/>
      <c r="G775" s="227"/>
      <c r="H775" s="201"/>
    </row>
    <row r="776">
      <c r="F776" s="226"/>
      <c r="G776" s="227"/>
      <c r="H776" s="201"/>
    </row>
    <row r="777">
      <c r="F777" s="226"/>
      <c r="G777" s="227"/>
      <c r="H777" s="201"/>
    </row>
    <row r="778">
      <c r="F778" s="226"/>
      <c r="G778" s="227"/>
      <c r="H778" s="201"/>
    </row>
    <row r="779">
      <c r="F779" s="226"/>
      <c r="G779" s="227"/>
      <c r="H779" s="201"/>
    </row>
    <row r="780">
      <c r="F780" s="226"/>
      <c r="G780" s="227"/>
      <c r="H780" s="201"/>
    </row>
    <row r="781">
      <c r="F781" s="226"/>
      <c r="G781" s="227"/>
      <c r="H781" s="201"/>
    </row>
    <row r="782">
      <c r="F782" s="226"/>
      <c r="G782" s="227"/>
      <c r="H782" s="201"/>
    </row>
    <row r="783">
      <c r="F783" s="226"/>
      <c r="G783" s="227"/>
      <c r="H783" s="201"/>
    </row>
    <row r="784">
      <c r="F784" s="226"/>
      <c r="G784" s="227"/>
      <c r="H784" s="201"/>
    </row>
    <row r="785">
      <c r="F785" s="226"/>
      <c r="G785" s="227"/>
      <c r="H785" s="201"/>
    </row>
    <row r="786">
      <c r="F786" s="226"/>
      <c r="G786" s="227"/>
      <c r="H786" s="201"/>
    </row>
    <row r="787">
      <c r="F787" s="226"/>
      <c r="G787" s="227"/>
      <c r="H787" s="201"/>
    </row>
    <row r="788">
      <c r="F788" s="226"/>
      <c r="G788" s="227"/>
      <c r="H788" s="201"/>
    </row>
    <row r="789">
      <c r="F789" s="226"/>
      <c r="G789" s="227"/>
      <c r="H789" s="201"/>
    </row>
    <row r="790">
      <c r="F790" s="226"/>
      <c r="G790" s="227"/>
      <c r="H790" s="201"/>
    </row>
    <row r="791">
      <c r="F791" s="226"/>
      <c r="G791" s="227"/>
      <c r="H791" s="201"/>
    </row>
    <row r="792">
      <c r="F792" s="226"/>
      <c r="G792" s="227"/>
      <c r="H792" s="201"/>
    </row>
    <row r="793">
      <c r="F793" s="226"/>
      <c r="G793" s="227"/>
      <c r="H793" s="201"/>
    </row>
    <row r="794">
      <c r="F794" s="226"/>
      <c r="G794" s="227"/>
      <c r="H794" s="201"/>
    </row>
    <row r="795">
      <c r="F795" s="226"/>
      <c r="G795" s="227"/>
      <c r="H795" s="201"/>
    </row>
    <row r="796">
      <c r="F796" s="226"/>
      <c r="G796" s="227"/>
      <c r="H796" s="201"/>
    </row>
    <row r="797">
      <c r="F797" s="226"/>
      <c r="G797" s="227"/>
      <c r="H797" s="201"/>
    </row>
    <row r="798">
      <c r="F798" s="226"/>
      <c r="G798" s="227"/>
      <c r="H798" s="201"/>
    </row>
    <row r="799">
      <c r="F799" s="226"/>
      <c r="G799" s="227"/>
      <c r="H799" s="201"/>
    </row>
    <row r="800">
      <c r="F800" s="226"/>
      <c r="G800" s="227"/>
      <c r="H800" s="201"/>
    </row>
    <row r="801">
      <c r="F801" s="226"/>
      <c r="G801" s="227"/>
      <c r="H801" s="201"/>
    </row>
    <row r="802">
      <c r="F802" s="226"/>
      <c r="G802" s="227"/>
      <c r="H802" s="201"/>
    </row>
    <row r="803">
      <c r="F803" s="226"/>
      <c r="G803" s="227"/>
      <c r="H803" s="201"/>
    </row>
    <row r="804">
      <c r="F804" s="226"/>
      <c r="G804" s="227"/>
      <c r="H804" s="201"/>
    </row>
    <row r="805">
      <c r="F805" s="226"/>
      <c r="G805" s="227"/>
      <c r="H805" s="201"/>
    </row>
    <row r="806">
      <c r="F806" s="226"/>
      <c r="G806" s="227"/>
      <c r="H806" s="201"/>
    </row>
    <row r="807">
      <c r="F807" s="226"/>
      <c r="G807" s="227"/>
      <c r="H807" s="201"/>
    </row>
    <row r="808">
      <c r="F808" s="226"/>
      <c r="G808" s="227"/>
      <c r="H808" s="201"/>
    </row>
    <row r="809">
      <c r="F809" s="226"/>
      <c r="G809" s="227"/>
      <c r="H809" s="201"/>
    </row>
    <row r="810">
      <c r="F810" s="226"/>
      <c r="G810" s="227"/>
      <c r="H810" s="201"/>
    </row>
    <row r="811">
      <c r="F811" s="226"/>
      <c r="G811" s="227"/>
      <c r="H811" s="201"/>
    </row>
    <row r="812">
      <c r="F812" s="226"/>
      <c r="G812" s="227"/>
      <c r="H812" s="201"/>
    </row>
    <row r="813">
      <c r="F813" s="226"/>
      <c r="G813" s="227"/>
      <c r="H813" s="201"/>
    </row>
    <row r="814">
      <c r="F814" s="226"/>
      <c r="G814" s="227"/>
      <c r="H814" s="201"/>
    </row>
    <row r="815">
      <c r="F815" s="226"/>
      <c r="G815" s="227"/>
      <c r="H815" s="201"/>
    </row>
    <row r="816">
      <c r="F816" s="226"/>
      <c r="G816" s="227"/>
      <c r="H816" s="201"/>
    </row>
    <row r="817">
      <c r="F817" s="226"/>
      <c r="G817" s="227"/>
      <c r="H817" s="201"/>
    </row>
    <row r="818">
      <c r="F818" s="226"/>
      <c r="G818" s="227"/>
      <c r="H818" s="201"/>
    </row>
    <row r="819">
      <c r="F819" s="226"/>
      <c r="G819" s="227"/>
      <c r="H819" s="201"/>
    </row>
    <row r="820">
      <c r="F820" s="226"/>
      <c r="G820" s="227"/>
      <c r="H820" s="201"/>
    </row>
    <row r="821">
      <c r="F821" s="226"/>
      <c r="G821" s="227"/>
      <c r="H821" s="201"/>
    </row>
    <row r="822">
      <c r="F822" s="226"/>
      <c r="G822" s="227"/>
      <c r="H822" s="201"/>
    </row>
    <row r="823">
      <c r="F823" s="226"/>
      <c r="G823" s="227"/>
      <c r="H823" s="201"/>
    </row>
    <row r="824">
      <c r="F824" s="226"/>
      <c r="G824" s="227"/>
      <c r="H824" s="201"/>
    </row>
    <row r="825">
      <c r="F825" s="226"/>
      <c r="G825" s="227"/>
      <c r="H825" s="201"/>
    </row>
    <row r="826">
      <c r="F826" s="226"/>
      <c r="G826" s="227"/>
      <c r="H826" s="201"/>
    </row>
    <row r="827">
      <c r="F827" s="226"/>
      <c r="G827" s="227"/>
      <c r="H827" s="201"/>
    </row>
    <row r="828">
      <c r="F828" s="226"/>
      <c r="G828" s="227"/>
      <c r="H828" s="201"/>
    </row>
    <row r="829">
      <c r="F829" s="226"/>
      <c r="G829" s="227"/>
      <c r="H829" s="201"/>
    </row>
    <row r="830">
      <c r="F830" s="226"/>
      <c r="G830" s="227"/>
      <c r="H830" s="201"/>
    </row>
    <row r="831">
      <c r="F831" s="226"/>
      <c r="G831" s="227"/>
      <c r="H831" s="201"/>
    </row>
    <row r="832">
      <c r="F832" s="226"/>
      <c r="G832" s="227"/>
      <c r="H832" s="201"/>
    </row>
    <row r="833">
      <c r="F833" s="226"/>
      <c r="G833" s="227"/>
      <c r="H833" s="201"/>
    </row>
    <row r="834">
      <c r="F834" s="226"/>
      <c r="G834" s="227"/>
      <c r="H834" s="201"/>
    </row>
    <row r="835">
      <c r="F835" s="226"/>
      <c r="G835" s="227"/>
      <c r="H835" s="201"/>
    </row>
    <row r="836">
      <c r="F836" s="226"/>
      <c r="G836" s="227"/>
      <c r="H836" s="201"/>
    </row>
    <row r="837">
      <c r="F837" s="226"/>
      <c r="G837" s="227"/>
      <c r="H837" s="201"/>
    </row>
    <row r="838">
      <c r="F838" s="226"/>
      <c r="G838" s="227"/>
      <c r="H838" s="201"/>
    </row>
    <row r="839">
      <c r="F839" s="226"/>
      <c r="G839" s="227"/>
      <c r="H839" s="201"/>
    </row>
    <row r="840">
      <c r="F840" s="226"/>
      <c r="G840" s="227"/>
      <c r="H840" s="201"/>
    </row>
    <row r="841">
      <c r="F841" s="226"/>
      <c r="G841" s="227"/>
      <c r="H841" s="201"/>
    </row>
    <row r="842">
      <c r="F842" s="226"/>
      <c r="G842" s="227"/>
      <c r="H842" s="201"/>
    </row>
    <row r="843">
      <c r="F843" s="226"/>
      <c r="G843" s="227"/>
      <c r="H843" s="201"/>
    </row>
    <row r="844">
      <c r="F844" s="226"/>
      <c r="G844" s="227"/>
      <c r="H844" s="201"/>
    </row>
    <row r="845">
      <c r="F845" s="226"/>
      <c r="G845" s="227"/>
      <c r="H845" s="201"/>
    </row>
    <row r="846">
      <c r="F846" s="226"/>
      <c r="G846" s="227"/>
      <c r="H846" s="201"/>
    </row>
    <row r="847">
      <c r="F847" s="226"/>
      <c r="G847" s="227"/>
      <c r="H847" s="201"/>
    </row>
    <row r="848">
      <c r="F848" s="226"/>
      <c r="G848" s="227"/>
      <c r="H848" s="201"/>
    </row>
    <row r="849">
      <c r="F849" s="226"/>
      <c r="G849" s="227"/>
      <c r="H849" s="201"/>
    </row>
    <row r="850">
      <c r="F850" s="226"/>
      <c r="G850" s="227"/>
      <c r="H850" s="201"/>
    </row>
    <row r="851">
      <c r="F851" s="226"/>
      <c r="G851" s="227"/>
      <c r="H851" s="201"/>
    </row>
    <row r="852">
      <c r="F852" s="226"/>
      <c r="G852" s="227"/>
      <c r="H852" s="201"/>
    </row>
    <row r="853">
      <c r="F853" s="226"/>
      <c r="G853" s="227"/>
      <c r="H853" s="201"/>
    </row>
    <row r="854">
      <c r="F854" s="226"/>
      <c r="G854" s="227"/>
      <c r="H854" s="201"/>
    </row>
    <row r="855">
      <c r="F855" s="226"/>
      <c r="G855" s="227"/>
      <c r="H855" s="201"/>
    </row>
    <row r="856">
      <c r="F856" s="226"/>
      <c r="G856" s="227"/>
      <c r="H856" s="201"/>
    </row>
    <row r="857">
      <c r="F857" s="226"/>
      <c r="G857" s="227"/>
      <c r="H857" s="201"/>
    </row>
    <row r="858">
      <c r="F858" s="226"/>
      <c r="G858" s="227"/>
      <c r="H858" s="201"/>
    </row>
    <row r="859">
      <c r="F859" s="226"/>
      <c r="G859" s="227"/>
      <c r="H859" s="201"/>
    </row>
    <row r="860">
      <c r="F860" s="226"/>
      <c r="G860" s="227"/>
      <c r="H860" s="201"/>
    </row>
    <row r="861">
      <c r="F861" s="226"/>
      <c r="G861" s="227"/>
      <c r="H861" s="201"/>
    </row>
    <row r="862">
      <c r="F862" s="226"/>
      <c r="G862" s="227"/>
      <c r="H862" s="201"/>
    </row>
    <row r="863">
      <c r="F863" s="226"/>
      <c r="G863" s="227"/>
      <c r="H863" s="201"/>
    </row>
    <row r="864">
      <c r="F864" s="226"/>
      <c r="G864" s="227"/>
      <c r="H864" s="201"/>
    </row>
    <row r="865">
      <c r="F865" s="226"/>
      <c r="G865" s="227"/>
      <c r="H865" s="201"/>
    </row>
    <row r="866">
      <c r="F866" s="226"/>
      <c r="G866" s="227"/>
      <c r="H866" s="201"/>
    </row>
    <row r="867">
      <c r="F867" s="226"/>
      <c r="G867" s="227"/>
      <c r="H867" s="201"/>
    </row>
    <row r="868">
      <c r="F868" s="226"/>
      <c r="G868" s="227"/>
      <c r="H868" s="201"/>
    </row>
    <row r="869">
      <c r="F869" s="226"/>
      <c r="G869" s="227"/>
      <c r="H869" s="201"/>
    </row>
    <row r="870">
      <c r="F870" s="226"/>
      <c r="G870" s="227"/>
      <c r="H870" s="201"/>
    </row>
    <row r="871">
      <c r="F871" s="226"/>
      <c r="G871" s="227"/>
      <c r="H871" s="201"/>
    </row>
    <row r="872">
      <c r="F872" s="226"/>
      <c r="G872" s="227"/>
      <c r="H872" s="201"/>
    </row>
    <row r="873">
      <c r="F873" s="226"/>
      <c r="G873" s="227"/>
      <c r="H873" s="201"/>
    </row>
    <row r="874">
      <c r="F874" s="226"/>
      <c r="G874" s="227"/>
      <c r="H874" s="201"/>
    </row>
    <row r="875">
      <c r="F875" s="226"/>
      <c r="G875" s="227"/>
      <c r="H875" s="201"/>
    </row>
    <row r="876">
      <c r="F876" s="226"/>
      <c r="G876" s="227"/>
      <c r="H876" s="201"/>
    </row>
    <row r="877">
      <c r="F877" s="226"/>
      <c r="G877" s="227"/>
      <c r="H877" s="201"/>
    </row>
    <row r="878">
      <c r="F878" s="226"/>
      <c r="G878" s="227"/>
      <c r="H878" s="201"/>
    </row>
    <row r="879">
      <c r="F879" s="226"/>
      <c r="G879" s="227"/>
      <c r="H879" s="201"/>
    </row>
    <row r="880">
      <c r="F880" s="226"/>
      <c r="G880" s="227"/>
      <c r="H880" s="201"/>
    </row>
    <row r="881">
      <c r="F881" s="226"/>
      <c r="G881" s="227"/>
      <c r="H881" s="201"/>
    </row>
    <row r="882">
      <c r="F882" s="226"/>
      <c r="G882" s="227"/>
      <c r="H882" s="201"/>
    </row>
    <row r="883">
      <c r="F883" s="226"/>
      <c r="G883" s="227"/>
      <c r="H883" s="201"/>
    </row>
    <row r="884">
      <c r="F884" s="226"/>
      <c r="G884" s="227"/>
      <c r="H884" s="201"/>
    </row>
    <row r="885">
      <c r="F885" s="226"/>
      <c r="G885" s="227"/>
      <c r="H885" s="201"/>
    </row>
    <row r="886">
      <c r="F886" s="226"/>
      <c r="G886" s="227"/>
      <c r="H886" s="201"/>
    </row>
    <row r="887">
      <c r="F887" s="226"/>
      <c r="G887" s="227"/>
      <c r="H887" s="201"/>
    </row>
    <row r="888">
      <c r="F888" s="226"/>
      <c r="G888" s="227"/>
      <c r="H888" s="201"/>
    </row>
    <row r="889">
      <c r="F889" s="226"/>
      <c r="G889" s="227"/>
      <c r="H889" s="201"/>
    </row>
    <row r="890">
      <c r="F890" s="226"/>
      <c r="G890" s="227"/>
      <c r="H890" s="201"/>
    </row>
    <row r="891">
      <c r="F891" s="226"/>
      <c r="G891" s="227"/>
      <c r="H891" s="201"/>
    </row>
    <row r="892">
      <c r="F892" s="226"/>
      <c r="G892" s="227"/>
      <c r="H892" s="201"/>
    </row>
    <row r="893">
      <c r="F893" s="226"/>
      <c r="G893" s="227"/>
      <c r="H893" s="201"/>
    </row>
    <row r="894">
      <c r="F894" s="226"/>
      <c r="G894" s="227"/>
      <c r="H894" s="201"/>
    </row>
    <row r="895">
      <c r="F895" s="226"/>
      <c r="G895" s="227"/>
      <c r="H895" s="201"/>
    </row>
    <row r="896">
      <c r="F896" s="226"/>
      <c r="G896" s="227"/>
      <c r="H896" s="201"/>
    </row>
    <row r="897">
      <c r="F897" s="226"/>
      <c r="G897" s="227"/>
      <c r="H897" s="201"/>
    </row>
    <row r="898">
      <c r="F898" s="226"/>
      <c r="G898" s="227"/>
      <c r="H898" s="201"/>
    </row>
    <row r="899">
      <c r="F899" s="226"/>
      <c r="G899" s="227"/>
      <c r="H899" s="201"/>
    </row>
    <row r="900">
      <c r="F900" s="226"/>
      <c r="G900" s="227"/>
      <c r="H900" s="201"/>
    </row>
    <row r="901">
      <c r="F901" s="226"/>
      <c r="G901" s="227"/>
      <c r="H901" s="201"/>
    </row>
    <row r="902">
      <c r="F902" s="226"/>
      <c r="G902" s="227"/>
      <c r="H902" s="201"/>
    </row>
    <row r="903">
      <c r="F903" s="226"/>
      <c r="G903" s="227"/>
      <c r="H903" s="201"/>
    </row>
    <row r="904">
      <c r="F904" s="226"/>
      <c r="G904" s="227"/>
      <c r="H904" s="201"/>
    </row>
    <row r="905">
      <c r="F905" s="226"/>
      <c r="G905" s="227"/>
      <c r="H905" s="201"/>
    </row>
    <row r="906">
      <c r="F906" s="226"/>
      <c r="G906" s="227"/>
      <c r="H906" s="201"/>
    </row>
    <row r="907">
      <c r="F907" s="226"/>
      <c r="G907" s="227"/>
      <c r="H907" s="201"/>
    </row>
    <row r="908">
      <c r="F908" s="226"/>
      <c r="G908" s="227"/>
      <c r="H908" s="201"/>
    </row>
    <row r="909">
      <c r="F909" s="226"/>
      <c r="G909" s="227"/>
      <c r="H909" s="201"/>
    </row>
    <row r="910">
      <c r="F910" s="226"/>
      <c r="G910" s="227"/>
      <c r="H910" s="201"/>
    </row>
    <row r="911">
      <c r="F911" s="226"/>
      <c r="G911" s="227"/>
      <c r="H911" s="201"/>
    </row>
    <row r="912">
      <c r="F912" s="226"/>
      <c r="G912" s="227"/>
      <c r="H912" s="201"/>
    </row>
    <row r="913">
      <c r="F913" s="226"/>
      <c r="G913" s="227"/>
      <c r="H913" s="201"/>
    </row>
    <row r="914">
      <c r="F914" s="226"/>
      <c r="G914" s="227"/>
      <c r="H914" s="201"/>
    </row>
    <row r="915">
      <c r="F915" s="226"/>
      <c r="G915" s="227"/>
      <c r="H915" s="201"/>
    </row>
    <row r="916">
      <c r="F916" s="226"/>
      <c r="G916" s="227"/>
      <c r="H916" s="201"/>
    </row>
    <row r="917">
      <c r="F917" s="226"/>
      <c r="G917" s="227"/>
      <c r="H917" s="201"/>
    </row>
    <row r="918">
      <c r="F918" s="226"/>
      <c r="G918" s="227"/>
      <c r="H918" s="201"/>
    </row>
    <row r="919">
      <c r="F919" s="226"/>
      <c r="G919" s="227"/>
      <c r="H919" s="201"/>
    </row>
    <row r="920">
      <c r="F920" s="226"/>
      <c r="G920" s="227"/>
      <c r="H920" s="201"/>
    </row>
    <row r="921">
      <c r="F921" s="226"/>
      <c r="G921" s="227"/>
      <c r="H921" s="201"/>
    </row>
    <row r="922">
      <c r="F922" s="226"/>
      <c r="G922" s="227"/>
      <c r="H922" s="201"/>
    </row>
    <row r="923">
      <c r="F923" s="226"/>
      <c r="G923" s="227"/>
      <c r="H923" s="201"/>
    </row>
    <row r="924">
      <c r="F924" s="226"/>
      <c r="G924" s="227"/>
      <c r="H924" s="201"/>
    </row>
    <row r="925">
      <c r="F925" s="226"/>
      <c r="G925" s="227"/>
      <c r="H925" s="201"/>
    </row>
    <row r="926">
      <c r="F926" s="226"/>
      <c r="G926" s="227"/>
      <c r="H926" s="201"/>
    </row>
    <row r="927">
      <c r="F927" s="226"/>
      <c r="G927" s="227"/>
      <c r="H927" s="201"/>
    </row>
    <row r="928">
      <c r="F928" s="226"/>
      <c r="G928" s="227"/>
      <c r="H928" s="201"/>
    </row>
    <row r="929">
      <c r="F929" s="226"/>
      <c r="G929" s="227"/>
      <c r="H929" s="201"/>
    </row>
    <row r="930">
      <c r="F930" s="226"/>
      <c r="G930" s="227"/>
      <c r="H930" s="201"/>
    </row>
    <row r="931">
      <c r="F931" s="226"/>
      <c r="G931" s="227"/>
      <c r="H931" s="201"/>
    </row>
    <row r="932">
      <c r="F932" s="226"/>
      <c r="G932" s="227"/>
      <c r="H932" s="201"/>
    </row>
    <row r="933">
      <c r="F933" s="226"/>
      <c r="G933" s="227"/>
      <c r="H933" s="201"/>
    </row>
    <row r="934">
      <c r="F934" s="226"/>
      <c r="G934" s="227"/>
      <c r="H934" s="201"/>
    </row>
    <row r="935">
      <c r="F935" s="226"/>
      <c r="G935" s="227"/>
      <c r="H935" s="201"/>
    </row>
    <row r="936">
      <c r="F936" s="226"/>
      <c r="G936" s="227"/>
      <c r="H936" s="201"/>
    </row>
    <row r="937">
      <c r="F937" s="226"/>
      <c r="G937" s="227"/>
      <c r="H937" s="201"/>
    </row>
    <row r="938">
      <c r="F938" s="226"/>
      <c r="G938" s="227"/>
      <c r="H938" s="201"/>
    </row>
    <row r="939">
      <c r="F939" s="226"/>
      <c r="G939" s="227"/>
      <c r="H939" s="201"/>
    </row>
    <row r="940">
      <c r="F940" s="226"/>
      <c r="G940" s="227"/>
      <c r="H940" s="201"/>
    </row>
    <row r="941">
      <c r="F941" s="226"/>
      <c r="G941" s="227"/>
      <c r="H941" s="201"/>
    </row>
    <row r="942">
      <c r="F942" s="226"/>
      <c r="G942" s="227"/>
      <c r="H942" s="201"/>
    </row>
    <row r="943">
      <c r="F943" s="226"/>
      <c r="G943" s="227"/>
      <c r="H943" s="201"/>
    </row>
    <row r="944">
      <c r="F944" s="226"/>
      <c r="G944" s="227"/>
      <c r="H944" s="201"/>
    </row>
    <row r="945">
      <c r="F945" s="226"/>
      <c r="G945" s="227"/>
      <c r="H945" s="201"/>
    </row>
    <row r="946">
      <c r="F946" s="226"/>
      <c r="G946" s="227"/>
      <c r="H946" s="201"/>
    </row>
    <row r="947">
      <c r="F947" s="226"/>
      <c r="G947" s="227"/>
      <c r="H947" s="201"/>
    </row>
    <row r="948">
      <c r="F948" s="226"/>
      <c r="G948" s="227"/>
      <c r="H948" s="201"/>
    </row>
    <row r="949">
      <c r="F949" s="226"/>
      <c r="G949" s="227"/>
      <c r="H949" s="201"/>
    </row>
    <row r="950">
      <c r="F950" s="226"/>
      <c r="G950" s="227"/>
      <c r="H950" s="201"/>
    </row>
    <row r="951">
      <c r="F951" s="226"/>
      <c r="G951" s="227"/>
      <c r="H951" s="201"/>
    </row>
    <row r="952">
      <c r="F952" s="226"/>
      <c r="G952" s="227"/>
      <c r="H952" s="201"/>
    </row>
    <row r="953">
      <c r="F953" s="226"/>
      <c r="G953" s="227"/>
      <c r="H953" s="201"/>
    </row>
    <row r="954">
      <c r="F954" s="226"/>
      <c r="G954" s="227"/>
      <c r="H954" s="201"/>
    </row>
    <row r="955">
      <c r="F955" s="226"/>
      <c r="G955" s="227"/>
      <c r="H955" s="201"/>
    </row>
    <row r="956">
      <c r="F956" s="226"/>
      <c r="G956" s="227"/>
      <c r="H956" s="201"/>
    </row>
    <row r="957">
      <c r="F957" s="226"/>
      <c r="G957" s="227"/>
      <c r="H957" s="201"/>
    </row>
    <row r="958">
      <c r="F958" s="226"/>
      <c r="G958" s="227"/>
      <c r="H958" s="201"/>
    </row>
    <row r="959">
      <c r="F959" s="226"/>
      <c r="G959" s="227"/>
      <c r="H959" s="201"/>
    </row>
    <row r="960">
      <c r="F960" s="226"/>
      <c r="G960" s="227"/>
      <c r="H960" s="201"/>
    </row>
    <row r="961">
      <c r="F961" s="226"/>
      <c r="G961" s="227"/>
      <c r="H961" s="201"/>
    </row>
    <row r="962">
      <c r="F962" s="226"/>
      <c r="G962" s="227"/>
      <c r="H962" s="201"/>
    </row>
    <row r="963">
      <c r="F963" s="226"/>
      <c r="G963" s="227"/>
      <c r="H963" s="201"/>
    </row>
    <row r="964">
      <c r="F964" s="226"/>
      <c r="G964" s="227"/>
      <c r="H964" s="201"/>
    </row>
    <row r="965">
      <c r="F965" s="226"/>
      <c r="G965" s="227"/>
      <c r="H965" s="201"/>
    </row>
    <row r="966">
      <c r="F966" s="226"/>
      <c r="G966" s="227"/>
      <c r="H966" s="201"/>
    </row>
    <row r="967">
      <c r="F967" s="226"/>
      <c r="G967" s="227"/>
      <c r="H967" s="201"/>
    </row>
    <row r="968">
      <c r="F968" s="226"/>
      <c r="G968" s="227"/>
      <c r="H968" s="201"/>
    </row>
    <row r="969">
      <c r="F969" s="226"/>
      <c r="G969" s="227"/>
      <c r="H969" s="201"/>
    </row>
    <row r="970">
      <c r="F970" s="226"/>
      <c r="G970" s="227"/>
      <c r="H970" s="201"/>
    </row>
    <row r="971">
      <c r="F971" s="226"/>
      <c r="G971" s="227"/>
      <c r="H971" s="201"/>
    </row>
    <row r="972">
      <c r="F972" s="226"/>
      <c r="G972" s="227"/>
      <c r="H972" s="201"/>
    </row>
    <row r="973">
      <c r="F973" s="226"/>
      <c r="G973" s="227"/>
      <c r="H973" s="201"/>
    </row>
    <row r="974">
      <c r="F974" s="226"/>
      <c r="G974" s="227"/>
      <c r="H974" s="201"/>
    </row>
    <row r="975">
      <c r="F975" s="226"/>
      <c r="G975" s="227"/>
      <c r="H975" s="201"/>
    </row>
    <row r="976">
      <c r="F976" s="226"/>
      <c r="G976" s="227"/>
      <c r="H976" s="201"/>
    </row>
    <row r="977">
      <c r="F977" s="226"/>
      <c r="G977" s="227"/>
      <c r="H977" s="201"/>
    </row>
    <row r="978">
      <c r="F978" s="226"/>
      <c r="G978" s="227"/>
      <c r="H978" s="201"/>
    </row>
    <row r="979">
      <c r="F979" s="226"/>
      <c r="G979" s="227"/>
      <c r="H979" s="201"/>
    </row>
    <row r="980">
      <c r="F980" s="226"/>
      <c r="G980" s="227"/>
      <c r="H980" s="201"/>
    </row>
    <row r="981">
      <c r="F981" s="226"/>
      <c r="G981" s="227"/>
      <c r="H981" s="201"/>
    </row>
    <row r="982">
      <c r="F982" s="226"/>
      <c r="G982" s="227"/>
      <c r="H982" s="201"/>
    </row>
    <row r="983">
      <c r="F983" s="226"/>
      <c r="G983" s="227"/>
      <c r="H983" s="201"/>
    </row>
    <row r="984">
      <c r="F984" s="226"/>
      <c r="G984" s="227"/>
      <c r="H984" s="201"/>
    </row>
    <row r="985">
      <c r="F985" s="226"/>
      <c r="G985" s="227"/>
      <c r="H985" s="201"/>
    </row>
    <row r="986">
      <c r="F986" s="226"/>
      <c r="G986" s="227"/>
      <c r="H986" s="201"/>
    </row>
    <row r="987">
      <c r="F987" s="226"/>
      <c r="G987" s="227"/>
      <c r="H987" s="201"/>
    </row>
    <row r="988">
      <c r="F988" s="226"/>
      <c r="G988" s="227"/>
      <c r="H988" s="201"/>
    </row>
    <row r="989">
      <c r="F989" s="226"/>
      <c r="G989" s="227"/>
      <c r="H989" s="201"/>
    </row>
    <row r="990">
      <c r="F990" s="226"/>
      <c r="G990" s="227"/>
      <c r="H990" s="201"/>
    </row>
    <row r="991">
      <c r="F991" s="226"/>
      <c r="G991" s="227"/>
      <c r="H991" s="201"/>
    </row>
    <row r="992">
      <c r="F992" s="226"/>
      <c r="G992" s="227"/>
      <c r="H992" s="201"/>
    </row>
    <row r="993">
      <c r="F993" s="226"/>
      <c r="G993" s="227"/>
      <c r="H993" s="201"/>
    </row>
    <row r="994">
      <c r="F994" s="226"/>
      <c r="G994" s="227"/>
      <c r="H994" s="201"/>
    </row>
    <row r="995">
      <c r="F995" s="226"/>
      <c r="G995" s="227"/>
      <c r="H995" s="201"/>
    </row>
    <row r="996">
      <c r="F996" s="226"/>
      <c r="G996" s="227"/>
      <c r="H996" s="201"/>
    </row>
    <row r="997">
      <c r="F997" s="226"/>
      <c r="G997" s="227"/>
      <c r="H997" s="201"/>
    </row>
    <row r="998">
      <c r="F998" s="226"/>
      <c r="G998" s="227"/>
      <c r="H998" s="201"/>
    </row>
    <row r="999">
      <c r="F999" s="226"/>
      <c r="G999" s="227"/>
      <c r="H999" s="201"/>
    </row>
    <row r="1000">
      <c r="F1000" s="226"/>
      <c r="G1000" s="227"/>
      <c r="H1000" s="201"/>
    </row>
    <row r="1001">
      <c r="F1001" s="226"/>
      <c r="G1001" s="227"/>
      <c r="H1001" s="201"/>
    </row>
    <row r="1002">
      <c r="F1002" s="226"/>
      <c r="G1002" s="227"/>
      <c r="H1002" s="201"/>
    </row>
    <row r="1003">
      <c r="F1003" s="226"/>
      <c r="G1003" s="227"/>
      <c r="H1003" s="201"/>
    </row>
    <row r="1004">
      <c r="F1004" s="226"/>
      <c r="G1004" s="227"/>
      <c r="H1004" s="201"/>
    </row>
    <row r="1005">
      <c r="F1005" s="226"/>
      <c r="G1005" s="227"/>
      <c r="H1005" s="201"/>
    </row>
    <row r="1006">
      <c r="F1006" s="226"/>
      <c r="G1006" s="227"/>
      <c r="H1006" s="201"/>
    </row>
  </sheetData>
  <hyperlinks>
    <hyperlink r:id="rId1" ref="D2"/>
    <hyperlink r:id="rId2" ref="D4"/>
    <hyperlink r:id="rId3" ref="D5"/>
    <hyperlink r:id="rId4" ref="D6"/>
    <hyperlink r:id="rId5" ref="D7"/>
    <hyperlink r:id="rId6" ref="D8"/>
    <hyperlink r:id="rId7" ref="D9"/>
    <hyperlink r:id="rId8" ref="D10"/>
    <hyperlink r:id="rId9" ref="D11"/>
    <hyperlink r:id="rId10" ref="D12"/>
    <hyperlink r:id="rId11" ref="D13"/>
    <hyperlink r:id="rId12" ref="E13"/>
    <hyperlink r:id="rId13" ref="D14"/>
    <hyperlink r:id="rId14" ref="D15"/>
    <hyperlink r:id="rId15" ref="F15"/>
    <hyperlink r:id="rId16" ref="D16"/>
    <hyperlink r:id="rId17" ref="F16"/>
    <hyperlink r:id="rId18" ref="D17"/>
    <hyperlink r:id="rId19" ref="F17"/>
    <hyperlink r:id="rId20" ref="D18"/>
    <hyperlink r:id="rId21" ref="F18"/>
    <hyperlink r:id="rId22" ref="D19"/>
    <hyperlink r:id="rId23" ref="D20"/>
    <hyperlink r:id="rId24" ref="F20"/>
    <hyperlink r:id="rId25" ref="D21"/>
    <hyperlink r:id="rId26" ref="F21"/>
  </hyperlinks>
  <drawing r:id="rId27"/>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
    <col customWidth="1" min="2" max="2" width="93.75"/>
    <col customWidth="1" min="3" max="3" width="27.38"/>
  </cols>
  <sheetData>
    <row r="1">
      <c r="A1" s="1" t="s">
        <v>6</v>
      </c>
      <c r="B1" s="1" t="s">
        <v>176</v>
      </c>
      <c r="C1" s="52" t="s">
        <v>1452</v>
      </c>
    </row>
    <row r="2">
      <c r="A2" s="237" t="s">
        <v>59</v>
      </c>
      <c r="B2" s="3" t="s">
        <v>1453</v>
      </c>
      <c r="C2" s="6" t="s">
        <v>1460</v>
      </c>
    </row>
    <row r="3">
      <c r="A3" s="237" t="s">
        <v>42</v>
      </c>
      <c r="B3" s="3" t="s">
        <v>1463</v>
      </c>
      <c r="C3" s="6" t="s">
        <v>1467</v>
      </c>
    </row>
    <row r="4">
      <c r="A4" s="237" t="s">
        <v>59</v>
      </c>
      <c r="B4" s="3" t="s">
        <v>1469</v>
      </c>
      <c r="C4" s="240" t="s">
        <v>1471</v>
      </c>
    </row>
    <row r="5">
      <c r="A5" s="241" t="s">
        <v>59</v>
      </c>
      <c r="B5" s="101" t="s">
        <v>1474</v>
      </c>
      <c r="C5" s="108" t="s">
        <v>1477</v>
      </c>
      <c r="D5" s="243"/>
      <c r="E5" s="243"/>
      <c r="F5" s="243"/>
      <c r="G5" s="243"/>
      <c r="H5" s="243"/>
      <c r="I5" s="243"/>
      <c r="J5" s="243"/>
      <c r="K5" s="243"/>
      <c r="L5" s="243"/>
      <c r="M5" s="243"/>
      <c r="N5" s="243"/>
      <c r="O5" s="243"/>
      <c r="P5" s="243"/>
      <c r="Q5" s="243"/>
      <c r="R5" s="243"/>
      <c r="S5" s="243"/>
      <c r="T5" s="243"/>
      <c r="U5" s="243"/>
      <c r="V5" s="243"/>
      <c r="W5" s="243"/>
      <c r="X5" s="243"/>
      <c r="Y5" s="243"/>
      <c r="Z5" s="243"/>
    </row>
    <row r="6">
      <c r="A6" s="237" t="s">
        <v>42</v>
      </c>
      <c r="B6" s="3" t="s">
        <v>1484</v>
      </c>
      <c r="C6" s="6" t="s">
        <v>1471</v>
      </c>
    </row>
    <row r="7">
      <c r="A7" s="241" t="s">
        <v>42</v>
      </c>
      <c r="B7" s="3" t="s">
        <v>1487</v>
      </c>
      <c r="C7" s="108" t="s">
        <v>1471</v>
      </c>
      <c r="D7" s="243"/>
      <c r="E7" s="243"/>
      <c r="F7" s="243"/>
      <c r="G7" s="243"/>
      <c r="H7" s="243"/>
      <c r="I7" s="243"/>
      <c r="J7" s="243"/>
      <c r="K7" s="243"/>
      <c r="L7" s="243"/>
      <c r="M7" s="243"/>
      <c r="N7" s="243"/>
      <c r="O7" s="243"/>
      <c r="P7" s="243"/>
      <c r="Q7" s="243"/>
      <c r="R7" s="243"/>
      <c r="S7" s="243"/>
      <c r="T7" s="243"/>
      <c r="U7" s="243"/>
      <c r="V7" s="243"/>
      <c r="W7" s="243"/>
      <c r="X7" s="243"/>
      <c r="Y7" s="243"/>
      <c r="Z7" s="243"/>
    </row>
    <row r="8">
      <c r="A8" s="241" t="s">
        <v>42</v>
      </c>
      <c r="B8" s="101" t="s">
        <v>1491</v>
      </c>
      <c r="C8" s="108" t="s">
        <v>1477</v>
      </c>
      <c r="D8" s="243"/>
      <c r="E8" s="243"/>
      <c r="F8" s="243"/>
      <c r="G8" s="243"/>
      <c r="H8" s="243"/>
      <c r="I8" s="243"/>
      <c r="J8" s="243"/>
      <c r="K8" s="243"/>
      <c r="L8" s="243"/>
      <c r="M8" s="243"/>
      <c r="N8" s="243"/>
      <c r="O8" s="243"/>
      <c r="P8" s="243"/>
      <c r="Q8" s="243"/>
      <c r="R8" s="243"/>
      <c r="S8" s="243"/>
      <c r="T8" s="243"/>
      <c r="U8" s="243"/>
      <c r="V8" s="243"/>
      <c r="W8" s="243"/>
      <c r="X8" s="243"/>
      <c r="Y8" s="243"/>
      <c r="Z8" s="243"/>
    </row>
    <row r="9">
      <c r="A9" s="237" t="s">
        <v>42</v>
      </c>
      <c r="B9" s="3" t="s">
        <v>1492</v>
      </c>
      <c r="C9" s="6" t="s">
        <v>1460</v>
      </c>
    </row>
    <row r="10">
      <c r="A10" s="237" t="s">
        <v>184</v>
      </c>
      <c r="B10" s="3" t="s">
        <v>1493</v>
      </c>
      <c r="C10" s="6" t="s">
        <v>1460</v>
      </c>
    </row>
    <row r="11">
      <c r="A11" s="237" t="s">
        <v>184</v>
      </c>
      <c r="B11" s="3" t="s">
        <v>1494</v>
      </c>
      <c r="C11" s="6" t="s">
        <v>1471</v>
      </c>
    </row>
    <row r="12">
      <c r="A12" s="237" t="s">
        <v>184</v>
      </c>
      <c r="B12" s="3" t="s">
        <v>1495</v>
      </c>
      <c r="C12" s="6" t="s">
        <v>1471</v>
      </c>
    </row>
    <row r="13">
      <c r="A13" s="237" t="s">
        <v>184</v>
      </c>
      <c r="B13" s="3" t="s">
        <v>1498</v>
      </c>
      <c r="C13" s="6" t="s">
        <v>1477</v>
      </c>
    </row>
    <row r="14">
      <c r="A14" s="237" t="s">
        <v>184</v>
      </c>
      <c r="B14" s="3" t="s">
        <v>1501</v>
      </c>
      <c r="C14" s="6" t="s">
        <v>1471</v>
      </c>
    </row>
    <row r="15">
      <c r="A15" s="237" t="s">
        <v>184</v>
      </c>
      <c r="B15" s="3" t="s">
        <v>1503</v>
      </c>
      <c r="C15" s="6" t="s">
        <v>1471</v>
      </c>
    </row>
    <row r="16">
      <c r="A16" s="237" t="s">
        <v>45</v>
      </c>
      <c r="B16" s="3" t="s">
        <v>1507</v>
      </c>
      <c r="C16" s="6" t="s">
        <v>1471</v>
      </c>
    </row>
    <row r="17">
      <c r="A17" s="237" t="s">
        <v>45</v>
      </c>
      <c r="B17" s="3" t="s">
        <v>1510</v>
      </c>
      <c r="C17" s="6" t="s">
        <v>1471</v>
      </c>
    </row>
    <row r="18">
      <c r="A18" s="237" t="s">
        <v>45</v>
      </c>
      <c r="B18" s="3" t="s">
        <v>1513</v>
      </c>
      <c r="C18" s="6" t="s">
        <v>1514</v>
      </c>
    </row>
    <row r="19">
      <c r="A19" s="237" t="s">
        <v>187</v>
      </c>
      <c r="B19" s="3" t="s">
        <v>1515</v>
      </c>
      <c r="C19" s="6" t="s">
        <v>1514</v>
      </c>
    </row>
    <row r="20">
      <c r="A20" s="237" t="s">
        <v>187</v>
      </c>
      <c r="B20" s="3" t="s">
        <v>1516</v>
      </c>
      <c r="C20" s="6" t="s">
        <v>1514</v>
      </c>
    </row>
    <row r="21">
      <c r="A21" s="237" t="s">
        <v>189</v>
      </c>
      <c r="B21" s="3" t="s">
        <v>1519</v>
      </c>
      <c r="C21" s="6" t="s">
        <v>1520</v>
      </c>
    </row>
    <row r="22">
      <c r="A22" s="237" t="s">
        <v>553</v>
      </c>
      <c r="B22" s="3" t="s">
        <v>1521</v>
      </c>
      <c r="C22" s="6" t="s">
        <v>1520</v>
      </c>
    </row>
    <row r="23">
      <c r="A23" s="237" t="s">
        <v>664</v>
      </c>
      <c r="B23" s="3" t="s">
        <v>1524</v>
      </c>
      <c r="C23" s="6" t="s">
        <v>1467</v>
      </c>
    </row>
    <row r="24">
      <c r="A24" s="237"/>
      <c r="B24" s="3"/>
      <c r="C24" s="3"/>
    </row>
    <row r="25">
      <c r="A25" s="237"/>
      <c r="B25" s="3"/>
      <c r="C25" s="3"/>
    </row>
  </sheetData>
  <dataValidations>
    <dataValidation type="list" allowBlank="1" showErrorMessage="1" sqref="C2:C23">
      <formula1>"Best paper,Career,Reviewing,Software,Teaching-related,Thesis,Other"</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
    <col customWidth="1" min="2" max="2" width="21.88"/>
    <col customWidth="1" min="3" max="3" width="26.38"/>
  </cols>
  <sheetData>
    <row r="1">
      <c r="A1" s="1" t="s">
        <v>6</v>
      </c>
      <c r="B1" s="1" t="s">
        <v>3</v>
      </c>
      <c r="C1" s="1" t="s">
        <v>98</v>
      </c>
      <c r="D1" s="1" t="s">
        <v>1783</v>
      </c>
      <c r="E1" s="1" t="s">
        <v>1785</v>
      </c>
    </row>
    <row r="2">
      <c r="A2" s="275" t="s">
        <v>184</v>
      </c>
      <c r="B2" s="3" t="s">
        <v>1788</v>
      </c>
      <c r="C2" s="3" t="s">
        <v>1789</v>
      </c>
      <c r="D2" s="3" t="s">
        <v>1790</v>
      </c>
      <c r="E2" s="3" t="s">
        <v>1791</v>
      </c>
    </row>
    <row r="3">
      <c r="A3" s="275" t="s">
        <v>184</v>
      </c>
      <c r="B3" s="3" t="s">
        <v>1788</v>
      </c>
      <c r="C3" s="3" t="s">
        <v>1792</v>
      </c>
      <c r="D3" s="3" t="s">
        <v>1790</v>
      </c>
      <c r="E3" s="6" t="s">
        <v>1793</v>
      </c>
    </row>
    <row r="4">
      <c r="A4" s="275" t="s">
        <v>184</v>
      </c>
      <c r="B4" s="3" t="s">
        <v>1788</v>
      </c>
      <c r="C4" s="3" t="s">
        <v>1794</v>
      </c>
      <c r="D4" s="3" t="s">
        <v>1790</v>
      </c>
      <c r="E4" s="3" t="s">
        <v>1793</v>
      </c>
    </row>
    <row r="5">
      <c r="A5" s="237" t="s">
        <v>45</v>
      </c>
      <c r="B5" s="3" t="s">
        <v>1788</v>
      </c>
      <c r="C5" s="3" t="s">
        <v>1796</v>
      </c>
      <c r="D5" s="3" t="s">
        <v>1798</v>
      </c>
      <c r="E5" s="3" t="s">
        <v>1793</v>
      </c>
    </row>
    <row r="6">
      <c r="A6" s="237" t="s">
        <v>45</v>
      </c>
      <c r="B6" s="3" t="s">
        <v>1788</v>
      </c>
      <c r="C6" s="3" t="s">
        <v>1799</v>
      </c>
      <c r="D6" s="3" t="s">
        <v>1798</v>
      </c>
      <c r="E6" s="3" t="s">
        <v>1800</v>
      </c>
    </row>
    <row r="7">
      <c r="A7" s="237" t="s">
        <v>187</v>
      </c>
      <c r="B7" s="3" t="s">
        <v>1788</v>
      </c>
      <c r="C7" s="3" t="s">
        <v>1803</v>
      </c>
      <c r="D7" s="3" t="s">
        <v>1804</v>
      </c>
      <c r="E7" s="3" t="s">
        <v>1793</v>
      </c>
    </row>
    <row r="8">
      <c r="A8" s="237" t="s">
        <v>187</v>
      </c>
      <c r="B8" s="3" t="s">
        <v>1788</v>
      </c>
      <c r="C8" s="3" t="s">
        <v>1805</v>
      </c>
      <c r="D8" s="3" t="s">
        <v>1804</v>
      </c>
      <c r="E8" s="3" t="s">
        <v>1793</v>
      </c>
    </row>
    <row r="9">
      <c r="A9" s="237" t="s">
        <v>187</v>
      </c>
      <c r="B9" s="3" t="s">
        <v>1807</v>
      </c>
      <c r="C9" s="3" t="s">
        <v>1808</v>
      </c>
      <c r="D9" s="3" t="s">
        <v>1798</v>
      </c>
      <c r="E9" s="3" t="s">
        <v>1810</v>
      </c>
    </row>
    <row r="10">
      <c r="A10" s="237" t="s">
        <v>189</v>
      </c>
      <c r="B10" s="3" t="s">
        <v>1811</v>
      </c>
      <c r="C10" s="3" t="s">
        <v>1808</v>
      </c>
      <c r="D10" s="3" t="s">
        <v>1798</v>
      </c>
      <c r="E10" s="3" t="s">
        <v>1810</v>
      </c>
    </row>
    <row r="11">
      <c r="A11" s="237" t="s">
        <v>553</v>
      </c>
      <c r="B11" s="3" t="s">
        <v>1811</v>
      </c>
      <c r="C11" s="3" t="s">
        <v>1814</v>
      </c>
      <c r="D11" s="3" t="s">
        <v>1815</v>
      </c>
      <c r="E11" s="3" t="s">
        <v>1816</v>
      </c>
    </row>
    <row r="12">
      <c r="A12" s="277"/>
      <c r="B12" s="278"/>
      <c r="C12" s="278"/>
      <c r="D12" s="279"/>
    </row>
    <row r="13">
      <c r="A13" s="277"/>
      <c r="B13" s="278"/>
      <c r="C13" s="280"/>
      <c r="D13" s="279"/>
    </row>
    <row r="14">
      <c r="A14" s="277"/>
      <c r="B14" s="278"/>
      <c r="C14" s="278"/>
      <c r="D14" s="279"/>
    </row>
    <row r="15">
      <c r="A15" s="277"/>
      <c r="B15" s="278"/>
      <c r="C15" s="278"/>
      <c r="D15" s="279"/>
    </row>
    <row r="16">
      <c r="A16" s="277"/>
      <c r="B16" s="278"/>
      <c r="C16" s="280"/>
      <c r="D16" s="279"/>
    </row>
    <row r="17">
      <c r="A17" s="277"/>
      <c r="B17" s="278"/>
      <c r="C17" s="278"/>
      <c r="D17" s="279"/>
    </row>
    <row r="18">
      <c r="A18" s="277"/>
      <c r="B18" s="278"/>
      <c r="C18" s="280"/>
      <c r="D18" s="279"/>
    </row>
    <row r="19">
      <c r="A19" s="277"/>
      <c r="B19" s="278"/>
      <c r="C19" s="279"/>
      <c r="D19" s="281"/>
    </row>
    <row r="20">
      <c r="A20" s="277"/>
      <c r="B20" s="278"/>
      <c r="C20" s="279"/>
      <c r="D20" s="281"/>
    </row>
    <row r="21">
      <c r="A21" s="277"/>
      <c r="B21" s="278"/>
      <c r="C21" s="279"/>
      <c r="D21" s="281"/>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38"/>
    <col customWidth="1" min="2" max="2" width="66.0"/>
  </cols>
  <sheetData>
    <row r="1">
      <c r="A1" s="291" t="s">
        <v>6</v>
      </c>
      <c r="B1" s="291" t="s">
        <v>176</v>
      </c>
      <c r="C1" s="292" t="s">
        <v>1885</v>
      </c>
      <c r="D1" s="8"/>
      <c r="E1" s="8"/>
      <c r="F1" s="8"/>
      <c r="G1" s="8"/>
      <c r="H1" s="8"/>
      <c r="I1" s="8"/>
      <c r="J1" s="8"/>
      <c r="K1" s="8"/>
      <c r="L1" s="8"/>
      <c r="M1" s="8"/>
      <c r="N1" s="8"/>
      <c r="O1" s="8"/>
      <c r="P1" s="8"/>
      <c r="Q1" s="8"/>
      <c r="R1" s="8"/>
      <c r="S1" s="8"/>
      <c r="T1" s="8"/>
      <c r="U1" s="8"/>
      <c r="V1" s="8"/>
      <c r="W1" s="8"/>
      <c r="X1" s="8"/>
      <c r="Y1" s="8"/>
      <c r="Z1" s="8"/>
    </row>
    <row r="2">
      <c r="A2" s="101" t="s">
        <v>179</v>
      </c>
      <c r="B2" s="101" t="s">
        <v>1886</v>
      </c>
      <c r="C2" s="64" t="s">
        <v>1887</v>
      </c>
      <c r="D2" s="64"/>
      <c r="E2" s="64"/>
      <c r="F2" s="64"/>
      <c r="G2" s="64"/>
      <c r="H2" s="64"/>
      <c r="I2" s="64"/>
      <c r="J2" s="64"/>
      <c r="K2" s="64"/>
      <c r="L2" s="64"/>
      <c r="M2" s="64"/>
      <c r="N2" s="64"/>
      <c r="O2" s="64"/>
      <c r="P2" s="64"/>
      <c r="Q2" s="64"/>
      <c r="R2" s="64"/>
      <c r="S2" s="64"/>
      <c r="T2" s="64"/>
      <c r="U2" s="64"/>
      <c r="V2" s="64"/>
      <c r="W2" s="64"/>
      <c r="X2" s="64"/>
      <c r="Y2" s="64"/>
      <c r="Z2" s="64"/>
    </row>
    <row r="3">
      <c r="A3" s="101" t="s">
        <v>493</v>
      </c>
      <c r="B3" s="183" t="s">
        <v>1888</v>
      </c>
      <c r="C3" s="101" t="s">
        <v>1889</v>
      </c>
      <c r="D3" s="64"/>
      <c r="E3" s="64"/>
      <c r="F3" s="64"/>
      <c r="G3" s="64"/>
      <c r="H3" s="64"/>
      <c r="I3" s="64"/>
      <c r="J3" s="64"/>
      <c r="K3" s="64"/>
      <c r="L3" s="64"/>
      <c r="M3" s="64"/>
      <c r="N3" s="64"/>
      <c r="O3" s="64"/>
      <c r="P3" s="64"/>
      <c r="Q3" s="64"/>
      <c r="R3" s="64"/>
      <c r="S3" s="64"/>
      <c r="T3" s="64"/>
      <c r="U3" s="64"/>
      <c r="V3" s="64"/>
      <c r="W3" s="64"/>
      <c r="X3" s="64"/>
      <c r="Y3" s="64"/>
      <c r="Z3" s="64"/>
    </row>
    <row r="4">
      <c r="A4" s="19" t="s">
        <v>1890</v>
      </c>
      <c r="B4" s="183" t="s">
        <v>1891</v>
      </c>
      <c r="C4" s="101" t="s">
        <v>1889</v>
      </c>
      <c r="D4" s="64"/>
      <c r="E4" s="64"/>
      <c r="F4" s="64"/>
      <c r="G4" s="64"/>
      <c r="H4" s="64"/>
      <c r="I4" s="64"/>
      <c r="J4" s="64"/>
      <c r="K4" s="64"/>
      <c r="L4" s="64"/>
      <c r="M4" s="64"/>
      <c r="N4" s="64"/>
      <c r="O4" s="64"/>
      <c r="P4" s="64"/>
      <c r="Q4" s="64"/>
      <c r="R4" s="64"/>
      <c r="S4" s="64"/>
      <c r="T4" s="64"/>
      <c r="U4" s="64"/>
      <c r="V4" s="64"/>
      <c r="W4" s="64"/>
      <c r="X4" s="64"/>
      <c r="Y4" s="64"/>
      <c r="Z4" s="64"/>
    </row>
    <row r="5">
      <c r="A5" s="19" t="s">
        <v>42</v>
      </c>
      <c r="B5" s="183" t="s">
        <v>1892</v>
      </c>
      <c r="C5" s="101" t="s">
        <v>1887</v>
      </c>
      <c r="D5" s="64"/>
      <c r="E5" s="64"/>
      <c r="F5" s="64"/>
      <c r="G5" s="64"/>
      <c r="H5" s="64"/>
      <c r="I5" s="64"/>
      <c r="J5" s="64"/>
      <c r="K5" s="64"/>
      <c r="L5" s="64"/>
      <c r="M5" s="64"/>
      <c r="N5" s="64"/>
      <c r="O5" s="64"/>
      <c r="P5" s="64"/>
      <c r="Q5" s="64"/>
      <c r="R5" s="64"/>
      <c r="S5" s="64"/>
      <c r="T5" s="64"/>
      <c r="U5" s="64"/>
      <c r="V5" s="64"/>
      <c r="W5" s="64"/>
      <c r="X5" s="64"/>
      <c r="Y5" s="64"/>
      <c r="Z5" s="64"/>
    </row>
    <row r="6">
      <c r="A6" s="19" t="s">
        <v>1184</v>
      </c>
      <c r="B6" s="183" t="s">
        <v>1893</v>
      </c>
      <c r="C6" s="101" t="s">
        <v>1887</v>
      </c>
      <c r="D6" s="64"/>
      <c r="E6" s="64"/>
      <c r="F6" s="64"/>
      <c r="G6" s="64"/>
      <c r="H6" s="64"/>
      <c r="I6" s="64"/>
      <c r="J6" s="64"/>
      <c r="K6" s="64"/>
      <c r="L6" s="64"/>
      <c r="M6" s="64"/>
      <c r="N6" s="64"/>
      <c r="O6" s="64"/>
      <c r="P6" s="64"/>
      <c r="Q6" s="64"/>
      <c r="R6" s="64"/>
      <c r="S6" s="64"/>
      <c r="T6" s="64"/>
      <c r="U6" s="64"/>
      <c r="V6" s="64"/>
      <c r="W6" s="64"/>
      <c r="X6" s="64"/>
      <c r="Y6" s="64"/>
      <c r="Z6" s="64"/>
    </row>
    <row r="7">
      <c r="A7" s="19" t="s">
        <v>1184</v>
      </c>
      <c r="B7" s="183" t="s">
        <v>1894</v>
      </c>
      <c r="C7" s="101" t="s">
        <v>1887</v>
      </c>
      <c r="D7" s="64"/>
      <c r="E7" s="64"/>
      <c r="F7" s="64"/>
      <c r="G7" s="64"/>
      <c r="H7" s="64"/>
      <c r="I7" s="64"/>
      <c r="J7" s="64"/>
      <c r="K7" s="64"/>
      <c r="L7" s="64"/>
      <c r="M7" s="64"/>
      <c r="N7" s="64"/>
      <c r="O7" s="64"/>
      <c r="P7" s="64"/>
      <c r="Q7" s="64"/>
      <c r="R7" s="64"/>
      <c r="S7" s="64"/>
      <c r="T7" s="64"/>
      <c r="U7" s="64"/>
      <c r="V7" s="64"/>
      <c r="W7" s="64"/>
      <c r="X7" s="64"/>
      <c r="Y7" s="64"/>
      <c r="Z7" s="64"/>
    </row>
    <row r="8">
      <c r="A8" s="19" t="s">
        <v>42</v>
      </c>
      <c r="B8" s="183" t="s">
        <v>1895</v>
      </c>
      <c r="C8" s="101" t="s">
        <v>1887</v>
      </c>
      <c r="D8" s="64"/>
      <c r="E8" s="64"/>
      <c r="F8" s="64"/>
      <c r="G8" s="64"/>
      <c r="H8" s="64"/>
      <c r="I8" s="64"/>
      <c r="J8" s="64"/>
      <c r="K8" s="64"/>
      <c r="L8" s="64"/>
      <c r="M8" s="64"/>
      <c r="N8" s="64"/>
      <c r="O8" s="64"/>
      <c r="P8" s="64"/>
      <c r="Q8" s="64"/>
      <c r="R8" s="64"/>
      <c r="S8" s="64"/>
      <c r="T8" s="64"/>
      <c r="U8" s="64"/>
      <c r="V8" s="64"/>
      <c r="W8" s="64"/>
      <c r="X8" s="64"/>
      <c r="Y8" s="64"/>
      <c r="Z8" s="64"/>
    </row>
    <row r="9">
      <c r="A9" s="19" t="s">
        <v>1184</v>
      </c>
      <c r="B9" s="293" t="s">
        <v>1896</v>
      </c>
      <c r="C9" s="101" t="s">
        <v>1897</v>
      </c>
      <c r="D9" s="64"/>
      <c r="E9" s="64"/>
      <c r="F9" s="64"/>
      <c r="G9" s="64"/>
      <c r="H9" s="64"/>
      <c r="I9" s="64"/>
      <c r="J9" s="64"/>
      <c r="K9" s="64"/>
      <c r="L9" s="64"/>
      <c r="M9" s="64"/>
      <c r="N9" s="64"/>
      <c r="O9" s="64"/>
      <c r="P9" s="64"/>
      <c r="Q9" s="64"/>
      <c r="R9" s="64"/>
      <c r="S9" s="64"/>
      <c r="T9" s="64"/>
      <c r="U9" s="64"/>
      <c r="V9" s="64"/>
      <c r="W9" s="64"/>
      <c r="X9" s="64"/>
      <c r="Y9" s="64"/>
      <c r="Z9" s="64"/>
    </row>
    <row r="10">
      <c r="A10" s="19" t="s">
        <v>1898</v>
      </c>
      <c r="B10" s="293" t="s">
        <v>1899</v>
      </c>
      <c r="C10" s="101" t="s">
        <v>1889</v>
      </c>
      <c r="D10" s="64"/>
      <c r="E10" s="64"/>
      <c r="F10" s="64"/>
      <c r="G10" s="64"/>
      <c r="H10" s="64"/>
      <c r="I10" s="64"/>
      <c r="J10" s="64"/>
      <c r="K10" s="64"/>
      <c r="L10" s="64"/>
      <c r="M10" s="64"/>
      <c r="N10" s="64"/>
      <c r="O10" s="64"/>
      <c r="P10" s="64"/>
      <c r="Q10" s="64"/>
      <c r="R10" s="64"/>
      <c r="S10" s="64"/>
      <c r="T10" s="64"/>
      <c r="U10" s="64"/>
      <c r="V10" s="64"/>
      <c r="W10" s="64"/>
      <c r="X10" s="64"/>
      <c r="Y10" s="64"/>
      <c r="Z10" s="64"/>
    </row>
    <row r="11">
      <c r="A11" s="294" t="s">
        <v>1900</v>
      </c>
      <c r="B11" s="293" t="s">
        <v>1901</v>
      </c>
      <c r="C11" s="101" t="s">
        <v>1889</v>
      </c>
      <c r="D11" s="64"/>
      <c r="E11" s="64"/>
      <c r="F11" s="64"/>
      <c r="G11" s="64"/>
      <c r="H11" s="64"/>
      <c r="I11" s="64"/>
      <c r="J11" s="64"/>
      <c r="K11" s="64"/>
      <c r="L11" s="64"/>
      <c r="M11" s="64"/>
      <c r="N11" s="64"/>
      <c r="O11" s="64"/>
      <c r="P11" s="64"/>
      <c r="Q11" s="64"/>
      <c r="R11" s="64"/>
      <c r="S11" s="64"/>
      <c r="T11" s="64"/>
      <c r="U11" s="64"/>
      <c r="V11" s="64"/>
      <c r="W11" s="64"/>
      <c r="X11" s="64"/>
      <c r="Y11" s="64"/>
      <c r="Z11" s="64"/>
    </row>
    <row r="12">
      <c r="A12" s="19" t="s">
        <v>1898</v>
      </c>
      <c r="B12" s="293" t="s">
        <v>1902</v>
      </c>
      <c r="C12" s="101" t="s">
        <v>1889</v>
      </c>
      <c r="D12" s="8"/>
      <c r="E12" s="8"/>
      <c r="F12" s="8"/>
      <c r="G12" s="8"/>
      <c r="H12" s="8"/>
      <c r="I12" s="8"/>
      <c r="J12" s="8"/>
      <c r="K12" s="8"/>
      <c r="L12" s="8"/>
      <c r="M12" s="8"/>
      <c r="N12" s="8"/>
      <c r="O12" s="8"/>
      <c r="P12" s="8"/>
      <c r="Q12" s="8"/>
      <c r="R12" s="8"/>
      <c r="S12" s="8"/>
      <c r="T12" s="8"/>
      <c r="U12" s="8"/>
      <c r="V12" s="8"/>
      <c r="W12" s="8"/>
      <c r="X12" s="8"/>
      <c r="Y12" s="8"/>
      <c r="Z12" s="8"/>
    </row>
    <row r="13">
      <c r="A13" s="183" t="s">
        <v>42</v>
      </c>
      <c r="B13" s="183" t="s">
        <v>1903</v>
      </c>
      <c r="C13" s="101" t="s">
        <v>1889</v>
      </c>
      <c r="D13" s="8"/>
      <c r="E13" s="8"/>
      <c r="F13" s="8"/>
      <c r="G13" s="8"/>
      <c r="H13" s="8"/>
      <c r="I13" s="8"/>
      <c r="J13" s="8"/>
      <c r="K13" s="8"/>
      <c r="L13" s="8"/>
      <c r="M13" s="8"/>
      <c r="N13" s="8"/>
      <c r="O13" s="8"/>
      <c r="P13" s="8"/>
      <c r="Q13" s="8"/>
      <c r="R13" s="8"/>
      <c r="S13" s="8"/>
      <c r="T13" s="8"/>
      <c r="U13" s="8"/>
      <c r="V13" s="8"/>
      <c r="W13" s="8"/>
      <c r="X13" s="8"/>
      <c r="Y13" s="8"/>
      <c r="Z13" s="8"/>
    </row>
    <row r="14">
      <c r="A14" s="183" t="s">
        <v>184</v>
      </c>
      <c r="B14" s="183" t="s">
        <v>1906</v>
      </c>
      <c r="C14" s="101" t="s">
        <v>1889</v>
      </c>
      <c r="D14" s="8"/>
      <c r="E14" s="8"/>
      <c r="F14" s="8"/>
      <c r="G14" s="8"/>
      <c r="H14" s="8"/>
      <c r="I14" s="8"/>
      <c r="J14" s="8"/>
      <c r="K14" s="8"/>
      <c r="L14" s="8"/>
      <c r="M14" s="8"/>
      <c r="N14" s="8"/>
      <c r="O14" s="8"/>
      <c r="P14" s="8"/>
      <c r="Q14" s="8"/>
      <c r="R14" s="8"/>
      <c r="S14" s="8"/>
      <c r="T14" s="8"/>
      <c r="U14" s="8"/>
      <c r="V14" s="8"/>
      <c r="W14" s="8"/>
      <c r="X14" s="8"/>
      <c r="Y14" s="8"/>
      <c r="Z14" s="8"/>
    </row>
    <row r="15">
      <c r="A15" s="183" t="s">
        <v>1917</v>
      </c>
      <c r="B15" s="183" t="s">
        <v>1918</v>
      </c>
      <c r="C15" s="101" t="s">
        <v>1887</v>
      </c>
      <c r="D15" s="8"/>
      <c r="E15" s="8"/>
      <c r="F15" s="8"/>
      <c r="G15" s="8"/>
      <c r="H15" s="8"/>
      <c r="I15" s="8"/>
      <c r="J15" s="8"/>
      <c r="K15" s="8"/>
      <c r="L15" s="8"/>
      <c r="M15" s="8"/>
      <c r="N15" s="8"/>
      <c r="O15" s="8"/>
      <c r="P15" s="8"/>
      <c r="Q15" s="8"/>
      <c r="R15" s="8"/>
      <c r="S15" s="8"/>
      <c r="T15" s="8"/>
      <c r="U15" s="8"/>
      <c r="V15" s="8"/>
      <c r="W15" s="8"/>
      <c r="X15" s="8"/>
      <c r="Y15" s="8"/>
      <c r="Z15" s="8"/>
    </row>
    <row r="16">
      <c r="A16" s="183" t="s">
        <v>1184</v>
      </c>
      <c r="B16" s="183" t="s">
        <v>1919</v>
      </c>
      <c r="C16" s="101" t="s">
        <v>1887</v>
      </c>
      <c r="D16" s="8"/>
      <c r="E16" s="8"/>
      <c r="F16" s="8"/>
      <c r="G16" s="8"/>
      <c r="H16" s="8"/>
      <c r="I16" s="8"/>
      <c r="J16" s="8"/>
      <c r="K16" s="8"/>
      <c r="L16" s="8"/>
      <c r="M16" s="8"/>
      <c r="N16" s="8"/>
      <c r="O16" s="8"/>
      <c r="P16" s="8"/>
      <c r="Q16" s="8"/>
      <c r="R16" s="8"/>
      <c r="S16" s="8"/>
      <c r="T16" s="8"/>
      <c r="U16" s="8"/>
      <c r="V16" s="8"/>
      <c r="W16" s="8"/>
      <c r="X16" s="8"/>
      <c r="Y16" s="8"/>
      <c r="Z16" s="8"/>
    </row>
    <row r="17">
      <c r="A17" s="183" t="s">
        <v>498</v>
      </c>
      <c r="B17" s="183" t="s">
        <v>1921</v>
      </c>
      <c r="C17" s="101" t="s">
        <v>1887</v>
      </c>
      <c r="D17" s="8"/>
      <c r="E17" s="8"/>
      <c r="F17" s="8"/>
      <c r="G17" s="8"/>
      <c r="H17" s="8"/>
      <c r="I17" s="8"/>
      <c r="J17" s="8"/>
      <c r="K17" s="8"/>
      <c r="L17" s="8"/>
      <c r="M17" s="8"/>
      <c r="N17" s="8"/>
      <c r="O17" s="8"/>
      <c r="P17" s="8"/>
      <c r="Q17" s="8"/>
      <c r="R17" s="8"/>
      <c r="S17" s="8"/>
      <c r="T17" s="8"/>
      <c r="U17" s="8"/>
      <c r="V17" s="8"/>
      <c r="W17" s="8"/>
      <c r="X17" s="8"/>
      <c r="Y17" s="8"/>
      <c r="Z17" s="8"/>
    </row>
    <row r="18">
      <c r="A18" s="183" t="s">
        <v>184</v>
      </c>
      <c r="B18" s="183" t="s">
        <v>1922</v>
      </c>
      <c r="C18" s="101" t="s">
        <v>1887</v>
      </c>
      <c r="D18" s="8"/>
      <c r="E18" s="8"/>
      <c r="F18" s="8"/>
      <c r="G18" s="8"/>
      <c r="H18" s="8"/>
      <c r="I18" s="8"/>
      <c r="J18" s="8"/>
      <c r="K18" s="8"/>
      <c r="L18" s="8"/>
      <c r="M18" s="8"/>
      <c r="N18" s="8"/>
      <c r="O18" s="8"/>
      <c r="P18" s="8"/>
      <c r="Q18" s="8"/>
      <c r="R18" s="8"/>
      <c r="S18" s="8"/>
      <c r="T18" s="8"/>
      <c r="U18" s="8"/>
      <c r="V18" s="8"/>
      <c r="W18" s="8"/>
      <c r="X18" s="8"/>
      <c r="Y18" s="8"/>
      <c r="Z18" s="8"/>
    </row>
    <row r="19">
      <c r="A19" s="19" t="s">
        <v>45</v>
      </c>
      <c r="B19" s="293" t="s">
        <v>1924</v>
      </c>
      <c r="C19" s="101" t="s">
        <v>1887</v>
      </c>
      <c r="D19" s="64"/>
      <c r="E19" s="64"/>
      <c r="F19" s="64"/>
      <c r="G19" s="64"/>
      <c r="H19" s="64"/>
      <c r="I19" s="64"/>
      <c r="J19" s="64"/>
      <c r="K19" s="64"/>
      <c r="L19" s="64"/>
      <c r="M19" s="64"/>
      <c r="N19" s="64"/>
      <c r="O19" s="64"/>
      <c r="P19" s="64"/>
      <c r="Q19" s="64"/>
      <c r="R19" s="64"/>
      <c r="S19" s="64"/>
      <c r="T19" s="64"/>
      <c r="U19" s="64"/>
      <c r="V19" s="64"/>
      <c r="W19" s="64"/>
      <c r="X19" s="64"/>
      <c r="Y19" s="64"/>
      <c r="Z19" s="64"/>
    </row>
    <row r="20">
      <c r="A20" s="19" t="s">
        <v>1170</v>
      </c>
      <c r="B20" s="293" t="s">
        <v>1926</v>
      </c>
      <c r="C20" s="101" t="s">
        <v>1887</v>
      </c>
      <c r="D20" s="64"/>
      <c r="E20" s="64"/>
      <c r="F20" s="64"/>
      <c r="G20" s="64"/>
      <c r="H20" s="64"/>
      <c r="I20" s="64"/>
      <c r="J20" s="64"/>
      <c r="K20" s="64"/>
      <c r="L20" s="64"/>
      <c r="M20" s="64"/>
      <c r="N20" s="64"/>
      <c r="O20" s="64"/>
      <c r="P20" s="64"/>
      <c r="Q20" s="64"/>
      <c r="R20" s="64"/>
      <c r="S20" s="64"/>
      <c r="T20" s="64"/>
      <c r="U20" s="64"/>
      <c r="V20" s="64"/>
      <c r="W20" s="64"/>
      <c r="X20" s="64"/>
      <c r="Y20" s="64"/>
      <c r="Z20" s="64"/>
    </row>
    <row r="21">
      <c r="A21" s="19" t="s">
        <v>1170</v>
      </c>
      <c r="B21" s="293" t="s">
        <v>1931</v>
      </c>
      <c r="C21" s="101" t="s">
        <v>1889</v>
      </c>
      <c r="D21" s="64"/>
      <c r="E21" s="64"/>
      <c r="F21" s="64"/>
      <c r="G21" s="64"/>
      <c r="H21" s="64"/>
      <c r="I21" s="64"/>
      <c r="J21" s="64"/>
      <c r="K21" s="64"/>
      <c r="L21" s="64"/>
      <c r="M21" s="64"/>
      <c r="N21" s="64"/>
      <c r="O21" s="64"/>
      <c r="P21" s="64"/>
      <c r="Q21" s="64"/>
      <c r="R21" s="64"/>
      <c r="S21" s="64"/>
      <c r="T21" s="64"/>
      <c r="U21" s="64"/>
      <c r="V21" s="64"/>
      <c r="W21" s="64"/>
      <c r="X21" s="64"/>
      <c r="Y21" s="64"/>
      <c r="Z21" s="64"/>
    </row>
    <row r="22">
      <c r="A22" s="19" t="s">
        <v>45</v>
      </c>
      <c r="B22" s="293" t="s">
        <v>1932</v>
      </c>
      <c r="C22" s="101" t="s">
        <v>1887</v>
      </c>
      <c r="D22" s="64"/>
      <c r="E22" s="64"/>
      <c r="F22" s="64"/>
      <c r="G22" s="64"/>
      <c r="H22" s="64"/>
      <c r="I22" s="64"/>
      <c r="J22" s="64"/>
      <c r="K22" s="64"/>
      <c r="L22" s="64"/>
      <c r="M22" s="64"/>
      <c r="N22" s="64"/>
      <c r="O22" s="64"/>
      <c r="P22" s="64"/>
      <c r="Q22" s="64"/>
      <c r="R22" s="64"/>
      <c r="S22" s="64"/>
      <c r="T22" s="64"/>
      <c r="U22" s="64"/>
      <c r="V22" s="64"/>
      <c r="W22" s="64"/>
      <c r="X22" s="64"/>
      <c r="Y22" s="64"/>
      <c r="Z22" s="64"/>
    </row>
    <row r="23">
      <c r="A23" s="19" t="s">
        <v>45</v>
      </c>
      <c r="B23" s="293" t="s">
        <v>1934</v>
      </c>
      <c r="C23" s="101" t="s">
        <v>1889</v>
      </c>
      <c r="D23" s="64"/>
      <c r="E23" s="64"/>
      <c r="F23" s="64"/>
      <c r="G23" s="64"/>
      <c r="H23" s="64"/>
      <c r="I23" s="64"/>
      <c r="J23" s="64"/>
      <c r="K23" s="64"/>
      <c r="L23" s="64"/>
      <c r="M23" s="64"/>
      <c r="N23" s="64"/>
      <c r="O23" s="64"/>
      <c r="P23" s="64"/>
      <c r="Q23" s="64"/>
      <c r="R23" s="64"/>
      <c r="S23" s="64"/>
      <c r="T23" s="64"/>
      <c r="U23" s="64"/>
      <c r="V23" s="64"/>
      <c r="W23" s="64"/>
      <c r="X23" s="64"/>
      <c r="Y23" s="64"/>
      <c r="Z23" s="64"/>
    </row>
    <row r="24">
      <c r="A24" s="24" t="s">
        <v>45</v>
      </c>
      <c r="B24" s="293" t="s">
        <v>1938</v>
      </c>
      <c r="C24" s="101" t="s">
        <v>1889</v>
      </c>
      <c r="D24" s="64"/>
      <c r="E24" s="64"/>
      <c r="F24" s="64"/>
      <c r="G24" s="64"/>
      <c r="H24" s="64"/>
      <c r="I24" s="64"/>
      <c r="J24" s="64"/>
      <c r="K24" s="64"/>
      <c r="L24" s="64"/>
      <c r="M24" s="64"/>
      <c r="N24" s="64"/>
      <c r="O24" s="64"/>
      <c r="P24" s="64"/>
      <c r="Q24" s="64"/>
      <c r="R24" s="64"/>
      <c r="S24" s="64"/>
      <c r="T24" s="64"/>
      <c r="U24" s="64"/>
      <c r="V24" s="64"/>
      <c r="W24" s="64"/>
      <c r="X24" s="64"/>
      <c r="Y24" s="64"/>
      <c r="Z24" s="64"/>
    </row>
    <row r="25">
      <c r="A25" s="19" t="s">
        <v>45</v>
      </c>
      <c r="B25" s="293" t="s">
        <v>1940</v>
      </c>
      <c r="C25" s="101" t="s">
        <v>1887</v>
      </c>
      <c r="D25" s="64"/>
      <c r="E25" s="64"/>
      <c r="F25" s="64"/>
      <c r="G25" s="64"/>
      <c r="H25" s="64"/>
      <c r="I25" s="64"/>
      <c r="J25" s="64"/>
      <c r="K25" s="64"/>
      <c r="L25" s="64"/>
      <c r="M25" s="64"/>
      <c r="N25" s="64"/>
      <c r="O25" s="64"/>
      <c r="P25" s="64"/>
      <c r="Q25" s="64"/>
      <c r="R25" s="64"/>
      <c r="S25" s="64"/>
      <c r="T25" s="64"/>
      <c r="U25" s="64"/>
      <c r="V25" s="64"/>
      <c r="W25" s="64"/>
      <c r="X25" s="64"/>
      <c r="Y25" s="64"/>
      <c r="Z25" s="64"/>
    </row>
    <row r="26">
      <c r="A26" s="19" t="s">
        <v>45</v>
      </c>
      <c r="B26" s="293" t="s">
        <v>1941</v>
      </c>
      <c r="C26" s="101" t="s">
        <v>1897</v>
      </c>
      <c r="D26" s="64"/>
      <c r="E26" s="64"/>
      <c r="F26" s="64"/>
      <c r="G26" s="64"/>
      <c r="H26" s="64"/>
      <c r="I26" s="64"/>
      <c r="J26" s="64"/>
      <c r="K26" s="64"/>
      <c r="L26" s="64"/>
      <c r="M26" s="64"/>
      <c r="N26" s="64"/>
      <c r="O26" s="64"/>
      <c r="P26" s="64"/>
      <c r="Q26" s="64"/>
      <c r="R26" s="64"/>
      <c r="S26" s="64"/>
      <c r="T26" s="64"/>
      <c r="U26" s="64"/>
      <c r="V26" s="64"/>
      <c r="W26" s="64"/>
      <c r="X26" s="64"/>
      <c r="Y26" s="64"/>
      <c r="Z26" s="64"/>
    </row>
    <row r="27">
      <c r="A27" s="183" t="s">
        <v>187</v>
      </c>
      <c r="B27" s="183" t="s">
        <v>1943</v>
      </c>
      <c r="C27" s="79" t="s">
        <v>1897</v>
      </c>
      <c r="D27" s="8"/>
      <c r="E27" s="8"/>
      <c r="F27" s="8"/>
      <c r="G27" s="8"/>
      <c r="H27" s="8"/>
      <c r="I27" s="8"/>
      <c r="J27" s="8"/>
      <c r="K27" s="8"/>
      <c r="L27" s="8"/>
      <c r="M27" s="8"/>
      <c r="N27" s="8"/>
      <c r="O27" s="8"/>
      <c r="P27" s="8"/>
      <c r="Q27" s="8"/>
      <c r="R27" s="8"/>
      <c r="S27" s="8"/>
      <c r="T27" s="8"/>
      <c r="U27" s="8"/>
      <c r="V27" s="8"/>
      <c r="W27" s="8"/>
      <c r="X27" s="8"/>
      <c r="Y27" s="8"/>
      <c r="Z27" s="8"/>
    </row>
    <row r="28">
      <c r="A28" s="183" t="s">
        <v>187</v>
      </c>
      <c r="B28" s="183" t="s">
        <v>1948</v>
      </c>
      <c r="C28" s="79" t="s">
        <v>1887</v>
      </c>
      <c r="D28" s="8"/>
      <c r="E28" s="8"/>
      <c r="F28" s="8"/>
      <c r="G28" s="8"/>
      <c r="H28" s="8"/>
      <c r="I28" s="8"/>
      <c r="J28" s="8"/>
      <c r="K28" s="8"/>
      <c r="L28" s="8"/>
      <c r="M28" s="8"/>
      <c r="N28" s="8"/>
      <c r="O28" s="8"/>
      <c r="P28" s="8"/>
      <c r="Q28" s="8"/>
      <c r="R28" s="8"/>
      <c r="S28" s="8"/>
      <c r="T28" s="8"/>
      <c r="U28" s="8"/>
      <c r="V28" s="8"/>
      <c r="W28" s="8"/>
      <c r="X28" s="8"/>
      <c r="Y28" s="8"/>
      <c r="Z28" s="8"/>
    </row>
    <row r="29">
      <c r="A29" s="183" t="s">
        <v>502</v>
      </c>
      <c r="B29" s="183" t="s">
        <v>1951</v>
      </c>
      <c r="C29" s="79" t="s">
        <v>1887</v>
      </c>
      <c r="D29" s="8"/>
      <c r="E29" s="8"/>
      <c r="F29" s="8"/>
      <c r="G29" s="8"/>
      <c r="H29" s="8"/>
      <c r="I29" s="8"/>
      <c r="J29" s="8"/>
      <c r="K29" s="8"/>
      <c r="L29" s="8"/>
      <c r="M29" s="8"/>
      <c r="N29" s="8"/>
      <c r="O29" s="8"/>
      <c r="P29" s="8"/>
      <c r="Q29" s="8"/>
      <c r="R29" s="8"/>
      <c r="S29" s="8"/>
      <c r="T29" s="8"/>
      <c r="U29" s="8"/>
      <c r="V29" s="8"/>
      <c r="W29" s="8"/>
      <c r="X29" s="8"/>
      <c r="Y29" s="8"/>
      <c r="Z29" s="8"/>
    </row>
    <row r="30">
      <c r="A30" s="183" t="s">
        <v>680</v>
      </c>
      <c r="B30" s="183" t="s">
        <v>1952</v>
      </c>
      <c r="C30" s="79" t="s">
        <v>1887</v>
      </c>
      <c r="D30" s="8"/>
      <c r="E30" s="8"/>
      <c r="F30" s="8"/>
      <c r="G30" s="8"/>
      <c r="H30" s="8"/>
      <c r="I30" s="8"/>
      <c r="J30" s="8"/>
      <c r="K30" s="8"/>
      <c r="L30" s="8"/>
      <c r="M30" s="8"/>
      <c r="N30" s="8"/>
      <c r="O30" s="8"/>
      <c r="P30" s="8"/>
      <c r="Q30" s="8"/>
      <c r="R30" s="8"/>
      <c r="S30" s="8"/>
      <c r="T30" s="8"/>
      <c r="U30" s="8"/>
      <c r="V30" s="8"/>
      <c r="W30" s="8"/>
      <c r="X30" s="8"/>
      <c r="Y30" s="8"/>
      <c r="Z30" s="8"/>
    </row>
    <row r="31">
      <c r="A31" s="183" t="s">
        <v>187</v>
      </c>
      <c r="B31" s="183" t="s">
        <v>1957</v>
      </c>
      <c r="C31" s="79" t="s">
        <v>1889</v>
      </c>
      <c r="D31" s="8"/>
      <c r="E31" s="299"/>
      <c r="F31" s="8"/>
      <c r="G31" s="8"/>
      <c r="H31" s="8"/>
      <c r="I31" s="8"/>
      <c r="J31" s="8"/>
      <c r="K31" s="8"/>
      <c r="L31" s="8"/>
      <c r="M31" s="8"/>
      <c r="N31" s="8"/>
      <c r="O31" s="8"/>
      <c r="P31" s="8"/>
      <c r="Q31" s="8"/>
      <c r="R31" s="8"/>
      <c r="S31" s="8"/>
      <c r="T31" s="8"/>
      <c r="U31" s="8"/>
      <c r="V31" s="8"/>
      <c r="W31" s="8"/>
      <c r="X31" s="8"/>
      <c r="Y31" s="8"/>
      <c r="Z31" s="8"/>
    </row>
    <row r="32">
      <c r="A32" s="183" t="s">
        <v>1958</v>
      </c>
      <c r="B32" s="183" t="s">
        <v>1959</v>
      </c>
      <c r="C32" s="79" t="s">
        <v>1889</v>
      </c>
      <c r="D32" s="8"/>
      <c r="E32" s="8"/>
      <c r="F32" s="8"/>
      <c r="G32" s="8"/>
      <c r="H32" s="8"/>
      <c r="I32" s="8"/>
      <c r="J32" s="8"/>
      <c r="K32" s="8"/>
      <c r="L32" s="8"/>
      <c r="M32" s="8"/>
      <c r="N32" s="8"/>
      <c r="O32" s="8"/>
      <c r="P32" s="8"/>
      <c r="Q32" s="8"/>
      <c r="R32" s="8"/>
      <c r="S32" s="8"/>
      <c r="T32" s="8"/>
      <c r="U32" s="8"/>
      <c r="V32" s="8"/>
      <c r="W32" s="8"/>
      <c r="X32" s="8"/>
      <c r="Y32" s="8"/>
      <c r="Z32" s="8"/>
    </row>
    <row r="33">
      <c r="A33" s="183" t="s">
        <v>511</v>
      </c>
      <c r="B33" s="183" t="s">
        <v>1961</v>
      </c>
      <c r="C33" s="79" t="s">
        <v>1889</v>
      </c>
      <c r="D33" s="8"/>
      <c r="E33" s="8"/>
      <c r="F33" s="8"/>
      <c r="G33" s="8"/>
      <c r="H33" s="8"/>
      <c r="I33" s="8"/>
      <c r="J33" s="8"/>
      <c r="K33" s="8"/>
      <c r="L33" s="8"/>
      <c r="M33" s="8"/>
      <c r="N33" s="8"/>
      <c r="O33" s="8"/>
      <c r="P33" s="8"/>
      <c r="Q33" s="8"/>
      <c r="R33" s="8"/>
      <c r="S33" s="8"/>
      <c r="T33" s="8"/>
      <c r="U33" s="8"/>
      <c r="V33" s="8"/>
      <c r="W33" s="8"/>
      <c r="X33" s="8"/>
      <c r="Y33" s="8"/>
      <c r="Z33" s="8"/>
    </row>
    <row r="34">
      <c r="A34" s="183" t="s">
        <v>1963</v>
      </c>
      <c r="B34" s="183" t="s">
        <v>1964</v>
      </c>
      <c r="C34" s="79" t="s">
        <v>1889</v>
      </c>
      <c r="D34" s="8"/>
      <c r="E34" s="8"/>
      <c r="F34" s="8"/>
      <c r="G34" s="8"/>
      <c r="H34" s="8"/>
      <c r="I34" s="8"/>
      <c r="J34" s="8"/>
      <c r="K34" s="8"/>
      <c r="L34" s="8"/>
      <c r="M34" s="8"/>
      <c r="N34" s="8"/>
      <c r="O34" s="8"/>
      <c r="P34" s="8"/>
      <c r="Q34" s="8"/>
      <c r="R34" s="8"/>
      <c r="S34" s="8"/>
      <c r="T34" s="8"/>
      <c r="U34" s="8"/>
      <c r="V34" s="8"/>
      <c r="W34" s="8"/>
      <c r="X34" s="8"/>
      <c r="Y34" s="8"/>
      <c r="Z34" s="8"/>
    </row>
    <row r="35">
      <c r="A35" s="183" t="s">
        <v>1968</v>
      </c>
      <c r="B35" s="183" t="s">
        <v>1969</v>
      </c>
      <c r="C35" s="79" t="s">
        <v>1889</v>
      </c>
      <c r="D35" s="8"/>
      <c r="E35" s="8"/>
      <c r="F35" s="8"/>
      <c r="G35" s="8"/>
      <c r="H35" s="8"/>
      <c r="I35" s="8"/>
      <c r="J35" s="8"/>
      <c r="K35" s="8"/>
      <c r="L35" s="8"/>
      <c r="M35" s="8"/>
      <c r="N35" s="8"/>
      <c r="O35" s="8"/>
      <c r="P35" s="8"/>
      <c r="Q35" s="8"/>
      <c r="R35" s="8"/>
      <c r="S35" s="8"/>
      <c r="T35" s="8"/>
      <c r="U35" s="8"/>
      <c r="V35" s="8"/>
      <c r="W35" s="8"/>
      <c r="X35" s="8"/>
      <c r="Y35" s="8"/>
      <c r="Z35" s="8"/>
    </row>
    <row r="36">
      <c r="A36" s="101" t="s">
        <v>59</v>
      </c>
      <c r="B36" s="108" t="s">
        <v>1973</v>
      </c>
      <c r="C36" s="79" t="s">
        <v>1974</v>
      </c>
      <c r="D36" s="8"/>
      <c r="E36" s="8"/>
      <c r="F36" s="8"/>
      <c r="G36" s="8"/>
      <c r="H36" s="8"/>
      <c r="I36" s="8"/>
      <c r="J36" s="8"/>
      <c r="K36" s="8"/>
      <c r="L36" s="8"/>
      <c r="M36" s="8"/>
      <c r="N36" s="8"/>
      <c r="O36" s="8"/>
      <c r="P36" s="8"/>
      <c r="Q36" s="8"/>
      <c r="R36" s="8"/>
      <c r="S36" s="8"/>
      <c r="T36" s="8"/>
      <c r="U36" s="8"/>
      <c r="V36" s="8"/>
      <c r="W36" s="8"/>
      <c r="X36" s="8"/>
      <c r="Y36" s="8"/>
      <c r="Z36" s="8"/>
    </row>
    <row r="37">
      <c r="A37" s="101" t="s">
        <v>42</v>
      </c>
      <c r="B37" s="108" t="s">
        <v>1976</v>
      </c>
      <c r="C37" s="79" t="s">
        <v>1974</v>
      </c>
      <c r="D37" s="8"/>
      <c r="E37" s="8"/>
      <c r="F37" s="8"/>
      <c r="G37" s="8"/>
      <c r="H37" s="8"/>
      <c r="I37" s="8"/>
      <c r="J37" s="8"/>
      <c r="K37" s="8"/>
      <c r="L37" s="8"/>
      <c r="M37" s="8"/>
      <c r="N37" s="8"/>
      <c r="O37" s="8"/>
      <c r="P37" s="8"/>
      <c r="Q37" s="8"/>
      <c r="R37" s="8"/>
      <c r="S37" s="8"/>
      <c r="T37" s="8"/>
      <c r="U37" s="8"/>
      <c r="V37" s="8"/>
      <c r="W37" s="8"/>
      <c r="X37" s="8"/>
      <c r="Y37" s="8"/>
      <c r="Z37" s="8"/>
    </row>
    <row r="38">
      <c r="A38" s="101" t="s">
        <v>59</v>
      </c>
      <c r="B38" s="101" t="s">
        <v>1980</v>
      </c>
      <c r="C38" s="79" t="s">
        <v>1981</v>
      </c>
      <c r="D38" s="8"/>
      <c r="E38" s="8"/>
      <c r="F38" s="8"/>
      <c r="G38" s="8"/>
      <c r="H38" s="8"/>
      <c r="I38" s="8"/>
      <c r="J38" s="8"/>
      <c r="K38" s="8"/>
      <c r="L38" s="8"/>
      <c r="M38" s="8"/>
      <c r="N38" s="8"/>
      <c r="O38" s="8"/>
      <c r="P38" s="8"/>
      <c r="Q38" s="8"/>
      <c r="R38" s="8"/>
      <c r="S38" s="8"/>
      <c r="T38" s="8"/>
      <c r="U38" s="8"/>
      <c r="V38" s="8"/>
      <c r="W38" s="8"/>
      <c r="X38" s="8"/>
      <c r="Y38" s="8"/>
      <c r="Z38" s="8"/>
    </row>
    <row r="39">
      <c r="A39" s="101" t="s">
        <v>42</v>
      </c>
      <c r="B39" s="101" t="s">
        <v>1983</v>
      </c>
      <c r="C39" s="79" t="s">
        <v>1981</v>
      </c>
      <c r="D39" s="8"/>
      <c r="E39" s="8"/>
      <c r="F39" s="8"/>
      <c r="G39" s="8"/>
      <c r="H39" s="8"/>
      <c r="I39" s="8"/>
      <c r="J39" s="8"/>
      <c r="K39" s="8"/>
      <c r="L39" s="8"/>
      <c r="M39" s="8"/>
      <c r="N39" s="8"/>
      <c r="O39" s="8"/>
      <c r="P39" s="8"/>
      <c r="Q39" s="8"/>
      <c r="R39" s="8"/>
      <c r="S39" s="8"/>
      <c r="T39" s="8"/>
      <c r="U39" s="8"/>
      <c r="V39" s="8"/>
      <c r="W39" s="8"/>
      <c r="X39" s="8"/>
      <c r="Y39" s="8"/>
      <c r="Z39" s="8"/>
    </row>
    <row r="40">
      <c r="A40" s="101" t="s">
        <v>42</v>
      </c>
      <c r="B40" s="101" t="s">
        <v>1987</v>
      </c>
      <c r="C40" s="79" t="s">
        <v>1981</v>
      </c>
      <c r="D40" s="8"/>
      <c r="E40" s="8"/>
      <c r="F40" s="8"/>
      <c r="G40" s="8"/>
      <c r="H40" s="8"/>
      <c r="I40" s="8"/>
      <c r="J40" s="8"/>
      <c r="K40" s="8"/>
      <c r="L40" s="8"/>
      <c r="M40" s="8"/>
      <c r="N40" s="8"/>
      <c r="O40" s="8"/>
      <c r="P40" s="8"/>
      <c r="Q40" s="8"/>
      <c r="R40" s="8"/>
      <c r="S40" s="8"/>
      <c r="T40" s="8"/>
      <c r="U40" s="8"/>
      <c r="V40" s="8"/>
      <c r="W40" s="8"/>
      <c r="X40" s="8"/>
      <c r="Y40" s="8"/>
      <c r="Z40" s="8"/>
    </row>
    <row r="41">
      <c r="A41" s="101" t="s">
        <v>42</v>
      </c>
      <c r="B41" s="101" t="s">
        <v>1989</v>
      </c>
      <c r="C41" s="79" t="s">
        <v>1981</v>
      </c>
      <c r="D41" s="8"/>
      <c r="E41" s="8"/>
      <c r="F41" s="8"/>
      <c r="G41" s="8"/>
      <c r="H41" s="8"/>
      <c r="I41" s="8"/>
      <c r="J41" s="8"/>
      <c r="K41" s="8"/>
      <c r="L41" s="8"/>
      <c r="M41" s="8"/>
      <c r="N41" s="8"/>
      <c r="O41" s="8"/>
      <c r="P41" s="8"/>
      <c r="Q41" s="8"/>
      <c r="R41" s="8"/>
      <c r="S41" s="8"/>
      <c r="T41" s="8"/>
      <c r="U41" s="8"/>
      <c r="V41" s="8"/>
      <c r="W41" s="8"/>
      <c r="X41" s="8"/>
      <c r="Y41" s="8"/>
      <c r="Z41" s="8"/>
    </row>
    <row r="42">
      <c r="A42" s="64" t="s">
        <v>42</v>
      </c>
      <c r="B42" s="101" t="s">
        <v>1990</v>
      </c>
      <c r="C42" s="79" t="s">
        <v>1981</v>
      </c>
      <c r="D42" s="8"/>
      <c r="E42" s="8"/>
      <c r="F42" s="8"/>
      <c r="G42" s="8"/>
      <c r="H42" s="8"/>
      <c r="I42" s="8"/>
      <c r="J42" s="8"/>
      <c r="K42" s="8"/>
      <c r="L42" s="8"/>
      <c r="M42" s="8"/>
      <c r="N42" s="8"/>
      <c r="O42" s="8"/>
      <c r="P42" s="8"/>
      <c r="Q42" s="8"/>
      <c r="R42" s="8"/>
      <c r="S42" s="8"/>
      <c r="T42" s="8"/>
      <c r="U42" s="8"/>
      <c r="V42" s="8"/>
      <c r="W42" s="8"/>
      <c r="X42" s="8"/>
      <c r="Y42" s="8"/>
      <c r="Z42" s="8"/>
    </row>
    <row r="43">
      <c r="A43" s="101" t="s">
        <v>184</v>
      </c>
      <c r="B43" s="101" t="s">
        <v>1992</v>
      </c>
      <c r="C43" s="79" t="s">
        <v>1981</v>
      </c>
      <c r="D43" s="8"/>
      <c r="E43" s="8"/>
      <c r="F43" s="8"/>
      <c r="G43" s="8"/>
      <c r="H43" s="8"/>
      <c r="I43" s="8"/>
      <c r="J43" s="8"/>
      <c r="K43" s="8"/>
      <c r="L43" s="8"/>
      <c r="M43" s="8"/>
      <c r="N43" s="8"/>
      <c r="O43" s="8"/>
      <c r="P43" s="8"/>
      <c r="Q43" s="8"/>
      <c r="R43" s="8"/>
      <c r="S43" s="8"/>
      <c r="T43" s="8"/>
      <c r="U43" s="8"/>
      <c r="V43" s="8"/>
      <c r="W43" s="8"/>
      <c r="X43" s="8"/>
      <c r="Y43" s="8"/>
      <c r="Z43" s="8"/>
    </row>
    <row r="44">
      <c r="A44" s="64" t="s">
        <v>184</v>
      </c>
      <c r="B44" s="101" t="s">
        <v>1996</v>
      </c>
      <c r="C44" s="79" t="s">
        <v>1981</v>
      </c>
      <c r="D44" s="8"/>
      <c r="E44" s="8"/>
      <c r="F44" s="8"/>
      <c r="G44" s="8"/>
      <c r="H44" s="8"/>
      <c r="I44" s="8"/>
      <c r="J44" s="8"/>
      <c r="K44" s="8"/>
      <c r="L44" s="8"/>
      <c r="M44" s="8"/>
      <c r="N44" s="8"/>
      <c r="O44" s="8"/>
      <c r="P44" s="8"/>
      <c r="Q44" s="8"/>
      <c r="R44" s="8"/>
      <c r="S44" s="8"/>
      <c r="T44" s="8"/>
      <c r="U44" s="8"/>
      <c r="V44" s="8"/>
      <c r="W44" s="8"/>
      <c r="X44" s="8"/>
      <c r="Y44" s="8"/>
      <c r="Z44" s="8"/>
    </row>
    <row r="45">
      <c r="A45" s="101" t="s">
        <v>59</v>
      </c>
      <c r="B45" s="108" t="s">
        <v>1997</v>
      </c>
      <c r="C45" s="79" t="s">
        <v>1998</v>
      </c>
      <c r="D45" s="8"/>
      <c r="E45" s="8"/>
      <c r="F45" s="8"/>
      <c r="G45" s="8"/>
      <c r="H45" s="8"/>
      <c r="I45" s="8"/>
      <c r="J45" s="8"/>
      <c r="K45" s="8"/>
      <c r="L45" s="8"/>
      <c r="M45" s="8"/>
      <c r="N45" s="8"/>
      <c r="O45" s="8"/>
      <c r="P45" s="8"/>
      <c r="Q45" s="8"/>
      <c r="R45" s="8"/>
      <c r="S45" s="8"/>
      <c r="T45" s="8"/>
      <c r="U45" s="8"/>
      <c r="V45" s="8"/>
      <c r="W45" s="8"/>
      <c r="X45" s="8"/>
      <c r="Y45" s="8"/>
      <c r="Z45" s="8"/>
    </row>
    <row r="46">
      <c r="A46" s="101" t="s">
        <v>179</v>
      </c>
      <c r="B46" s="108" t="s">
        <v>1999</v>
      </c>
      <c r="C46" s="79" t="s">
        <v>1998</v>
      </c>
      <c r="D46" s="8"/>
      <c r="E46" s="8"/>
      <c r="F46" s="8"/>
      <c r="G46" s="8"/>
      <c r="H46" s="8"/>
      <c r="I46" s="8"/>
      <c r="J46" s="8"/>
      <c r="K46" s="8"/>
      <c r="L46" s="8"/>
      <c r="M46" s="8"/>
      <c r="N46" s="8"/>
      <c r="O46" s="8"/>
      <c r="P46" s="8"/>
      <c r="Q46" s="8"/>
      <c r="R46" s="8"/>
      <c r="S46" s="8"/>
      <c r="T46" s="8"/>
      <c r="U46" s="8"/>
      <c r="V46" s="8"/>
      <c r="W46" s="8"/>
      <c r="X46" s="8"/>
      <c r="Y46" s="8"/>
      <c r="Z46" s="8"/>
    </row>
    <row r="47">
      <c r="A47" s="101" t="s">
        <v>179</v>
      </c>
      <c r="B47" s="108" t="s">
        <v>2001</v>
      </c>
      <c r="C47" s="79" t="s">
        <v>1998</v>
      </c>
      <c r="D47" s="8"/>
      <c r="E47" s="8"/>
      <c r="F47" s="8"/>
      <c r="G47" s="8"/>
      <c r="H47" s="8"/>
      <c r="I47" s="8"/>
      <c r="J47" s="8"/>
      <c r="K47" s="8"/>
      <c r="L47" s="8"/>
      <c r="M47" s="8"/>
      <c r="N47" s="8"/>
      <c r="O47" s="8"/>
      <c r="P47" s="8"/>
      <c r="Q47" s="8"/>
      <c r="R47" s="8"/>
      <c r="S47" s="8"/>
      <c r="T47" s="8"/>
      <c r="U47" s="8"/>
      <c r="V47" s="8"/>
      <c r="W47" s="8"/>
      <c r="X47" s="8"/>
      <c r="Y47" s="8"/>
      <c r="Z47" s="8"/>
    </row>
    <row r="48">
      <c r="A48" s="101" t="s">
        <v>649</v>
      </c>
      <c r="B48" s="101" t="s">
        <v>2005</v>
      </c>
      <c r="C48" s="79" t="s">
        <v>1998</v>
      </c>
      <c r="D48" s="8"/>
      <c r="E48" s="8"/>
      <c r="F48" s="8"/>
      <c r="G48" s="8"/>
      <c r="H48" s="8"/>
      <c r="I48" s="8"/>
      <c r="J48" s="8"/>
      <c r="K48" s="8"/>
      <c r="L48" s="8"/>
      <c r="M48" s="8"/>
      <c r="N48" s="8"/>
      <c r="O48" s="8"/>
      <c r="P48" s="8"/>
      <c r="Q48" s="8"/>
      <c r="R48" s="8"/>
      <c r="S48" s="8"/>
      <c r="T48" s="8"/>
      <c r="U48" s="8"/>
      <c r="V48" s="8"/>
      <c r="W48" s="8"/>
      <c r="X48" s="8"/>
      <c r="Y48" s="8"/>
      <c r="Z48" s="8"/>
    </row>
    <row r="49">
      <c r="A49" s="101" t="s">
        <v>1184</v>
      </c>
      <c r="B49" s="101" t="s">
        <v>2007</v>
      </c>
      <c r="C49" s="79" t="s">
        <v>1998</v>
      </c>
      <c r="D49" s="8"/>
      <c r="E49" s="8"/>
      <c r="F49" s="8"/>
      <c r="G49" s="8"/>
      <c r="H49" s="8"/>
      <c r="I49" s="8"/>
      <c r="J49" s="8"/>
      <c r="K49" s="8"/>
      <c r="L49" s="8"/>
      <c r="M49" s="8"/>
      <c r="N49" s="8"/>
      <c r="O49" s="8"/>
      <c r="P49" s="8"/>
      <c r="Q49" s="8"/>
      <c r="R49" s="8"/>
      <c r="S49" s="8"/>
      <c r="T49" s="8"/>
      <c r="U49" s="8"/>
      <c r="V49" s="8"/>
      <c r="W49" s="8"/>
      <c r="X49" s="8"/>
      <c r="Y49" s="8"/>
      <c r="Z49" s="8"/>
    </row>
    <row r="50">
      <c r="A50" s="101" t="s">
        <v>2008</v>
      </c>
      <c r="B50" s="108" t="s">
        <v>2009</v>
      </c>
      <c r="C50" s="79" t="s">
        <v>1998</v>
      </c>
      <c r="D50" s="8"/>
      <c r="E50" s="8"/>
      <c r="F50" s="8"/>
      <c r="G50" s="8"/>
      <c r="H50" s="8"/>
      <c r="I50" s="8"/>
      <c r="J50" s="8"/>
      <c r="K50" s="8"/>
      <c r="L50" s="8"/>
      <c r="M50" s="8"/>
      <c r="N50" s="8"/>
      <c r="O50" s="8"/>
      <c r="P50" s="8"/>
      <c r="Q50" s="8"/>
      <c r="R50" s="8"/>
      <c r="S50" s="8"/>
      <c r="T50" s="8"/>
      <c r="U50" s="8"/>
      <c r="V50" s="8"/>
      <c r="W50" s="8"/>
      <c r="X50" s="8"/>
      <c r="Y50" s="8"/>
      <c r="Z50" s="8"/>
    </row>
    <row r="51">
      <c r="A51" s="101" t="s">
        <v>42</v>
      </c>
      <c r="B51" s="108" t="s">
        <v>2013</v>
      </c>
      <c r="C51" s="79" t="s">
        <v>1974</v>
      </c>
      <c r="D51" s="8"/>
      <c r="E51" s="8"/>
      <c r="F51" s="8"/>
      <c r="G51" s="8"/>
      <c r="H51" s="8"/>
      <c r="I51" s="8"/>
      <c r="J51" s="8"/>
      <c r="K51" s="8"/>
      <c r="L51" s="8"/>
      <c r="M51" s="8"/>
      <c r="N51" s="8"/>
      <c r="O51" s="8"/>
      <c r="P51" s="8"/>
      <c r="Q51" s="8"/>
      <c r="R51" s="8"/>
      <c r="S51" s="8"/>
      <c r="T51" s="8"/>
      <c r="U51" s="8"/>
      <c r="V51" s="8"/>
      <c r="W51" s="8"/>
      <c r="X51" s="8"/>
      <c r="Y51" s="8"/>
      <c r="Z51" s="8"/>
    </row>
    <row r="52">
      <c r="A52" s="101" t="s">
        <v>184</v>
      </c>
      <c r="B52" s="108" t="s">
        <v>2014</v>
      </c>
      <c r="C52" s="79" t="s">
        <v>1974</v>
      </c>
      <c r="D52" s="8"/>
      <c r="E52" s="8"/>
      <c r="F52" s="8"/>
      <c r="G52" s="8"/>
      <c r="H52" s="8"/>
      <c r="I52" s="8"/>
      <c r="J52" s="8"/>
      <c r="K52" s="8"/>
      <c r="L52" s="8"/>
      <c r="M52" s="8"/>
      <c r="N52" s="8"/>
      <c r="O52" s="8"/>
      <c r="P52" s="8"/>
      <c r="Q52" s="8"/>
      <c r="R52" s="8"/>
      <c r="S52" s="8"/>
      <c r="T52" s="8"/>
      <c r="U52" s="8"/>
      <c r="V52" s="8"/>
      <c r="W52" s="8"/>
      <c r="X52" s="8"/>
      <c r="Y52" s="8"/>
      <c r="Z52" s="8"/>
    </row>
    <row r="53">
      <c r="A53" s="64" t="s">
        <v>45</v>
      </c>
      <c r="B53" s="108" t="s">
        <v>2016</v>
      </c>
      <c r="C53" s="79" t="s">
        <v>1974</v>
      </c>
      <c r="D53" s="8"/>
      <c r="E53" s="8"/>
      <c r="F53" s="8"/>
      <c r="G53" s="8"/>
      <c r="H53" s="8"/>
      <c r="I53" s="8"/>
      <c r="J53" s="8"/>
      <c r="K53" s="8"/>
      <c r="L53" s="8"/>
      <c r="M53" s="8"/>
      <c r="N53" s="8"/>
      <c r="O53" s="8"/>
      <c r="P53" s="8"/>
      <c r="Q53" s="8"/>
      <c r="R53" s="8"/>
      <c r="S53" s="8"/>
      <c r="T53" s="8"/>
      <c r="U53" s="8"/>
      <c r="V53" s="8"/>
      <c r="W53" s="8"/>
      <c r="X53" s="8"/>
      <c r="Y53" s="8"/>
      <c r="Z53" s="8"/>
    </row>
    <row r="54">
      <c r="A54" s="64" t="s">
        <v>45</v>
      </c>
      <c r="B54" s="108" t="s">
        <v>2018</v>
      </c>
      <c r="C54" s="79" t="s">
        <v>1974</v>
      </c>
      <c r="D54" s="8"/>
      <c r="E54" s="8"/>
      <c r="F54" s="8"/>
      <c r="G54" s="8"/>
      <c r="H54" s="8"/>
      <c r="I54" s="8"/>
      <c r="J54" s="8"/>
      <c r="K54" s="8"/>
      <c r="L54" s="8"/>
      <c r="M54" s="8"/>
      <c r="N54" s="8"/>
      <c r="O54" s="8"/>
      <c r="P54" s="8"/>
      <c r="Q54" s="8"/>
      <c r="R54" s="8"/>
      <c r="S54" s="8"/>
      <c r="T54" s="8"/>
      <c r="U54" s="8"/>
      <c r="V54" s="8"/>
      <c r="W54" s="8"/>
      <c r="X54" s="8"/>
      <c r="Y54" s="8"/>
      <c r="Z54" s="8"/>
    </row>
    <row r="55">
      <c r="A55" s="101" t="s">
        <v>2021</v>
      </c>
      <c r="B55" s="101" t="s">
        <v>2022</v>
      </c>
      <c r="C55" s="79" t="s">
        <v>1981</v>
      </c>
      <c r="D55" s="8"/>
      <c r="E55" s="8"/>
      <c r="F55" s="8"/>
      <c r="G55" s="8"/>
      <c r="H55" s="8"/>
      <c r="I55" s="8"/>
      <c r="J55" s="8"/>
      <c r="K55" s="8"/>
      <c r="L55" s="8"/>
      <c r="M55" s="8"/>
      <c r="N55" s="8"/>
      <c r="O55" s="8"/>
      <c r="P55" s="8"/>
      <c r="Q55" s="8"/>
      <c r="R55" s="8"/>
      <c r="S55" s="8"/>
      <c r="T55" s="8"/>
      <c r="U55" s="8"/>
      <c r="V55" s="8"/>
      <c r="W55" s="8"/>
      <c r="X55" s="8"/>
      <c r="Y55" s="8"/>
      <c r="Z55" s="8"/>
    </row>
    <row r="56">
      <c r="A56" s="64" t="s">
        <v>45</v>
      </c>
      <c r="B56" s="101" t="s">
        <v>2024</v>
      </c>
      <c r="C56" s="79" t="s">
        <v>1981</v>
      </c>
      <c r="D56" s="8"/>
      <c r="E56" s="8"/>
      <c r="F56" s="8"/>
      <c r="G56" s="8"/>
      <c r="H56" s="8"/>
      <c r="I56" s="8"/>
      <c r="J56" s="8"/>
      <c r="K56" s="8"/>
      <c r="L56" s="8"/>
      <c r="M56" s="8"/>
      <c r="N56" s="8"/>
      <c r="O56" s="8"/>
      <c r="P56" s="8"/>
      <c r="Q56" s="8"/>
      <c r="R56" s="8"/>
      <c r="S56" s="8"/>
      <c r="T56" s="8"/>
      <c r="U56" s="8"/>
      <c r="V56" s="8"/>
      <c r="W56" s="8"/>
      <c r="X56" s="8"/>
      <c r="Y56" s="8"/>
      <c r="Z56" s="8"/>
    </row>
    <row r="57">
      <c r="A57" s="8"/>
      <c r="B57" s="8"/>
      <c r="C57" s="8"/>
      <c r="D57" s="8"/>
      <c r="E57" s="8"/>
      <c r="F57" s="8"/>
      <c r="G57" s="8"/>
      <c r="H57" s="8"/>
      <c r="I57" s="8"/>
      <c r="J57" s="8"/>
      <c r="K57" s="8"/>
      <c r="L57" s="8"/>
      <c r="M57" s="8"/>
      <c r="N57" s="8"/>
      <c r="O57" s="8"/>
      <c r="P57" s="8"/>
      <c r="Q57" s="8"/>
      <c r="R57" s="8"/>
      <c r="S57" s="8"/>
      <c r="T57" s="8"/>
      <c r="U57" s="8"/>
      <c r="V57" s="8"/>
      <c r="W57" s="8"/>
      <c r="X57" s="8"/>
      <c r="Y57" s="8"/>
      <c r="Z57" s="8"/>
    </row>
    <row r="58">
      <c r="A58" s="8"/>
      <c r="B58" s="8"/>
      <c r="C58" s="8"/>
      <c r="D58" s="8"/>
      <c r="E58" s="8"/>
      <c r="F58" s="8"/>
      <c r="G58" s="8"/>
      <c r="H58" s="8"/>
      <c r="I58" s="8"/>
      <c r="J58" s="8"/>
      <c r="K58" s="8"/>
      <c r="L58" s="8"/>
      <c r="M58" s="8"/>
      <c r="N58" s="8"/>
      <c r="O58" s="8"/>
      <c r="P58" s="8"/>
      <c r="Q58" s="8"/>
      <c r="R58" s="8"/>
      <c r="S58" s="8"/>
      <c r="T58" s="8"/>
      <c r="U58" s="8"/>
      <c r="V58" s="8"/>
      <c r="W58" s="8"/>
      <c r="X58" s="8"/>
      <c r="Y58" s="8"/>
      <c r="Z58" s="8"/>
    </row>
    <row r="59">
      <c r="A59" s="8"/>
      <c r="B59" s="8"/>
      <c r="C59" s="8"/>
      <c r="D59" s="8"/>
      <c r="E59" s="8"/>
      <c r="F59" s="8"/>
      <c r="G59" s="8"/>
      <c r="H59" s="8"/>
      <c r="I59" s="8"/>
      <c r="J59" s="8"/>
      <c r="K59" s="8"/>
      <c r="L59" s="8"/>
      <c r="M59" s="8"/>
      <c r="N59" s="8"/>
      <c r="O59" s="8"/>
      <c r="P59" s="8"/>
      <c r="Q59" s="8"/>
      <c r="R59" s="8"/>
      <c r="S59" s="8"/>
      <c r="T59" s="8"/>
      <c r="U59" s="8"/>
      <c r="V59" s="8"/>
      <c r="W59" s="8"/>
      <c r="X59" s="8"/>
      <c r="Y59" s="8"/>
      <c r="Z59" s="8"/>
    </row>
    <row r="60">
      <c r="A60" s="8"/>
      <c r="B60" s="8"/>
      <c r="C60" s="8"/>
      <c r="D60" s="8"/>
      <c r="E60" s="8"/>
      <c r="F60" s="8"/>
      <c r="G60" s="8"/>
      <c r="H60" s="8"/>
      <c r="I60" s="8"/>
      <c r="J60" s="8"/>
      <c r="K60" s="8"/>
      <c r="L60" s="8"/>
      <c r="M60" s="8"/>
      <c r="N60" s="8"/>
      <c r="O60" s="8"/>
      <c r="P60" s="8"/>
      <c r="Q60" s="8"/>
      <c r="R60" s="8"/>
      <c r="S60" s="8"/>
      <c r="T60" s="8"/>
      <c r="U60" s="8"/>
      <c r="V60" s="8"/>
      <c r="W60" s="8"/>
      <c r="X60" s="8"/>
      <c r="Y60" s="8"/>
      <c r="Z60" s="8"/>
    </row>
    <row r="61">
      <c r="A61" s="8"/>
      <c r="B61" s="8"/>
      <c r="C61" s="8"/>
      <c r="D61" s="8"/>
      <c r="E61" s="8"/>
      <c r="F61" s="8"/>
      <c r="G61" s="8"/>
      <c r="H61" s="8"/>
      <c r="I61" s="8"/>
      <c r="J61" s="8"/>
      <c r="K61" s="8"/>
      <c r="L61" s="8"/>
      <c r="M61" s="8"/>
      <c r="N61" s="8"/>
      <c r="O61" s="8"/>
      <c r="P61" s="8"/>
      <c r="Q61" s="8"/>
      <c r="R61" s="8"/>
      <c r="S61" s="8"/>
      <c r="T61" s="8"/>
      <c r="U61" s="8"/>
      <c r="V61" s="8"/>
      <c r="W61" s="8"/>
      <c r="X61" s="8"/>
      <c r="Y61" s="8"/>
      <c r="Z61" s="8"/>
    </row>
    <row r="62">
      <c r="A62" s="8"/>
      <c r="B62" s="8"/>
      <c r="C62" s="8"/>
      <c r="D62" s="8"/>
      <c r="E62" s="8"/>
      <c r="F62" s="8"/>
      <c r="G62" s="8"/>
      <c r="H62" s="8"/>
      <c r="I62" s="8"/>
      <c r="J62" s="8"/>
      <c r="K62" s="8"/>
      <c r="L62" s="8"/>
      <c r="M62" s="8"/>
      <c r="N62" s="8"/>
      <c r="O62" s="8"/>
      <c r="P62" s="8"/>
      <c r="Q62" s="8"/>
      <c r="R62" s="8"/>
      <c r="S62" s="8"/>
      <c r="T62" s="8"/>
      <c r="U62" s="8"/>
      <c r="V62" s="8"/>
      <c r="W62" s="8"/>
      <c r="X62" s="8"/>
      <c r="Y62" s="8"/>
      <c r="Z62" s="8"/>
    </row>
    <row r="63">
      <c r="A63" s="8"/>
      <c r="B63" s="8"/>
      <c r="C63" s="8"/>
      <c r="D63" s="8"/>
      <c r="E63" s="8"/>
      <c r="F63" s="8"/>
      <c r="G63" s="8"/>
      <c r="H63" s="8"/>
      <c r="I63" s="8"/>
      <c r="J63" s="8"/>
      <c r="K63" s="8"/>
      <c r="L63" s="8"/>
      <c r="M63" s="8"/>
      <c r="N63" s="8"/>
      <c r="O63" s="8"/>
      <c r="P63" s="8"/>
      <c r="Q63" s="8"/>
      <c r="R63" s="8"/>
      <c r="S63" s="8"/>
      <c r="T63" s="8"/>
      <c r="U63" s="8"/>
      <c r="V63" s="8"/>
      <c r="W63" s="8"/>
      <c r="X63" s="8"/>
      <c r="Y63" s="8"/>
      <c r="Z63" s="8"/>
    </row>
    <row r="64">
      <c r="A64" s="8"/>
      <c r="B64" s="8"/>
      <c r="C64" s="8"/>
      <c r="D64" s="8"/>
      <c r="E64" s="8"/>
      <c r="F64" s="8"/>
      <c r="G64" s="8"/>
      <c r="H64" s="8"/>
      <c r="I64" s="8"/>
      <c r="J64" s="8"/>
      <c r="K64" s="8"/>
      <c r="L64" s="8"/>
      <c r="M64" s="8"/>
      <c r="N64" s="8"/>
      <c r="O64" s="8"/>
      <c r="P64" s="8"/>
      <c r="Q64" s="8"/>
      <c r="R64" s="8"/>
      <c r="S64" s="8"/>
      <c r="T64" s="8"/>
      <c r="U64" s="8"/>
      <c r="V64" s="8"/>
      <c r="W64" s="8"/>
      <c r="X64" s="8"/>
      <c r="Y64" s="8"/>
      <c r="Z64" s="8"/>
    </row>
    <row r="65">
      <c r="A65" s="8"/>
      <c r="B65" s="8"/>
      <c r="C65" s="8"/>
      <c r="D65" s="8"/>
      <c r="E65" s="8"/>
      <c r="F65" s="8"/>
      <c r="G65" s="8"/>
      <c r="H65" s="8"/>
      <c r="I65" s="8"/>
      <c r="J65" s="8"/>
      <c r="K65" s="8"/>
      <c r="L65" s="8"/>
      <c r="M65" s="8"/>
      <c r="N65" s="8"/>
      <c r="O65" s="8"/>
      <c r="P65" s="8"/>
      <c r="Q65" s="8"/>
      <c r="R65" s="8"/>
      <c r="S65" s="8"/>
      <c r="T65" s="8"/>
      <c r="U65" s="8"/>
      <c r="V65" s="8"/>
      <c r="W65" s="8"/>
      <c r="X65" s="8"/>
      <c r="Y65" s="8"/>
      <c r="Z65" s="8"/>
    </row>
    <row r="66">
      <c r="A66" s="8"/>
      <c r="B66" s="8"/>
      <c r="C66" s="8"/>
      <c r="D66" s="8"/>
      <c r="E66" s="8"/>
      <c r="F66" s="8"/>
      <c r="G66" s="8"/>
      <c r="H66" s="8"/>
      <c r="I66" s="8"/>
      <c r="J66" s="8"/>
      <c r="K66" s="8"/>
      <c r="L66" s="8"/>
      <c r="M66" s="8"/>
      <c r="N66" s="8"/>
      <c r="O66" s="8"/>
      <c r="P66" s="8"/>
      <c r="Q66" s="8"/>
      <c r="R66" s="8"/>
      <c r="S66" s="8"/>
      <c r="T66" s="8"/>
      <c r="U66" s="8"/>
      <c r="V66" s="8"/>
      <c r="W66" s="8"/>
      <c r="X66" s="8"/>
      <c r="Y66" s="8"/>
      <c r="Z66" s="8"/>
    </row>
    <row r="67">
      <c r="A67" s="8"/>
      <c r="B67" s="8"/>
      <c r="C67" s="8"/>
      <c r="D67" s="8"/>
      <c r="E67" s="8"/>
      <c r="F67" s="8"/>
      <c r="G67" s="8"/>
      <c r="H67" s="8"/>
      <c r="I67" s="8"/>
      <c r="J67" s="8"/>
      <c r="K67" s="8"/>
      <c r="L67" s="8"/>
      <c r="M67" s="8"/>
      <c r="N67" s="8"/>
      <c r="O67" s="8"/>
      <c r="P67" s="8"/>
      <c r="Q67" s="8"/>
      <c r="R67" s="8"/>
      <c r="S67" s="8"/>
      <c r="T67" s="8"/>
      <c r="U67" s="8"/>
      <c r="V67" s="8"/>
      <c r="W67" s="8"/>
      <c r="X67" s="8"/>
      <c r="Y67" s="8"/>
      <c r="Z67" s="8"/>
    </row>
    <row r="68">
      <c r="A68" s="8"/>
      <c r="B68" s="8"/>
      <c r="C68" s="8"/>
      <c r="D68" s="8"/>
      <c r="E68" s="8"/>
      <c r="F68" s="8"/>
      <c r="G68" s="8"/>
      <c r="H68" s="8"/>
      <c r="I68" s="8"/>
      <c r="J68" s="8"/>
      <c r="K68" s="8"/>
      <c r="L68" s="8"/>
      <c r="M68" s="8"/>
      <c r="N68" s="8"/>
      <c r="O68" s="8"/>
      <c r="P68" s="8"/>
      <c r="Q68" s="8"/>
      <c r="R68" s="8"/>
      <c r="S68" s="8"/>
      <c r="T68" s="8"/>
      <c r="U68" s="8"/>
      <c r="V68" s="8"/>
      <c r="W68" s="8"/>
      <c r="X68" s="8"/>
      <c r="Y68" s="8"/>
      <c r="Z68" s="8"/>
    </row>
    <row r="69">
      <c r="A69" s="8"/>
      <c r="B69" s="8"/>
      <c r="C69" s="8"/>
      <c r="D69" s="8"/>
      <c r="E69" s="8"/>
      <c r="F69" s="8"/>
      <c r="G69" s="8"/>
      <c r="H69" s="8"/>
      <c r="I69" s="8"/>
      <c r="J69" s="8"/>
      <c r="K69" s="8"/>
      <c r="L69" s="8"/>
      <c r="M69" s="8"/>
      <c r="N69" s="8"/>
      <c r="O69" s="8"/>
      <c r="P69" s="8"/>
      <c r="Q69" s="8"/>
      <c r="R69" s="8"/>
      <c r="S69" s="8"/>
      <c r="T69" s="8"/>
      <c r="U69" s="8"/>
      <c r="V69" s="8"/>
      <c r="W69" s="8"/>
      <c r="X69" s="8"/>
      <c r="Y69" s="8"/>
      <c r="Z69" s="8"/>
    </row>
    <row r="70">
      <c r="A70" s="8"/>
      <c r="B70" s="8"/>
      <c r="C70" s="8"/>
      <c r="D70" s="8"/>
      <c r="E70" s="8"/>
      <c r="F70" s="8"/>
      <c r="G70" s="8"/>
      <c r="H70" s="8"/>
      <c r="I70" s="8"/>
      <c r="J70" s="8"/>
      <c r="K70" s="8"/>
      <c r="L70" s="8"/>
      <c r="M70" s="8"/>
      <c r="N70" s="8"/>
      <c r="O70" s="8"/>
      <c r="P70" s="8"/>
      <c r="Q70" s="8"/>
      <c r="R70" s="8"/>
      <c r="S70" s="8"/>
      <c r="T70" s="8"/>
      <c r="U70" s="8"/>
      <c r="V70" s="8"/>
      <c r="W70" s="8"/>
      <c r="X70" s="8"/>
      <c r="Y70" s="8"/>
      <c r="Z70" s="8"/>
    </row>
    <row r="71">
      <c r="A71" s="8"/>
      <c r="B71" s="8"/>
      <c r="C71" s="8"/>
      <c r="D71" s="8"/>
      <c r="E71" s="8"/>
      <c r="F71" s="8"/>
      <c r="G71" s="8"/>
      <c r="H71" s="8"/>
      <c r="I71" s="8"/>
      <c r="J71" s="8"/>
      <c r="K71" s="8"/>
      <c r="L71" s="8"/>
      <c r="M71" s="8"/>
      <c r="N71" s="8"/>
      <c r="O71" s="8"/>
      <c r="P71" s="8"/>
      <c r="Q71" s="8"/>
      <c r="R71" s="8"/>
      <c r="S71" s="8"/>
      <c r="T71" s="8"/>
      <c r="U71" s="8"/>
      <c r="V71" s="8"/>
      <c r="W71" s="8"/>
      <c r="X71" s="8"/>
      <c r="Y71" s="8"/>
      <c r="Z71" s="8"/>
    </row>
    <row r="72">
      <c r="A72" s="8"/>
      <c r="B72" s="8"/>
      <c r="C72" s="8"/>
      <c r="D72" s="8"/>
      <c r="E72" s="8"/>
      <c r="F72" s="8"/>
      <c r="G72" s="8"/>
      <c r="H72" s="8"/>
      <c r="I72" s="8"/>
      <c r="J72" s="8"/>
      <c r="K72" s="8"/>
      <c r="L72" s="8"/>
      <c r="M72" s="8"/>
      <c r="N72" s="8"/>
      <c r="O72" s="8"/>
      <c r="P72" s="8"/>
      <c r="Q72" s="8"/>
      <c r="R72" s="8"/>
      <c r="S72" s="8"/>
      <c r="T72" s="8"/>
      <c r="U72" s="8"/>
      <c r="V72" s="8"/>
      <c r="W72" s="8"/>
      <c r="X72" s="8"/>
      <c r="Y72" s="8"/>
      <c r="Z72" s="8"/>
    </row>
    <row r="73">
      <c r="A73" s="8"/>
      <c r="B73" s="8"/>
      <c r="C73" s="8"/>
      <c r="D73" s="8"/>
      <c r="E73" s="8"/>
      <c r="F73" s="8"/>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row>
    <row r="75">
      <c r="A75" s="8"/>
      <c r="B75" s="8"/>
      <c r="C75" s="8"/>
      <c r="D75" s="8"/>
      <c r="E75" s="8"/>
      <c r="F75" s="8"/>
      <c r="G75" s="8"/>
      <c r="H75" s="8"/>
      <c r="I75" s="8"/>
      <c r="J75" s="8"/>
      <c r="K75" s="8"/>
      <c r="L75" s="8"/>
      <c r="M75" s="8"/>
      <c r="N75" s="8"/>
      <c r="O75" s="8"/>
      <c r="P75" s="8"/>
      <c r="Q75" s="8"/>
      <c r="R75" s="8"/>
      <c r="S75" s="8"/>
      <c r="T75" s="8"/>
      <c r="U75" s="8"/>
      <c r="V75" s="8"/>
      <c r="W75" s="8"/>
      <c r="X75" s="8"/>
      <c r="Y75" s="8"/>
      <c r="Z75" s="8"/>
    </row>
    <row r="76">
      <c r="A76" s="8"/>
      <c r="B76" s="8"/>
      <c r="C76" s="8"/>
      <c r="D76" s="8"/>
      <c r="E76" s="8"/>
      <c r="F76" s="8"/>
      <c r="G76" s="8"/>
      <c r="H76" s="8"/>
      <c r="I76" s="8"/>
      <c r="J76" s="8"/>
      <c r="K76" s="8"/>
      <c r="L76" s="8"/>
      <c r="M76" s="8"/>
      <c r="N76" s="8"/>
      <c r="O76" s="8"/>
      <c r="P76" s="8"/>
      <c r="Q76" s="8"/>
      <c r="R76" s="8"/>
      <c r="S76" s="8"/>
      <c r="T76" s="8"/>
      <c r="U76" s="8"/>
      <c r="V76" s="8"/>
      <c r="W76" s="8"/>
      <c r="X76" s="8"/>
      <c r="Y76" s="8"/>
      <c r="Z76" s="8"/>
    </row>
    <row r="77">
      <c r="A77" s="8"/>
      <c r="B77" s="8"/>
      <c r="C77" s="8"/>
      <c r="D77" s="8"/>
      <c r="E77" s="8"/>
      <c r="F77" s="8"/>
      <c r="G77" s="8"/>
      <c r="H77" s="8"/>
      <c r="I77" s="8"/>
      <c r="J77" s="8"/>
      <c r="K77" s="8"/>
      <c r="L77" s="8"/>
      <c r="M77" s="8"/>
      <c r="N77" s="8"/>
      <c r="O77" s="8"/>
      <c r="P77" s="8"/>
      <c r="Q77" s="8"/>
      <c r="R77" s="8"/>
      <c r="S77" s="8"/>
      <c r="T77" s="8"/>
      <c r="U77" s="8"/>
      <c r="V77" s="8"/>
      <c r="W77" s="8"/>
      <c r="X77" s="8"/>
      <c r="Y77" s="8"/>
      <c r="Z77" s="8"/>
    </row>
    <row r="78">
      <c r="A78" s="8"/>
      <c r="B78" s="8"/>
      <c r="C78" s="8"/>
      <c r="D78" s="8"/>
      <c r="E78" s="8"/>
      <c r="F78" s="8"/>
      <c r="G78" s="8"/>
      <c r="H78" s="8"/>
      <c r="I78" s="8"/>
      <c r="J78" s="8"/>
      <c r="K78" s="8"/>
      <c r="L78" s="8"/>
      <c r="M78" s="8"/>
      <c r="N78" s="8"/>
      <c r="O78" s="8"/>
      <c r="P78" s="8"/>
      <c r="Q78" s="8"/>
      <c r="R78" s="8"/>
      <c r="S78" s="8"/>
      <c r="T78" s="8"/>
      <c r="U78" s="8"/>
      <c r="V78" s="8"/>
      <c r="W78" s="8"/>
      <c r="X78" s="8"/>
      <c r="Y78" s="8"/>
      <c r="Z78" s="8"/>
    </row>
    <row r="79">
      <c r="A79" s="8"/>
      <c r="B79" s="8"/>
      <c r="C79" s="8"/>
      <c r="D79" s="8"/>
      <c r="E79" s="8"/>
      <c r="F79" s="8"/>
      <c r="G79" s="8"/>
      <c r="H79" s="8"/>
      <c r="I79" s="8"/>
      <c r="J79" s="8"/>
      <c r="K79" s="8"/>
      <c r="L79" s="8"/>
      <c r="M79" s="8"/>
      <c r="N79" s="8"/>
      <c r="O79" s="8"/>
      <c r="P79" s="8"/>
      <c r="Q79" s="8"/>
      <c r="R79" s="8"/>
      <c r="S79" s="8"/>
      <c r="T79" s="8"/>
      <c r="U79" s="8"/>
      <c r="V79" s="8"/>
      <c r="W79" s="8"/>
      <c r="X79" s="8"/>
      <c r="Y79" s="8"/>
      <c r="Z79" s="8"/>
    </row>
    <row r="80">
      <c r="A80" s="8"/>
      <c r="B80" s="8"/>
      <c r="C80" s="8"/>
      <c r="D80" s="8"/>
      <c r="E80" s="8"/>
      <c r="F80" s="8"/>
      <c r="G80" s="8"/>
      <c r="H80" s="8"/>
      <c r="I80" s="8"/>
      <c r="J80" s="8"/>
      <c r="K80" s="8"/>
      <c r="L80" s="8"/>
      <c r="M80" s="8"/>
      <c r="N80" s="8"/>
      <c r="O80" s="8"/>
      <c r="P80" s="8"/>
      <c r="Q80" s="8"/>
      <c r="R80" s="8"/>
      <c r="S80" s="8"/>
      <c r="T80" s="8"/>
      <c r="U80" s="8"/>
      <c r="V80" s="8"/>
      <c r="W80" s="8"/>
      <c r="X80" s="8"/>
      <c r="Y80" s="8"/>
      <c r="Z80" s="8"/>
    </row>
    <row r="81">
      <c r="A81" s="8"/>
      <c r="B81" s="8"/>
      <c r="C81" s="8"/>
      <c r="D81" s="8"/>
      <c r="E81" s="8"/>
      <c r="F81" s="8"/>
      <c r="G81" s="8"/>
      <c r="H81" s="8"/>
      <c r="I81" s="8"/>
      <c r="J81" s="8"/>
      <c r="K81" s="8"/>
      <c r="L81" s="8"/>
      <c r="M81" s="8"/>
      <c r="N81" s="8"/>
      <c r="O81" s="8"/>
      <c r="P81" s="8"/>
      <c r="Q81" s="8"/>
      <c r="R81" s="8"/>
      <c r="S81" s="8"/>
      <c r="T81" s="8"/>
      <c r="U81" s="8"/>
      <c r="V81" s="8"/>
      <c r="W81" s="8"/>
      <c r="X81" s="8"/>
      <c r="Y81" s="8"/>
      <c r="Z81" s="8"/>
    </row>
    <row r="82">
      <c r="A82" s="8"/>
      <c r="B82" s="8"/>
      <c r="C82" s="8"/>
      <c r="D82" s="8"/>
      <c r="E82" s="8"/>
      <c r="F82" s="8"/>
      <c r="G82" s="8"/>
      <c r="H82" s="8"/>
      <c r="I82" s="8"/>
      <c r="J82" s="8"/>
      <c r="K82" s="8"/>
      <c r="L82" s="8"/>
      <c r="M82" s="8"/>
      <c r="N82" s="8"/>
      <c r="O82" s="8"/>
      <c r="P82" s="8"/>
      <c r="Q82" s="8"/>
      <c r="R82" s="8"/>
      <c r="S82" s="8"/>
      <c r="T82" s="8"/>
      <c r="U82" s="8"/>
      <c r="V82" s="8"/>
      <c r="W82" s="8"/>
      <c r="X82" s="8"/>
      <c r="Y82" s="8"/>
      <c r="Z82" s="8"/>
    </row>
    <row r="83">
      <c r="A83" s="8"/>
      <c r="B83" s="8"/>
      <c r="C83" s="8"/>
      <c r="D83" s="8"/>
      <c r="E83" s="8"/>
      <c r="F83" s="8"/>
      <c r="G83" s="8"/>
      <c r="H83" s="8"/>
      <c r="I83" s="8"/>
      <c r="J83" s="8"/>
      <c r="K83" s="8"/>
      <c r="L83" s="8"/>
      <c r="M83" s="8"/>
      <c r="N83" s="8"/>
      <c r="O83" s="8"/>
      <c r="P83" s="8"/>
      <c r="Q83" s="8"/>
      <c r="R83" s="8"/>
      <c r="S83" s="8"/>
      <c r="T83" s="8"/>
      <c r="U83" s="8"/>
      <c r="V83" s="8"/>
      <c r="W83" s="8"/>
      <c r="X83" s="8"/>
      <c r="Y83" s="8"/>
      <c r="Z83" s="8"/>
    </row>
    <row r="84">
      <c r="A84" s="8"/>
      <c r="B84" s="8"/>
      <c r="C84" s="8"/>
      <c r="D84" s="8"/>
      <c r="E84" s="8"/>
      <c r="F84" s="8"/>
      <c r="G84" s="8"/>
      <c r="H84" s="8"/>
      <c r="I84" s="8"/>
      <c r="J84" s="8"/>
      <c r="K84" s="8"/>
      <c r="L84" s="8"/>
      <c r="M84" s="8"/>
      <c r="N84" s="8"/>
      <c r="O84" s="8"/>
      <c r="P84" s="8"/>
      <c r="Q84" s="8"/>
      <c r="R84" s="8"/>
      <c r="S84" s="8"/>
      <c r="T84" s="8"/>
      <c r="U84" s="8"/>
      <c r="V84" s="8"/>
      <c r="W84" s="8"/>
      <c r="X84" s="8"/>
      <c r="Y84" s="8"/>
      <c r="Z84" s="8"/>
    </row>
    <row r="85">
      <c r="A85" s="8"/>
      <c r="B85" s="8"/>
      <c r="C85" s="8"/>
      <c r="D85" s="8"/>
      <c r="E85" s="8"/>
      <c r="F85" s="8"/>
      <c r="G85" s="8"/>
      <c r="H85" s="8"/>
      <c r="I85" s="8"/>
      <c r="J85" s="8"/>
      <c r="K85" s="8"/>
      <c r="L85" s="8"/>
      <c r="M85" s="8"/>
      <c r="N85" s="8"/>
      <c r="O85" s="8"/>
      <c r="P85" s="8"/>
      <c r="Q85" s="8"/>
      <c r="R85" s="8"/>
      <c r="S85" s="8"/>
      <c r="T85" s="8"/>
      <c r="U85" s="8"/>
      <c r="V85" s="8"/>
      <c r="W85" s="8"/>
      <c r="X85" s="8"/>
      <c r="Y85" s="8"/>
      <c r="Z85" s="8"/>
    </row>
    <row r="86">
      <c r="A86" s="8"/>
      <c r="B86" s="8"/>
      <c r="C86" s="8"/>
      <c r="D86" s="8"/>
      <c r="E86" s="8"/>
      <c r="F86" s="8"/>
      <c r="G86" s="8"/>
      <c r="H86" s="8"/>
      <c r="I86" s="8"/>
      <c r="J86" s="8"/>
      <c r="K86" s="8"/>
      <c r="L86" s="8"/>
      <c r="M86" s="8"/>
      <c r="N86" s="8"/>
      <c r="O86" s="8"/>
      <c r="P86" s="8"/>
      <c r="Q86" s="8"/>
      <c r="R86" s="8"/>
      <c r="S86" s="8"/>
      <c r="T86" s="8"/>
      <c r="U86" s="8"/>
      <c r="V86" s="8"/>
      <c r="W86" s="8"/>
      <c r="X86" s="8"/>
      <c r="Y86" s="8"/>
      <c r="Z86" s="8"/>
    </row>
    <row r="87">
      <c r="A87" s="8"/>
      <c r="B87" s="8"/>
      <c r="C87" s="8"/>
      <c r="D87" s="8"/>
      <c r="E87" s="8"/>
      <c r="F87" s="8"/>
      <c r="G87" s="8"/>
      <c r="H87" s="8"/>
      <c r="I87" s="8"/>
      <c r="J87" s="8"/>
      <c r="K87" s="8"/>
      <c r="L87" s="8"/>
      <c r="M87" s="8"/>
      <c r="N87" s="8"/>
      <c r="O87" s="8"/>
      <c r="P87" s="8"/>
      <c r="Q87" s="8"/>
      <c r="R87" s="8"/>
      <c r="S87" s="8"/>
      <c r="T87" s="8"/>
      <c r="U87" s="8"/>
      <c r="V87" s="8"/>
      <c r="W87" s="8"/>
      <c r="X87" s="8"/>
      <c r="Y87" s="8"/>
      <c r="Z87" s="8"/>
    </row>
    <row r="88">
      <c r="A88" s="8"/>
      <c r="B88" s="8"/>
      <c r="C88" s="8"/>
      <c r="D88" s="8"/>
      <c r="E88" s="8"/>
      <c r="F88" s="8"/>
      <c r="G88" s="8"/>
      <c r="H88" s="8"/>
      <c r="I88" s="8"/>
      <c r="J88" s="8"/>
      <c r="K88" s="8"/>
      <c r="L88" s="8"/>
      <c r="M88" s="8"/>
      <c r="N88" s="8"/>
      <c r="O88" s="8"/>
      <c r="P88" s="8"/>
      <c r="Q88" s="8"/>
      <c r="R88" s="8"/>
      <c r="S88" s="8"/>
      <c r="T88" s="8"/>
      <c r="U88" s="8"/>
      <c r="V88" s="8"/>
      <c r="W88" s="8"/>
      <c r="X88" s="8"/>
      <c r="Y88" s="8"/>
      <c r="Z88" s="8"/>
    </row>
    <row r="89">
      <c r="A89" s="8"/>
      <c r="B89" s="8"/>
      <c r="C89" s="8"/>
      <c r="D89" s="8"/>
      <c r="E89" s="8"/>
      <c r="F89" s="8"/>
      <c r="G89" s="8"/>
      <c r="H89" s="8"/>
      <c r="I89" s="8"/>
      <c r="J89" s="8"/>
      <c r="K89" s="8"/>
      <c r="L89" s="8"/>
      <c r="M89" s="8"/>
      <c r="N89" s="8"/>
      <c r="O89" s="8"/>
      <c r="P89" s="8"/>
      <c r="Q89" s="8"/>
      <c r="R89" s="8"/>
      <c r="S89" s="8"/>
      <c r="T89" s="8"/>
      <c r="U89" s="8"/>
      <c r="V89" s="8"/>
      <c r="W89" s="8"/>
      <c r="X89" s="8"/>
      <c r="Y89" s="8"/>
      <c r="Z89" s="8"/>
    </row>
    <row r="90">
      <c r="A90" s="8"/>
      <c r="B90" s="8"/>
      <c r="C90" s="8"/>
      <c r="D90" s="8"/>
      <c r="E90" s="8"/>
      <c r="F90" s="8"/>
      <c r="G90" s="8"/>
      <c r="H90" s="8"/>
      <c r="I90" s="8"/>
      <c r="J90" s="8"/>
      <c r="K90" s="8"/>
      <c r="L90" s="8"/>
      <c r="M90" s="8"/>
      <c r="N90" s="8"/>
      <c r="O90" s="8"/>
      <c r="P90" s="8"/>
      <c r="Q90" s="8"/>
      <c r="R90" s="8"/>
      <c r="S90" s="8"/>
      <c r="T90" s="8"/>
      <c r="U90" s="8"/>
      <c r="V90" s="8"/>
      <c r="W90" s="8"/>
      <c r="X90" s="8"/>
      <c r="Y90" s="8"/>
      <c r="Z90" s="8"/>
    </row>
    <row r="91">
      <c r="A91" s="8"/>
      <c r="B91" s="8"/>
      <c r="C91" s="8"/>
      <c r="D91" s="8"/>
      <c r="E91" s="8"/>
      <c r="F91" s="8"/>
      <c r="G91" s="8"/>
      <c r="H91" s="8"/>
      <c r="I91" s="8"/>
      <c r="J91" s="8"/>
      <c r="K91" s="8"/>
      <c r="L91" s="8"/>
      <c r="M91" s="8"/>
      <c r="N91" s="8"/>
      <c r="O91" s="8"/>
      <c r="P91" s="8"/>
      <c r="Q91" s="8"/>
      <c r="R91" s="8"/>
      <c r="S91" s="8"/>
      <c r="T91" s="8"/>
      <c r="U91" s="8"/>
      <c r="V91" s="8"/>
      <c r="W91" s="8"/>
      <c r="X91" s="8"/>
      <c r="Y91" s="8"/>
      <c r="Z91" s="8"/>
    </row>
    <row r="92">
      <c r="A92" s="8"/>
      <c r="B92" s="8"/>
      <c r="C92" s="8"/>
      <c r="D92" s="8"/>
      <c r="E92" s="8"/>
      <c r="F92" s="8"/>
      <c r="G92" s="8"/>
      <c r="H92" s="8"/>
      <c r="I92" s="8"/>
      <c r="J92" s="8"/>
      <c r="K92" s="8"/>
      <c r="L92" s="8"/>
      <c r="M92" s="8"/>
      <c r="N92" s="8"/>
      <c r="O92" s="8"/>
      <c r="P92" s="8"/>
      <c r="Q92" s="8"/>
      <c r="R92" s="8"/>
      <c r="S92" s="8"/>
      <c r="T92" s="8"/>
      <c r="U92" s="8"/>
      <c r="V92" s="8"/>
      <c r="W92" s="8"/>
      <c r="X92" s="8"/>
      <c r="Y92" s="8"/>
      <c r="Z92" s="8"/>
    </row>
    <row r="93">
      <c r="A93" s="8"/>
      <c r="B93" s="8"/>
      <c r="C93" s="8"/>
      <c r="D93" s="8"/>
      <c r="E93" s="8"/>
      <c r="F93" s="8"/>
      <c r="G93" s="8"/>
      <c r="H93" s="8"/>
      <c r="I93" s="8"/>
      <c r="J93" s="8"/>
      <c r="K93" s="8"/>
      <c r="L93" s="8"/>
      <c r="M93" s="8"/>
      <c r="N93" s="8"/>
      <c r="O93" s="8"/>
      <c r="P93" s="8"/>
      <c r="Q93" s="8"/>
      <c r="R93" s="8"/>
      <c r="S93" s="8"/>
      <c r="T93" s="8"/>
      <c r="U93" s="8"/>
      <c r="V93" s="8"/>
      <c r="W93" s="8"/>
      <c r="X93" s="8"/>
      <c r="Y93" s="8"/>
      <c r="Z93" s="8"/>
    </row>
    <row r="94">
      <c r="A94" s="8"/>
      <c r="B94" s="8"/>
      <c r="C94" s="8"/>
      <c r="D94" s="8"/>
      <c r="E94" s="8"/>
      <c r="F94" s="8"/>
      <c r="G94" s="8"/>
      <c r="H94" s="8"/>
      <c r="I94" s="8"/>
      <c r="J94" s="8"/>
      <c r="K94" s="8"/>
      <c r="L94" s="8"/>
      <c r="M94" s="8"/>
      <c r="N94" s="8"/>
      <c r="O94" s="8"/>
      <c r="P94" s="8"/>
      <c r="Q94" s="8"/>
      <c r="R94" s="8"/>
      <c r="S94" s="8"/>
      <c r="T94" s="8"/>
      <c r="U94" s="8"/>
      <c r="V94" s="8"/>
      <c r="W94" s="8"/>
      <c r="X94" s="8"/>
      <c r="Y94" s="8"/>
      <c r="Z94" s="8"/>
    </row>
    <row r="95">
      <c r="A95" s="8"/>
      <c r="B95" s="8"/>
      <c r="C95" s="8"/>
      <c r="D95" s="8"/>
      <c r="E95" s="8"/>
      <c r="F95" s="8"/>
      <c r="G95" s="8"/>
      <c r="H95" s="8"/>
      <c r="I95" s="8"/>
      <c r="J95" s="8"/>
      <c r="K95" s="8"/>
      <c r="L95" s="8"/>
      <c r="M95" s="8"/>
      <c r="N95" s="8"/>
      <c r="O95" s="8"/>
      <c r="P95" s="8"/>
      <c r="Q95" s="8"/>
      <c r="R95" s="8"/>
      <c r="S95" s="8"/>
      <c r="T95" s="8"/>
      <c r="U95" s="8"/>
      <c r="V95" s="8"/>
      <c r="W95" s="8"/>
      <c r="X95" s="8"/>
      <c r="Y95" s="8"/>
      <c r="Z95" s="8"/>
    </row>
    <row r="96">
      <c r="A96" s="8"/>
      <c r="B96" s="8"/>
      <c r="C96" s="8"/>
      <c r="D96" s="8"/>
      <c r="E96" s="8"/>
      <c r="F96" s="8"/>
      <c r="G96" s="8"/>
      <c r="H96" s="8"/>
      <c r="I96" s="8"/>
      <c r="J96" s="8"/>
      <c r="K96" s="8"/>
      <c r="L96" s="8"/>
      <c r="M96" s="8"/>
      <c r="N96" s="8"/>
      <c r="O96" s="8"/>
      <c r="P96" s="8"/>
      <c r="Q96" s="8"/>
      <c r="R96" s="8"/>
      <c r="S96" s="8"/>
      <c r="T96" s="8"/>
      <c r="U96" s="8"/>
      <c r="V96" s="8"/>
      <c r="W96" s="8"/>
      <c r="X96" s="8"/>
      <c r="Y96" s="8"/>
      <c r="Z96" s="8"/>
    </row>
    <row r="97">
      <c r="A97" s="8"/>
      <c r="B97" s="8"/>
      <c r="C97" s="8"/>
      <c r="D97" s="8"/>
      <c r="E97" s="8"/>
      <c r="F97" s="8"/>
      <c r="G97" s="8"/>
      <c r="H97" s="8"/>
      <c r="I97" s="8"/>
      <c r="J97" s="8"/>
      <c r="K97" s="8"/>
      <c r="L97" s="8"/>
      <c r="M97" s="8"/>
      <c r="N97" s="8"/>
      <c r="O97" s="8"/>
      <c r="P97" s="8"/>
      <c r="Q97" s="8"/>
      <c r="R97" s="8"/>
      <c r="S97" s="8"/>
      <c r="T97" s="8"/>
      <c r="U97" s="8"/>
      <c r="V97" s="8"/>
      <c r="W97" s="8"/>
      <c r="X97" s="8"/>
      <c r="Y97" s="8"/>
      <c r="Z97" s="8"/>
    </row>
    <row r="98">
      <c r="A98" s="8"/>
      <c r="B98" s="8"/>
      <c r="C98" s="8"/>
      <c r="D98" s="8"/>
      <c r="E98" s="8"/>
      <c r="F98" s="8"/>
      <c r="G98" s="8"/>
      <c r="H98" s="8"/>
      <c r="I98" s="8"/>
      <c r="J98" s="8"/>
      <c r="K98" s="8"/>
      <c r="L98" s="8"/>
      <c r="M98" s="8"/>
      <c r="N98" s="8"/>
      <c r="O98" s="8"/>
      <c r="P98" s="8"/>
      <c r="Q98" s="8"/>
      <c r="R98" s="8"/>
      <c r="S98" s="8"/>
      <c r="T98" s="8"/>
      <c r="U98" s="8"/>
      <c r="V98" s="8"/>
      <c r="W98" s="8"/>
      <c r="X98" s="8"/>
      <c r="Y98" s="8"/>
      <c r="Z98" s="8"/>
    </row>
    <row r="99">
      <c r="A99" s="8"/>
      <c r="B99" s="8"/>
      <c r="C99" s="8"/>
      <c r="D99" s="8"/>
      <c r="E99" s="8"/>
      <c r="F99" s="8"/>
      <c r="G99" s="8"/>
      <c r="H99" s="8"/>
      <c r="I99" s="8"/>
      <c r="J99" s="8"/>
      <c r="K99" s="8"/>
      <c r="L99" s="8"/>
      <c r="M99" s="8"/>
      <c r="N99" s="8"/>
      <c r="O99" s="8"/>
      <c r="P99" s="8"/>
      <c r="Q99" s="8"/>
      <c r="R99" s="8"/>
      <c r="S99" s="8"/>
      <c r="T99" s="8"/>
      <c r="U99" s="8"/>
      <c r="V99" s="8"/>
      <c r="W99" s="8"/>
      <c r="X99" s="8"/>
      <c r="Y99" s="8"/>
      <c r="Z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row r="1001">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row>
    <row r="1002">
      <c r="A1002" s="8"/>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c r="Z1002" s="8"/>
    </row>
    <row r="1003">
      <c r="A1003" s="8"/>
      <c r="B1003" s="8"/>
      <c r="C1003" s="8"/>
      <c r="D1003" s="8"/>
      <c r="E1003" s="8"/>
      <c r="F1003" s="8"/>
      <c r="G1003" s="8"/>
      <c r="H1003" s="8"/>
      <c r="I1003" s="8"/>
      <c r="J1003" s="8"/>
      <c r="K1003" s="8"/>
      <c r="L1003" s="8"/>
      <c r="M1003" s="8"/>
      <c r="N1003" s="8"/>
      <c r="O1003" s="8"/>
      <c r="P1003" s="8"/>
      <c r="Q1003" s="8"/>
      <c r="R1003" s="8"/>
      <c r="S1003" s="8"/>
      <c r="T1003" s="8"/>
      <c r="U1003" s="8"/>
      <c r="V1003" s="8"/>
      <c r="W1003" s="8"/>
      <c r="X1003" s="8"/>
      <c r="Y1003" s="8"/>
      <c r="Z1003" s="8"/>
    </row>
    <row r="1004">
      <c r="A1004" s="8"/>
      <c r="B1004" s="8"/>
      <c r="C1004" s="8"/>
      <c r="D1004" s="8"/>
      <c r="E1004" s="8"/>
      <c r="F1004" s="8"/>
      <c r="G1004" s="8"/>
      <c r="H1004" s="8"/>
      <c r="I1004" s="8"/>
      <c r="J1004" s="8"/>
      <c r="K1004" s="8"/>
      <c r="L1004" s="8"/>
      <c r="M1004" s="8"/>
      <c r="N1004" s="8"/>
      <c r="O1004" s="8"/>
      <c r="P1004" s="8"/>
      <c r="Q1004" s="8"/>
      <c r="R1004" s="8"/>
      <c r="S1004" s="8"/>
      <c r="T1004" s="8"/>
      <c r="U1004" s="8"/>
      <c r="V1004" s="8"/>
      <c r="W1004" s="8"/>
      <c r="X1004" s="8"/>
      <c r="Y1004" s="8"/>
      <c r="Z1004" s="8"/>
    </row>
    <row r="1005">
      <c r="A1005" s="8"/>
      <c r="B1005" s="8"/>
      <c r="C1005" s="8"/>
      <c r="D1005" s="8"/>
      <c r="E1005" s="8"/>
      <c r="F1005" s="8"/>
      <c r="G1005" s="8"/>
      <c r="H1005" s="8"/>
      <c r="I1005" s="8"/>
      <c r="J1005" s="8"/>
      <c r="K1005" s="8"/>
      <c r="L1005" s="8"/>
      <c r="M1005" s="8"/>
      <c r="N1005" s="8"/>
      <c r="O1005" s="8"/>
      <c r="P1005" s="8"/>
      <c r="Q1005" s="8"/>
      <c r="R1005" s="8"/>
      <c r="S1005" s="8"/>
      <c r="T1005" s="8"/>
      <c r="U1005" s="8"/>
      <c r="V1005" s="8"/>
      <c r="W1005" s="8"/>
      <c r="X1005" s="8"/>
      <c r="Y1005" s="8"/>
      <c r="Z1005" s="8"/>
    </row>
    <row r="1006">
      <c r="A1006" s="8"/>
      <c r="B1006" s="8"/>
      <c r="C1006" s="8"/>
      <c r="D1006" s="8"/>
      <c r="E1006" s="8"/>
      <c r="F1006" s="8"/>
      <c r="G1006" s="8"/>
      <c r="H1006" s="8"/>
      <c r="I1006" s="8"/>
      <c r="J1006" s="8"/>
      <c r="K1006" s="8"/>
      <c r="L1006" s="8"/>
      <c r="M1006" s="8"/>
      <c r="N1006" s="8"/>
      <c r="O1006" s="8"/>
      <c r="P1006" s="8"/>
      <c r="Q1006" s="8"/>
      <c r="R1006" s="8"/>
      <c r="S1006" s="8"/>
      <c r="T1006" s="8"/>
      <c r="U1006" s="8"/>
      <c r="V1006" s="8"/>
      <c r="W1006" s="8"/>
      <c r="X1006" s="8"/>
      <c r="Y1006" s="8"/>
      <c r="Z1006" s="8"/>
    </row>
    <row r="1007">
      <c r="A1007" s="8"/>
      <c r="B1007" s="8"/>
      <c r="C1007" s="8"/>
      <c r="D1007" s="8"/>
      <c r="E1007" s="8"/>
      <c r="F1007" s="8"/>
      <c r="G1007" s="8"/>
      <c r="H1007" s="8"/>
      <c r="I1007" s="8"/>
      <c r="J1007" s="8"/>
      <c r="K1007" s="8"/>
      <c r="L1007" s="8"/>
      <c r="M1007" s="8"/>
      <c r="N1007" s="8"/>
      <c r="O1007" s="8"/>
      <c r="P1007" s="8"/>
      <c r="Q1007" s="8"/>
      <c r="R1007" s="8"/>
      <c r="S1007" s="8"/>
      <c r="T1007" s="8"/>
      <c r="U1007" s="8"/>
      <c r="V1007" s="8"/>
      <c r="W1007" s="8"/>
      <c r="X1007" s="8"/>
      <c r="Y1007" s="8"/>
      <c r="Z1007" s="8"/>
    </row>
    <row r="1008">
      <c r="A1008" s="8"/>
      <c r="B1008" s="8"/>
      <c r="C1008" s="8"/>
      <c r="D1008" s="8"/>
      <c r="E1008" s="8"/>
      <c r="F1008" s="8"/>
      <c r="G1008" s="8"/>
      <c r="H1008" s="8"/>
      <c r="I1008" s="8"/>
      <c r="J1008" s="8"/>
      <c r="K1008" s="8"/>
      <c r="L1008" s="8"/>
      <c r="M1008" s="8"/>
      <c r="N1008" s="8"/>
      <c r="O1008" s="8"/>
      <c r="P1008" s="8"/>
      <c r="Q1008" s="8"/>
      <c r="R1008" s="8"/>
      <c r="S1008" s="8"/>
      <c r="T1008" s="8"/>
      <c r="U1008" s="8"/>
      <c r="V1008" s="8"/>
      <c r="W1008" s="8"/>
      <c r="X1008" s="8"/>
      <c r="Y1008" s="8"/>
      <c r="Z1008" s="8"/>
    </row>
    <row r="1009">
      <c r="A1009" s="8"/>
      <c r="B1009" s="8"/>
      <c r="C1009" s="8"/>
      <c r="D1009" s="8"/>
      <c r="E1009" s="8"/>
      <c r="F1009" s="8"/>
      <c r="G1009" s="8"/>
      <c r="H1009" s="8"/>
      <c r="I1009" s="8"/>
      <c r="J1009" s="8"/>
      <c r="K1009" s="8"/>
      <c r="L1009" s="8"/>
      <c r="M1009" s="8"/>
      <c r="N1009" s="8"/>
      <c r="O1009" s="8"/>
      <c r="P1009" s="8"/>
      <c r="Q1009" s="8"/>
      <c r="R1009" s="8"/>
      <c r="S1009" s="8"/>
      <c r="T1009" s="8"/>
      <c r="U1009" s="8"/>
      <c r="V1009" s="8"/>
      <c r="W1009" s="8"/>
      <c r="X1009" s="8"/>
      <c r="Y1009" s="8"/>
      <c r="Z1009" s="8"/>
    </row>
    <row r="1010">
      <c r="A1010" s="8"/>
      <c r="B1010" s="8"/>
      <c r="C1010" s="8"/>
      <c r="D1010" s="8"/>
      <c r="E1010" s="8"/>
      <c r="F1010" s="8"/>
      <c r="G1010" s="8"/>
      <c r="H1010" s="8"/>
      <c r="I1010" s="8"/>
      <c r="J1010" s="8"/>
      <c r="K1010" s="8"/>
      <c r="L1010" s="8"/>
      <c r="M1010" s="8"/>
      <c r="N1010" s="8"/>
      <c r="O1010" s="8"/>
      <c r="P1010" s="8"/>
      <c r="Q1010" s="8"/>
      <c r="R1010" s="8"/>
      <c r="S1010" s="8"/>
      <c r="T1010" s="8"/>
      <c r="U1010" s="8"/>
      <c r="V1010" s="8"/>
      <c r="W1010" s="8"/>
      <c r="X1010" s="8"/>
      <c r="Y1010" s="8"/>
      <c r="Z1010" s="8"/>
    </row>
    <row r="1011">
      <c r="A1011" s="8"/>
      <c r="B1011" s="8"/>
      <c r="C1011" s="8"/>
      <c r="D1011" s="8"/>
      <c r="E1011" s="8"/>
      <c r="F1011" s="8"/>
      <c r="G1011" s="8"/>
      <c r="H1011" s="8"/>
      <c r="I1011" s="8"/>
      <c r="J1011" s="8"/>
      <c r="K1011" s="8"/>
      <c r="L1011" s="8"/>
      <c r="M1011" s="8"/>
      <c r="N1011" s="8"/>
      <c r="O1011" s="8"/>
      <c r="P1011" s="8"/>
      <c r="Q1011" s="8"/>
      <c r="R1011" s="8"/>
      <c r="S1011" s="8"/>
      <c r="T1011" s="8"/>
      <c r="U1011" s="8"/>
      <c r="V1011" s="8"/>
      <c r="W1011" s="8"/>
      <c r="X1011" s="8"/>
      <c r="Y1011" s="8"/>
      <c r="Z1011" s="8"/>
    </row>
    <row r="1012">
      <c r="A1012" s="8"/>
      <c r="B1012" s="8"/>
      <c r="C1012" s="8"/>
      <c r="D1012" s="8"/>
      <c r="E1012" s="8"/>
      <c r="F1012" s="8"/>
      <c r="G1012" s="8"/>
      <c r="H1012" s="8"/>
      <c r="I1012" s="8"/>
      <c r="J1012" s="8"/>
      <c r="K1012" s="8"/>
      <c r="L1012" s="8"/>
      <c r="M1012" s="8"/>
      <c r="N1012" s="8"/>
      <c r="O1012" s="8"/>
      <c r="P1012" s="8"/>
      <c r="Q1012" s="8"/>
      <c r="R1012" s="8"/>
      <c r="S1012" s="8"/>
      <c r="T1012" s="8"/>
      <c r="U1012" s="8"/>
      <c r="V1012" s="8"/>
      <c r="W1012" s="8"/>
      <c r="X1012" s="8"/>
      <c r="Y1012" s="8"/>
      <c r="Z1012" s="8"/>
    </row>
    <row r="1013">
      <c r="A1013" s="8"/>
      <c r="B1013" s="8"/>
      <c r="C1013" s="8"/>
      <c r="D1013" s="8"/>
      <c r="E1013" s="8"/>
      <c r="F1013" s="8"/>
      <c r="G1013" s="8"/>
      <c r="H1013" s="8"/>
      <c r="I1013" s="8"/>
      <c r="J1013" s="8"/>
      <c r="K1013" s="8"/>
      <c r="L1013" s="8"/>
      <c r="M1013" s="8"/>
      <c r="N1013" s="8"/>
      <c r="O1013" s="8"/>
      <c r="P1013" s="8"/>
      <c r="Q1013" s="8"/>
      <c r="R1013" s="8"/>
      <c r="S1013" s="8"/>
      <c r="T1013" s="8"/>
      <c r="U1013" s="8"/>
      <c r="V1013" s="8"/>
      <c r="W1013" s="8"/>
      <c r="X1013" s="8"/>
      <c r="Y1013" s="8"/>
      <c r="Z1013" s="8"/>
    </row>
    <row r="1014">
      <c r="A1014" s="8"/>
      <c r="B1014" s="8"/>
      <c r="C1014" s="8"/>
      <c r="D1014" s="8"/>
      <c r="E1014" s="8"/>
      <c r="F1014" s="8"/>
      <c r="G1014" s="8"/>
      <c r="H1014" s="8"/>
      <c r="I1014" s="8"/>
      <c r="J1014" s="8"/>
      <c r="K1014" s="8"/>
      <c r="L1014" s="8"/>
      <c r="M1014" s="8"/>
      <c r="N1014" s="8"/>
      <c r="O1014" s="8"/>
      <c r="P1014" s="8"/>
      <c r="Q1014" s="8"/>
      <c r="R1014" s="8"/>
      <c r="S1014" s="8"/>
      <c r="T1014" s="8"/>
      <c r="U1014" s="8"/>
      <c r="V1014" s="8"/>
      <c r="W1014" s="8"/>
      <c r="X1014" s="8"/>
      <c r="Y1014" s="8"/>
      <c r="Z1014" s="8"/>
    </row>
    <row r="1015">
      <c r="A1015" s="8"/>
      <c r="B1015" s="8"/>
      <c r="C1015" s="8"/>
      <c r="D1015" s="8"/>
      <c r="E1015" s="8"/>
      <c r="F1015" s="8"/>
      <c r="G1015" s="8"/>
      <c r="H1015" s="8"/>
      <c r="I1015" s="8"/>
      <c r="J1015" s="8"/>
      <c r="K1015" s="8"/>
      <c r="L1015" s="8"/>
      <c r="M1015" s="8"/>
      <c r="N1015" s="8"/>
      <c r="O1015" s="8"/>
      <c r="P1015" s="8"/>
      <c r="Q1015" s="8"/>
      <c r="R1015" s="8"/>
      <c r="S1015" s="8"/>
      <c r="T1015" s="8"/>
      <c r="U1015" s="8"/>
      <c r="V1015" s="8"/>
      <c r="W1015" s="8"/>
      <c r="X1015" s="8"/>
      <c r="Y1015" s="8"/>
      <c r="Z1015" s="8"/>
    </row>
    <row r="1016">
      <c r="A1016" s="8"/>
      <c r="B1016" s="8"/>
      <c r="C1016" s="8"/>
      <c r="D1016" s="8"/>
      <c r="E1016" s="8"/>
      <c r="F1016" s="8"/>
      <c r="G1016" s="8"/>
      <c r="H1016" s="8"/>
      <c r="I1016" s="8"/>
      <c r="J1016" s="8"/>
      <c r="K1016" s="8"/>
      <c r="L1016" s="8"/>
      <c r="M1016" s="8"/>
      <c r="N1016" s="8"/>
      <c r="O1016" s="8"/>
      <c r="P1016" s="8"/>
      <c r="Q1016" s="8"/>
      <c r="R1016" s="8"/>
      <c r="S1016" s="8"/>
      <c r="T1016" s="8"/>
      <c r="U1016" s="8"/>
      <c r="V1016" s="8"/>
      <c r="W1016" s="8"/>
      <c r="X1016" s="8"/>
      <c r="Y1016" s="8"/>
      <c r="Z1016" s="8"/>
    </row>
    <row r="1017">
      <c r="A1017" s="8"/>
      <c r="B1017" s="8"/>
      <c r="C1017" s="8"/>
      <c r="D1017" s="8"/>
      <c r="E1017" s="8"/>
      <c r="F1017" s="8"/>
      <c r="G1017" s="8"/>
      <c r="H1017" s="8"/>
      <c r="I1017" s="8"/>
      <c r="J1017" s="8"/>
      <c r="K1017" s="8"/>
      <c r="L1017" s="8"/>
      <c r="M1017" s="8"/>
      <c r="N1017" s="8"/>
      <c r="O1017" s="8"/>
      <c r="P1017" s="8"/>
      <c r="Q1017" s="8"/>
      <c r="R1017" s="8"/>
      <c r="S1017" s="8"/>
      <c r="T1017" s="8"/>
      <c r="U1017" s="8"/>
      <c r="V1017" s="8"/>
      <c r="W1017" s="8"/>
      <c r="X1017" s="8"/>
      <c r="Y1017" s="8"/>
      <c r="Z1017" s="8"/>
    </row>
    <row r="1018">
      <c r="A1018" s="8"/>
      <c r="B1018" s="8"/>
      <c r="C1018" s="8"/>
      <c r="D1018" s="8"/>
      <c r="E1018" s="8"/>
      <c r="F1018" s="8"/>
      <c r="G1018" s="8"/>
      <c r="H1018" s="8"/>
      <c r="I1018" s="8"/>
      <c r="J1018" s="8"/>
      <c r="K1018" s="8"/>
      <c r="L1018" s="8"/>
      <c r="M1018" s="8"/>
      <c r="N1018" s="8"/>
      <c r="O1018" s="8"/>
      <c r="P1018" s="8"/>
      <c r="Q1018" s="8"/>
      <c r="R1018" s="8"/>
      <c r="S1018" s="8"/>
      <c r="T1018" s="8"/>
      <c r="U1018" s="8"/>
      <c r="V1018" s="8"/>
      <c r="W1018" s="8"/>
      <c r="X1018" s="8"/>
      <c r="Y1018" s="8"/>
      <c r="Z1018" s="8"/>
    </row>
    <row r="1019">
      <c r="A1019" s="8"/>
      <c r="B1019" s="8"/>
      <c r="C1019" s="8"/>
      <c r="D1019" s="8"/>
      <c r="E1019" s="8"/>
      <c r="F1019" s="8"/>
      <c r="G1019" s="8"/>
      <c r="H1019" s="8"/>
      <c r="I1019" s="8"/>
      <c r="J1019" s="8"/>
      <c r="K1019" s="8"/>
      <c r="L1019" s="8"/>
      <c r="M1019" s="8"/>
      <c r="N1019" s="8"/>
      <c r="O1019" s="8"/>
      <c r="P1019" s="8"/>
      <c r="Q1019" s="8"/>
      <c r="R1019" s="8"/>
      <c r="S1019" s="8"/>
      <c r="T1019" s="8"/>
      <c r="U1019" s="8"/>
      <c r="V1019" s="8"/>
      <c r="W1019" s="8"/>
      <c r="X1019" s="8"/>
      <c r="Y1019" s="8"/>
      <c r="Z1019" s="8"/>
    </row>
    <row r="1020">
      <c r="A1020" s="8"/>
      <c r="B1020" s="8"/>
      <c r="C1020" s="8"/>
      <c r="D1020" s="8"/>
      <c r="E1020" s="8"/>
      <c r="F1020" s="8"/>
      <c r="G1020" s="8"/>
      <c r="H1020" s="8"/>
      <c r="I1020" s="8"/>
      <c r="J1020" s="8"/>
      <c r="K1020" s="8"/>
      <c r="L1020" s="8"/>
      <c r="M1020" s="8"/>
      <c r="N1020" s="8"/>
      <c r="O1020" s="8"/>
      <c r="P1020" s="8"/>
      <c r="Q1020" s="8"/>
      <c r="R1020" s="8"/>
      <c r="S1020" s="8"/>
      <c r="T1020" s="8"/>
      <c r="U1020" s="8"/>
      <c r="V1020" s="8"/>
      <c r="W1020" s="8"/>
      <c r="X1020" s="8"/>
      <c r="Y1020" s="8"/>
      <c r="Z1020" s="8"/>
    </row>
    <row r="1021">
      <c r="A1021" s="8"/>
      <c r="B1021" s="8"/>
      <c r="C1021" s="8"/>
      <c r="D1021" s="8"/>
      <c r="E1021" s="8"/>
      <c r="F1021" s="8"/>
      <c r="G1021" s="8"/>
      <c r="H1021" s="8"/>
      <c r="I1021" s="8"/>
      <c r="J1021" s="8"/>
      <c r="K1021" s="8"/>
      <c r="L1021" s="8"/>
      <c r="M1021" s="8"/>
      <c r="N1021" s="8"/>
      <c r="O1021" s="8"/>
      <c r="P1021" s="8"/>
      <c r="Q1021" s="8"/>
      <c r="R1021" s="8"/>
      <c r="S1021" s="8"/>
      <c r="T1021" s="8"/>
      <c r="U1021" s="8"/>
      <c r="V1021" s="8"/>
      <c r="W1021" s="8"/>
      <c r="X1021" s="8"/>
      <c r="Y1021" s="8"/>
      <c r="Z1021" s="8"/>
    </row>
    <row r="1022">
      <c r="A1022" s="8"/>
      <c r="B1022" s="8"/>
      <c r="C1022" s="8"/>
      <c r="D1022" s="8"/>
      <c r="E1022" s="8"/>
      <c r="F1022" s="8"/>
      <c r="G1022" s="8"/>
      <c r="H1022" s="8"/>
      <c r="I1022" s="8"/>
      <c r="J1022" s="8"/>
      <c r="K1022" s="8"/>
      <c r="L1022" s="8"/>
      <c r="M1022" s="8"/>
      <c r="N1022" s="8"/>
      <c r="O1022" s="8"/>
      <c r="P1022" s="8"/>
      <c r="Q1022" s="8"/>
      <c r="R1022" s="8"/>
      <c r="S1022" s="8"/>
      <c r="T1022" s="8"/>
      <c r="U1022" s="8"/>
      <c r="V1022" s="8"/>
      <c r="W1022" s="8"/>
      <c r="X1022" s="8"/>
      <c r="Y1022" s="8"/>
      <c r="Z1022" s="8"/>
    </row>
    <row r="1023">
      <c r="A1023" s="8"/>
      <c r="B1023" s="8"/>
      <c r="C1023" s="8"/>
      <c r="D1023" s="8"/>
      <c r="E1023" s="8"/>
      <c r="F1023" s="8"/>
      <c r="G1023" s="8"/>
      <c r="H1023" s="8"/>
      <c r="I1023" s="8"/>
      <c r="J1023" s="8"/>
      <c r="K1023" s="8"/>
      <c r="L1023" s="8"/>
      <c r="M1023" s="8"/>
      <c r="N1023" s="8"/>
      <c r="O1023" s="8"/>
      <c r="P1023" s="8"/>
      <c r="Q1023" s="8"/>
      <c r="R1023" s="8"/>
      <c r="S1023" s="8"/>
      <c r="T1023" s="8"/>
      <c r="U1023" s="8"/>
      <c r="V1023" s="8"/>
      <c r="W1023" s="8"/>
      <c r="X1023" s="8"/>
      <c r="Y1023" s="8"/>
      <c r="Z1023" s="8"/>
    </row>
    <row r="1024">
      <c r="A1024" s="8"/>
      <c r="B1024" s="8"/>
      <c r="C1024" s="8"/>
      <c r="D1024" s="8"/>
      <c r="E1024" s="8"/>
      <c r="F1024" s="8"/>
      <c r="G1024" s="8"/>
      <c r="H1024" s="8"/>
      <c r="I1024" s="8"/>
      <c r="J1024" s="8"/>
      <c r="K1024" s="8"/>
      <c r="L1024" s="8"/>
      <c r="M1024" s="8"/>
      <c r="N1024" s="8"/>
      <c r="O1024" s="8"/>
      <c r="P1024" s="8"/>
      <c r="Q1024" s="8"/>
      <c r="R1024" s="8"/>
      <c r="S1024" s="8"/>
      <c r="T1024" s="8"/>
      <c r="U1024" s="8"/>
      <c r="V1024" s="8"/>
      <c r="W1024" s="8"/>
      <c r="X1024" s="8"/>
      <c r="Y1024" s="8"/>
      <c r="Z1024" s="8"/>
    </row>
    <row r="1025">
      <c r="A1025" s="8"/>
      <c r="B1025" s="8"/>
      <c r="C1025" s="8"/>
      <c r="D1025" s="8"/>
      <c r="E1025" s="8"/>
      <c r="F1025" s="8"/>
      <c r="G1025" s="8"/>
      <c r="H1025" s="8"/>
      <c r="I1025" s="8"/>
      <c r="J1025" s="8"/>
      <c r="K1025" s="8"/>
      <c r="L1025" s="8"/>
      <c r="M1025" s="8"/>
      <c r="N1025" s="8"/>
      <c r="O1025" s="8"/>
      <c r="P1025" s="8"/>
      <c r="Q1025" s="8"/>
      <c r="R1025" s="8"/>
      <c r="S1025" s="8"/>
      <c r="T1025" s="8"/>
      <c r="U1025" s="8"/>
      <c r="V1025" s="8"/>
      <c r="W1025" s="8"/>
      <c r="X1025" s="8"/>
      <c r="Y1025" s="8"/>
      <c r="Z1025" s="8"/>
    </row>
    <row r="1026">
      <c r="A1026" s="8"/>
      <c r="B1026" s="8"/>
      <c r="C1026" s="8"/>
      <c r="D1026" s="8"/>
      <c r="E1026" s="8"/>
      <c r="F1026" s="8"/>
      <c r="G1026" s="8"/>
      <c r="H1026" s="8"/>
      <c r="I1026" s="8"/>
      <c r="J1026" s="8"/>
      <c r="K1026" s="8"/>
      <c r="L1026" s="8"/>
      <c r="M1026" s="8"/>
      <c r="N1026" s="8"/>
      <c r="O1026" s="8"/>
      <c r="P1026" s="8"/>
      <c r="Q1026" s="8"/>
      <c r="R1026" s="8"/>
      <c r="S1026" s="8"/>
      <c r="T1026" s="8"/>
      <c r="U1026" s="8"/>
      <c r="V1026" s="8"/>
      <c r="W1026" s="8"/>
      <c r="X1026" s="8"/>
      <c r="Y1026" s="8"/>
      <c r="Z1026" s="8"/>
    </row>
    <row r="1027">
      <c r="A1027" s="8"/>
      <c r="B1027" s="8"/>
      <c r="C1027" s="8"/>
      <c r="D1027" s="8"/>
      <c r="E1027" s="8"/>
      <c r="F1027" s="8"/>
      <c r="G1027" s="8"/>
      <c r="H1027" s="8"/>
      <c r="I1027" s="8"/>
      <c r="J1027" s="8"/>
      <c r="K1027" s="8"/>
      <c r="L1027" s="8"/>
      <c r="M1027" s="8"/>
      <c r="N1027" s="8"/>
      <c r="O1027" s="8"/>
      <c r="P1027" s="8"/>
      <c r="Q1027" s="8"/>
      <c r="R1027" s="8"/>
      <c r="S1027" s="8"/>
      <c r="T1027" s="8"/>
      <c r="U1027" s="8"/>
      <c r="V1027" s="8"/>
      <c r="W1027" s="8"/>
      <c r="X1027" s="8"/>
      <c r="Y1027" s="8"/>
      <c r="Z1027" s="8"/>
    </row>
    <row r="1028">
      <c r="A1028" s="8"/>
      <c r="B1028" s="8"/>
      <c r="C1028" s="8"/>
      <c r="D1028" s="8"/>
      <c r="E1028" s="8"/>
      <c r="F1028" s="8"/>
      <c r="G1028" s="8"/>
      <c r="H1028" s="8"/>
      <c r="I1028" s="8"/>
      <c r="J1028" s="8"/>
      <c r="K1028" s="8"/>
      <c r="L1028" s="8"/>
      <c r="M1028" s="8"/>
      <c r="N1028" s="8"/>
      <c r="O1028" s="8"/>
      <c r="P1028" s="8"/>
      <c r="Q1028" s="8"/>
      <c r="R1028" s="8"/>
      <c r="S1028" s="8"/>
      <c r="T1028" s="8"/>
      <c r="U1028" s="8"/>
      <c r="V1028" s="8"/>
      <c r="W1028" s="8"/>
      <c r="X1028" s="8"/>
      <c r="Y1028" s="8"/>
      <c r="Z1028" s="8"/>
    </row>
    <row r="1029">
      <c r="A1029" s="8"/>
      <c r="B1029" s="8"/>
      <c r="C1029" s="8"/>
      <c r="D1029" s="8"/>
      <c r="E1029" s="8"/>
      <c r="F1029" s="8"/>
      <c r="G1029" s="8"/>
      <c r="H1029" s="8"/>
      <c r="I1029" s="8"/>
      <c r="J1029" s="8"/>
      <c r="K1029" s="8"/>
      <c r="L1029" s="8"/>
      <c r="M1029" s="8"/>
      <c r="N1029" s="8"/>
      <c r="O1029" s="8"/>
      <c r="P1029" s="8"/>
      <c r="Q1029" s="8"/>
      <c r="R1029" s="8"/>
      <c r="S1029" s="8"/>
      <c r="T1029" s="8"/>
      <c r="U1029" s="8"/>
      <c r="V1029" s="8"/>
      <c r="W1029" s="8"/>
      <c r="X1029" s="8"/>
      <c r="Y1029" s="8"/>
      <c r="Z1029" s="8"/>
    </row>
    <row r="1030">
      <c r="A1030" s="8"/>
      <c r="B1030" s="8"/>
      <c r="C1030" s="8"/>
      <c r="D1030" s="8"/>
      <c r="E1030" s="8"/>
      <c r="F1030" s="8"/>
      <c r="G1030" s="8"/>
      <c r="H1030" s="8"/>
      <c r="I1030" s="8"/>
      <c r="J1030" s="8"/>
      <c r="K1030" s="8"/>
      <c r="L1030" s="8"/>
      <c r="M1030" s="8"/>
      <c r="N1030" s="8"/>
      <c r="O1030" s="8"/>
      <c r="P1030" s="8"/>
      <c r="Q1030" s="8"/>
      <c r="R1030" s="8"/>
      <c r="S1030" s="8"/>
      <c r="T1030" s="8"/>
      <c r="U1030" s="8"/>
      <c r="V1030" s="8"/>
      <c r="W1030" s="8"/>
      <c r="X1030" s="8"/>
      <c r="Y1030" s="8"/>
      <c r="Z1030" s="8"/>
    </row>
    <row r="1031">
      <c r="A1031" s="8"/>
      <c r="B1031" s="8"/>
      <c r="C1031" s="8"/>
      <c r="D1031" s="8"/>
      <c r="E1031" s="8"/>
      <c r="F1031" s="8"/>
      <c r="G1031" s="8"/>
      <c r="H1031" s="8"/>
      <c r="I1031" s="8"/>
      <c r="J1031" s="8"/>
      <c r="K1031" s="8"/>
      <c r="L1031" s="8"/>
      <c r="M1031" s="8"/>
      <c r="N1031" s="8"/>
      <c r="O1031" s="8"/>
      <c r="P1031" s="8"/>
      <c r="Q1031" s="8"/>
      <c r="R1031" s="8"/>
      <c r="S1031" s="8"/>
      <c r="T1031" s="8"/>
      <c r="U1031" s="8"/>
      <c r="V1031" s="8"/>
      <c r="W1031" s="8"/>
      <c r="X1031" s="8"/>
      <c r="Y1031" s="8"/>
      <c r="Z1031" s="8"/>
    </row>
    <row r="1032">
      <c r="A1032" s="8"/>
      <c r="B1032" s="8"/>
      <c r="C1032" s="8"/>
      <c r="D1032" s="8"/>
      <c r="E1032" s="8"/>
      <c r="F1032" s="8"/>
      <c r="G1032" s="8"/>
      <c r="H1032" s="8"/>
      <c r="I1032" s="8"/>
      <c r="J1032" s="8"/>
      <c r="K1032" s="8"/>
      <c r="L1032" s="8"/>
      <c r="M1032" s="8"/>
      <c r="N1032" s="8"/>
      <c r="O1032" s="8"/>
      <c r="P1032" s="8"/>
      <c r="Q1032" s="8"/>
      <c r="R1032" s="8"/>
      <c r="S1032" s="8"/>
      <c r="T1032" s="8"/>
      <c r="U1032" s="8"/>
      <c r="V1032" s="8"/>
      <c r="W1032" s="8"/>
      <c r="X1032" s="8"/>
      <c r="Y1032" s="8"/>
      <c r="Z1032" s="8"/>
    </row>
    <row r="1033">
      <c r="A1033" s="8"/>
      <c r="B1033" s="8"/>
      <c r="C1033" s="8"/>
      <c r="D1033" s="8"/>
      <c r="E1033" s="8"/>
      <c r="F1033" s="8"/>
      <c r="G1033" s="8"/>
      <c r="H1033" s="8"/>
      <c r="I1033" s="8"/>
      <c r="J1033" s="8"/>
      <c r="K1033" s="8"/>
      <c r="L1033" s="8"/>
      <c r="M1033" s="8"/>
      <c r="N1033" s="8"/>
      <c r="O1033" s="8"/>
      <c r="P1033" s="8"/>
      <c r="Q1033" s="8"/>
      <c r="R1033" s="8"/>
      <c r="S1033" s="8"/>
      <c r="T1033" s="8"/>
      <c r="U1033" s="8"/>
      <c r="V1033" s="8"/>
      <c r="W1033" s="8"/>
      <c r="X1033" s="8"/>
      <c r="Y1033" s="8"/>
      <c r="Z1033" s="8"/>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6</v>
      </c>
      <c r="B1" s="6" t="s">
        <v>3</v>
      </c>
    </row>
    <row r="2">
      <c r="A2" s="294" t="s">
        <v>1904</v>
      </c>
      <c r="B2" s="6" t="s">
        <v>1905</v>
      </c>
    </row>
    <row r="3">
      <c r="A3" s="294" t="s">
        <v>1904</v>
      </c>
      <c r="B3" s="6" t="s">
        <v>1907</v>
      </c>
    </row>
    <row r="4">
      <c r="A4" s="294" t="s">
        <v>1154</v>
      </c>
      <c r="B4" s="6" t="s">
        <v>1909</v>
      </c>
    </row>
    <row r="5">
      <c r="A5" s="294" t="s">
        <v>498</v>
      </c>
      <c r="B5" s="6" t="s">
        <v>1912</v>
      </c>
    </row>
    <row r="6">
      <c r="A6" s="294" t="s">
        <v>192</v>
      </c>
      <c r="B6" s="6" t="s">
        <v>193</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3.0"/>
    <col customWidth="1" min="3" max="3" width="52.63"/>
    <col customWidth="1" min="4" max="4" width="53.25"/>
  </cols>
  <sheetData>
    <row r="1">
      <c r="A1" s="52" t="s">
        <v>3</v>
      </c>
      <c r="B1" s="295" t="s">
        <v>176</v>
      </c>
      <c r="C1" s="52" t="s">
        <v>1908</v>
      </c>
      <c r="D1" s="52" t="s">
        <v>1910</v>
      </c>
      <c r="E1" s="52" t="s">
        <v>1911</v>
      </c>
      <c r="F1" s="52" t="s">
        <v>30</v>
      </c>
      <c r="G1" s="6" t="s">
        <v>1913</v>
      </c>
    </row>
    <row r="2" ht="103.5" customHeight="1">
      <c r="A2" s="6" t="s">
        <v>1914</v>
      </c>
      <c r="B2" s="296" t="s">
        <v>1915</v>
      </c>
      <c r="C2" s="271" t="s">
        <v>1916</v>
      </c>
      <c r="D2" s="297" t="s">
        <v>1920</v>
      </c>
      <c r="E2" s="271" t="s">
        <v>1923</v>
      </c>
      <c r="G2" s="271" t="s">
        <v>1925</v>
      </c>
    </row>
    <row r="3">
      <c r="A3" s="298" t="s">
        <v>1927</v>
      </c>
      <c r="B3" s="296" t="s">
        <v>1928</v>
      </c>
      <c r="C3" s="297" t="s">
        <v>1929</v>
      </c>
      <c r="D3" s="6"/>
      <c r="E3" s="297" t="s">
        <v>1930</v>
      </c>
      <c r="G3" s="297" t="s">
        <v>1933</v>
      </c>
    </row>
    <row r="4">
      <c r="A4" s="298" t="s">
        <v>1935</v>
      </c>
      <c r="B4" s="296" t="s">
        <v>1936</v>
      </c>
      <c r="C4" s="297" t="s">
        <v>1937</v>
      </c>
      <c r="D4" s="271" t="s">
        <v>1939</v>
      </c>
      <c r="E4" s="297" t="s">
        <v>1942</v>
      </c>
      <c r="G4" s="271" t="s">
        <v>1944</v>
      </c>
    </row>
    <row r="5">
      <c r="A5" s="298" t="s">
        <v>1945</v>
      </c>
      <c r="B5" s="296" t="s">
        <v>1946</v>
      </c>
      <c r="C5" s="271" t="s">
        <v>1947</v>
      </c>
      <c r="D5" s="191"/>
      <c r="E5" s="297" t="s">
        <v>1949</v>
      </c>
      <c r="G5" s="271" t="s">
        <v>1950</v>
      </c>
    </row>
    <row r="6">
      <c r="A6" s="298" t="s">
        <v>1953</v>
      </c>
      <c r="B6" s="296" t="s">
        <v>1954</v>
      </c>
      <c r="C6" s="297" t="s">
        <v>1955</v>
      </c>
      <c r="D6" s="297" t="s">
        <v>1956</v>
      </c>
      <c r="E6" s="300" t="s">
        <v>1960</v>
      </c>
      <c r="G6" s="271" t="s">
        <v>1962</v>
      </c>
    </row>
    <row r="7">
      <c r="A7" s="298" t="s">
        <v>1965</v>
      </c>
      <c r="B7" s="296" t="s">
        <v>1966</v>
      </c>
      <c r="C7" s="271" t="s">
        <v>1967</v>
      </c>
      <c r="D7" s="191"/>
      <c r="E7" s="191"/>
      <c r="G7" s="271" t="s">
        <v>1971</v>
      </c>
    </row>
    <row r="8">
      <c r="A8" s="298" t="s">
        <v>1977</v>
      </c>
      <c r="B8" s="296" t="s">
        <v>1978</v>
      </c>
      <c r="C8" s="271" t="s">
        <v>1979</v>
      </c>
      <c r="D8" s="191"/>
      <c r="E8" s="191"/>
      <c r="G8" s="297" t="s">
        <v>1982</v>
      </c>
    </row>
    <row r="9">
      <c r="A9" s="298" t="s">
        <v>1984</v>
      </c>
      <c r="B9" s="296" t="s">
        <v>1985</v>
      </c>
      <c r="C9" s="271" t="s">
        <v>1986</v>
      </c>
      <c r="D9" s="271" t="s">
        <v>1988</v>
      </c>
      <c r="E9" s="271" t="s">
        <v>1991</v>
      </c>
    </row>
    <row r="10">
      <c r="A10" s="6" t="s">
        <v>1993</v>
      </c>
      <c r="B10" s="296" t="s">
        <v>1994</v>
      </c>
      <c r="C10" s="271" t="s">
        <v>1995</v>
      </c>
      <c r="E10" s="271" t="s">
        <v>2000</v>
      </c>
    </row>
    <row r="11">
      <c r="A11" s="6" t="s">
        <v>2002</v>
      </c>
      <c r="B11" s="296" t="s">
        <v>2003</v>
      </c>
      <c r="C11" s="271" t="s">
        <v>2004</v>
      </c>
      <c r="D11" s="271" t="s">
        <v>2006</v>
      </c>
    </row>
    <row r="12">
      <c r="A12" s="298" t="s">
        <v>2010</v>
      </c>
      <c r="B12" s="296" t="s">
        <v>2011</v>
      </c>
      <c r="C12" s="271" t="s">
        <v>2012</v>
      </c>
      <c r="D12" s="271" t="s">
        <v>2015</v>
      </c>
    </row>
    <row r="13">
      <c r="A13" s="304" t="s">
        <v>2017</v>
      </c>
      <c r="B13" s="296" t="s">
        <v>2019</v>
      </c>
      <c r="C13" s="271" t="s">
        <v>2020</v>
      </c>
      <c r="E13" s="271" t="s">
        <v>2023</v>
      </c>
    </row>
    <row r="14">
      <c r="A14" s="6" t="s">
        <v>2025</v>
      </c>
      <c r="B14" s="296" t="s">
        <v>2026</v>
      </c>
      <c r="C14" s="271" t="s">
        <v>2027</v>
      </c>
      <c r="D14" s="271" t="s">
        <v>2028</v>
      </c>
    </row>
    <row r="15">
      <c r="B15" s="305"/>
    </row>
    <row r="16">
      <c r="B16" s="305"/>
    </row>
    <row r="17">
      <c r="B17" s="305"/>
    </row>
    <row r="18">
      <c r="B18" s="305"/>
    </row>
    <row r="19">
      <c r="B19" s="305"/>
    </row>
    <row r="20">
      <c r="B20" s="305"/>
    </row>
    <row r="21">
      <c r="B21" s="305"/>
    </row>
    <row r="22">
      <c r="B22" s="305"/>
    </row>
    <row r="23">
      <c r="B23" s="305"/>
    </row>
    <row r="24">
      <c r="B24" s="305"/>
    </row>
    <row r="25">
      <c r="B25" s="305"/>
    </row>
    <row r="26">
      <c r="B26" s="305"/>
    </row>
    <row r="27">
      <c r="B27" s="305"/>
    </row>
    <row r="28">
      <c r="B28" s="305"/>
    </row>
    <row r="29">
      <c r="B29" s="305"/>
    </row>
    <row r="30">
      <c r="B30" s="305"/>
    </row>
    <row r="31">
      <c r="B31" s="305"/>
    </row>
    <row r="32">
      <c r="B32" s="305"/>
    </row>
    <row r="33">
      <c r="B33" s="305"/>
    </row>
    <row r="34">
      <c r="B34" s="305"/>
    </row>
    <row r="35">
      <c r="B35" s="305"/>
    </row>
    <row r="36">
      <c r="B36" s="305"/>
    </row>
    <row r="37">
      <c r="B37" s="305"/>
    </row>
    <row r="38">
      <c r="B38" s="305"/>
    </row>
    <row r="39">
      <c r="B39" s="305"/>
    </row>
    <row r="40">
      <c r="B40" s="305"/>
    </row>
    <row r="41">
      <c r="B41" s="305"/>
    </row>
    <row r="42">
      <c r="B42" s="305"/>
    </row>
    <row r="43">
      <c r="B43" s="305"/>
    </row>
    <row r="44">
      <c r="B44" s="305"/>
    </row>
    <row r="45">
      <c r="B45" s="305"/>
    </row>
    <row r="46">
      <c r="B46" s="305"/>
    </row>
    <row r="47">
      <c r="B47" s="305"/>
    </row>
    <row r="48">
      <c r="B48" s="305"/>
    </row>
    <row r="49">
      <c r="B49" s="305"/>
    </row>
    <row r="50">
      <c r="B50" s="305"/>
    </row>
    <row r="51">
      <c r="B51" s="305"/>
    </row>
    <row r="52">
      <c r="B52" s="305"/>
    </row>
    <row r="53">
      <c r="B53" s="305"/>
    </row>
    <row r="54">
      <c r="B54" s="305"/>
    </row>
    <row r="55">
      <c r="B55" s="305"/>
    </row>
    <row r="56">
      <c r="B56" s="305"/>
    </row>
    <row r="57">
      <c r="B57" s="305"/>
    </row>
    <row r="58">
      <c r="B58" s="305"/>
    </row>
    <row r="59">
      <c r="B59" s="305"/>
    </row>
    <row r="60">
      <c r="B60" s="305"/>
    </row>
    <row r="61">
      <c r="B61" s="305"/>
    </row>
    <row r="62">
      <c r="B62" s="305"/>
    </row>
    <row r="63">
      <c r="B63" s="305"/>
    </row>
    <row r="64">
      <c r="B64" s="305"/>
    </row>
    <row r="65">
      <c r="B65" s="305"/>
    </row>
    <row r="66">
      <c r="B66" s="305"/>
    </row>
    <row r="67">
      <c r="B67" s="305"/>
    </row>
    <row r="68">
      <c r="B68" s="305"/>
    </row>
    <row r="69">
      <c r="B69" s="305"/>
    </row>
    <row r="70">
      <c r="B70" s="305"/>
    </row>
    <row r="71">
      <c r="B71" s="305"/>
    </row>
    <row r="72">
      <c r="B72" s="305"/>
    </row>
    <row r="73">
      <c r="B73" s="305"/>
    </row>
    <row r="74">
      <c r="B74" s="305"/>
    </row>
    <row r="75">
      <c r="B75" s="305"/>
    </row>
    <row r="76">
      <c r="B76" s="305"/>
    </row>
    <row r="77">
      <c r="B77" s="305"/>
    </row>
    <row r="78">
      <c r="B78" s="305"/>
    </row>
    <row r="79">
      <c r="B79" s="305"/>
    </row>
    <row r="80">
      <c r="B80" s="305"/>
    </row>
    <row r="81">
      <c r="B81" s="305"/>
    </row>
    <row r="82">
      <c r="B82" s="305"/>
    </row>
    <row r="83">
      <c r="B83" s="305"/>
    </row>
    <row r="84">
      <c r="B84" s="305"/>
    </row>
    <row r="85">
      <c r="B85" s="305"/>
    </row>
    <row r="86">
      <c r="B86" s="305"/>
    </row>
    <row r="87">
      <c r="B87" s="305"/>
    </row>
    <row r="88">
      <c r="B88" s="305"/>
    </row>
    <row r="89">
      <c r="B89" s="305"/>
    </row>
    <row r="90">
      <c r="B90" s="305"/>
    </row>
    <row r="91">
      <c r="B91" s="305"/>
    </row>
    <row r="92">
      <c r="B92" s="305"/>
    </row>
    <row r="93">
      <c r="B93" s="305"/>
    </row>
    <row r="94">
      <c r="B94" s="305"/>
    </row>
    <row r="95">
      <c r="B95" s="305"/>
    </row>
    <row r="96">
      <c r="B96" s="305"/>
    </row>
    <row r="97">
      <c r="B97" s="305"/>
    </row>
    <row r="98">
      <c r="B98" s="305"/>
    </row>
    <row r="99">
      <c r="B99" s="305"/>
    </row>
    <row r="100">
      <c r="B100" s="305"/>
    </row>
    <row r="101">
      <c r="B101" s="305"/>
    </row>
    <row r="102">
      <c r="B102" s="305"/>
    </row>
    <row r="103">
      <c r="B103" s="305"/>
    </row>
    <row r="104">
      <c r="B104" s="305"/>
    </row>
    <row r="105">
      <c r="B105" s="305"/>
    </row>
    <row r="106">
      <c r="B106" s="305"/>
    </row>
    <row r="107">
      <c r="B107" s="305"/>
    </row>
    <row r="108">
      <c r="B108" s="305"/>
    </row>
    <row r="109">
      <c r="B109" s="305"/>
    </row>
    <row r="110">
      <c r="B110" s="305"/>
    </row>
    <row r="111">
      <c r="B111" s="305"/>
    </row>
    <row r="112">
      <c r="B112" s="305"/>
    </row>
    <row r="113">
      <c r="B113" s="305"/>
    </row>
    <row r="114">
      <c r="B114" s="305"/>
    </row>
    <row r="115">
      <c r="B115" s="305"/>
    </row>
    <row r="116">
      <c r="B116" s="305"/>
    </row>
    <row r="117">
      <c r="B117" s="305"/>
    </row>
    <row r="118">
      <c r="B118" s="305"/>
    </row>
    <row r="119">
      <c r="B119" s="305"/>
    </row>
    <row r="120">
      <c r="B120" s="305"/>
    </row>
    <row r="121">
      <c r="B121" s="305"/>
    </row>
    <row r="122">
      <c r="B122" s="305"/>
    </row>
    <row r="123">
      <c r="B123" s="305"/>
    </row>
    <row r="124">
      <c r="B124" s="305"/>
    </row>
    <row r="125">
      <c r="B125" s="305"/>
    </row>
    <row r="126">
      <c r="B126" s="305"/>
    </row>
    <row r="127">
      <c r="B127" s="305"/>
    </row>
    <row r="128">
      <c r="B128" s="305"/>
    </row>
    <row r="129">
      <c r="B129" s="305"/>
    </row>
    <row r="130">
      <c r="B130" s="305"/>
    </row>
    <row r="131">
      <c r="B131" s="305"/>
    </row>
    <row r="132">
      <c r="B132" s="305"/>
    </row>
    <row r="133">
      <c r="B133" s="305"/>
    </row>
    <row r="134">
      <c r="B134" s="305"/>
    </row>
    <row r="135">
      <c r="B135" s="305"/>
    </row>
    <row r="136">
      <c r="B136" s="305"/>
    </row>
    <row r="137">
      <c r="B137" s="305"/>
    </row>
    <row r="138">
      <c r="B138" s="305"/>
    </row>
    <row r="139">
      <c r="B139" s="305"/>
    </row>
    <row r="140">
      <c r="B140" s="305"/>
    </row>
    <row r="141">
      <c r="B141" s="305"/>
    </row>
    <row r="142">
      <c r="B142" s="305"/>
    </row>
    <row r="143">
      <c r="B143" s="305"/>
    </row>
    <row r="144">
      <c r="B144" s="305"/>
    </row>
    <row r="145">
      <c r="B145" s="305"/>
    </row>
    <row r="146">
      <c r="B146" s="305"/>
    </row>
    <row r="147">
      <c r="B147" s="305"/>
    </row>
    <row r="148">
      <c r="B148" s="305"/>
    </row>
    <row r="149">
      <c r="B149" s="305"/>
    </row>
    <row r="150">
      <c r="B150" s="305"/>
    </row>
    <row r="151">
      <c r="B151" s="305"/>
    </row>
    <row r="152">
      <c r="B152" s="305"/>
    </row>
    <row r="153">
      <c r="B153" s="305"/>
    </row>
    <row r="154">
      <c r="B154" s="305"/>
    </row>
    <row r="155">
      <c r="B155" s="305"/>
    </row>
    <row r="156">
      <c r="B156" s="305"/>
    </row>
    <row r="157">
      <c r="B157" s="305"/>
    </row>
    <row r="158">
      <c r="B158" s="305"/>
    </row>
    <row r="159">
      <c r="B159" s="305"/>
    </row>
    <row r="160">
      <c r="B160" s="305"/>
    </row>
    <row r="161">
      <c r="B161" s="305"/>
    </row>
    <row r="162">
      <c r="B162" s="305"/>
    </row>
    <row r="163">
      <c r="B163" s="305"/>
    </row>
    <row r="164">
      <c r="B164" s="305"/>
    </row>
    <row r="165">
      <c r="B165" s="305"/>
    </row>
    <row r="166">
      <c r="B166" s="305"/>
    </row>
    <row r="167">
      <c r="B167" s="305"/>
    </row>
    <row r="168">
      <c r="B168" s="305"/>
    </row>
    <row r="169">
      <c r="B169" s="305"/>
    </row>
    <row r="170">
      <c r="B170" s="305"/>
    </row>
    <row r="171">
      <c r="B171" s="305"/>
    </row>
    <row r="172">
      <c r="B172" s="305"/>
    </row>
    <row r="173">
      <c r="B173" s="305"/>
    </row>
    <row r="174">
      <c r="B174" s="305"/>
    </row>
    <row r="175">
      <c r="B175" s="305"/>
    </row>
    <row r="176">
      <c r="B176" s="305"/>
    </row>
    <row r="177">
      <c r="B177" s="305"/>
    </row>
    <row r="178">
      <c r="B178" s="305"/>
    </row>
    <row r="179">
      <c r="B179" s="305"/>
    </row>
    <row r="180">
      <c r="B180" s="305"/>
    </row>
    <row r="181">
      <c r="B181" s="305"/>
    </row>
    <row r="182">
      <c r="B182" s="305"/>
    </row>
    <row r="183">
      <c r="B183" s="305"/>
    </row>
    <row r="184">
      <c r="B184" s="305"/>
    </row>
    <row r="185">
      <c r="B185" s="305"/>
    </row>
    <row r="186">
      <c r="B186" s="305"/>
    </row>
    <row r="187">
      <c r="B187" s="305"/>
    </row>
    <row r="188">
      <c r="B188" s="305"/>
    </row>
    <row r="189">
      <c r="B189" s="305"/>
    </row>
    <row r="190">
      <c r="B190" s="305"/>
    </row>
    <row r="191">
      <c r="B191" s="305"/>
    </row>
    <row r="192">
      <c r="B192" s="305"/>
    </row>
    <row r="193">
      <c r="B193" s="305"/>
    </row>
    <row r="194">
      <c r="B194" s="305"/>
    </row>
    <row r="195">
      <c r="B195" s="305"/>
    </row>
    <row r="196">
      <c r="B196" s="305"/>
    </row>
    <row r="197">
      <c r="B197" s="305"/>
    </row>
    <row r="198">
      <c r="B198" s="305"/>
    </row>
    <row r="199">
      <c r="B199" s="305"/>
    </row>
    <row r="200">
      <c r="B200" s="305"/>
    </row>
    <row r="201">
      <c r="B201" s="305"/>
    </row>
    <row r="202">
      <c r="B202" s="305"/>
    </row>
    <row r="203">
      <c r="B203" s="305"/>
    </row>
    <row r="204">
      <c r="B204" s="305"/>
    </row>
    <row r="205">
      <c r="B205" s="305"/>
    </row>
    <row r="206">
      <c r="B206" s="305"/>
    </row>
    <row r="207">
      <c r="B207" s="305"/>
    </row>
    <row r="208">
      <c r="B208" s="305"/>
    </row>
    <row r="209">
      <c r="B209" s="305"/>
    </row>
    <row r="210">
      <c r="B210" s="305"/>
    </row>
    <row r="211">
      <c r="B211" s="305"/>
    </row>
    <row r="212">
      <c r="B212" s="305"/>
    </row>
    <row r="213">
      <c r="B213" s="305"/>
    </row>
    <row r="214">
      <c r="B214" s="305"/>
    </row>
    <row r="215">
      <c r="B215" s="305"/>
    </row>
    <row r="216">
      <c r="B216" s="305"/>
    </row>
    <row r="217">
      <c r="B217" s="305"/>
    </row>
    <row r="218">
      <c r="B218" s="305"/>
    </row>
    <row r="219">
      <c r="B219" s="305"/>
    </row>
    <row r="220">
      <c r="B220" s="305"/>
    </row>
    <row r="221">
      <c r="B221" s="305"/>
    </row>
    <row r="222">
      <c r="B222" s="305"/>
    </row>
    <row r="223">
      <c r="B223" s="305"/>
    </row>
    <row r="224">
      <c r="B224" s="305"/>
    </row>
    <row r="225">
      <c r="B225" s="305"/>
    </row>
    <row r="226">
      <c r="B226" s="305"/>
    </row>
    <row r="227">
      <c r="B227" s="305"/>
    </row>
    <row r="228">
      <c r="B228" s="305"/>
    </row>
    <row r="229">
      <c r="B229" s="305"/>
    </row>
    <row r="230">
      <c r="B230" s="305"/>
    </row>
    <row r="231">
      <c r="B231" s="305"/>
    </row>
    <row r="232">
      <c r="B232" s="305"/>
    </row>
    <row r="233">
      <c r="B233" s="305"/>
    </row>
    <row r="234">
      <c r="B234" s="305"/>
    </row>
    <row r="235">
      <c r="B235" s="305"/>
    </row>
    <row r="236">
      <c r="B236" s="305"/>
    </row>
    <row r="237">
      <c r="B237" s="305"/>
    </row>
    <row r="238">
      <c r="B238" s="305"/>
    </row>
    <row r="239">
      <c r="B239" s="305"/>
    </row>
    <row r="240">
      <c r="B240" s="305"/>
    </row>
    <row r="241">
      <c r="B241" s="305"/>
    </row>
    <row r="242">
      <c r="B242" s="305"/>
    </row>
    <row r="243">
      <c r="B243" s="305"/>
    </row>
    <row r="244">
      <c r="B244" s="305"/>
    </row>
    <row r="245">
      <c r="B245" s="305"/>
    </row>
    <row r="246">
      <c r="B246" s="305"/>
    </row>
    <row r="247">
      <c r="B247" s="305"/>
    </row>
    <row r="248">
      <c r="B248" s="305"/>
    </row>
    <row r="249">
      <c r="B249" s="305"/>
    </row>
    <row r="250">
      <c r="B250" s="305"/>
    </row>
    <row r="251">
      <c r="B251" s="305"/>
    </row>
    <row r="252">
      <c r="B252" s="305"/>
    </row>
    <row r="253">
      <c r="B253" s="305"/>
    </row>
    <row r="254">
      <c r="B254" s="305"/>
    </row>
    <row r="255">
      <c r="B255" s="305"/>
    </row>
    <row r="256">
      <c r="B256" s="305"/>
    </row>
    <row r="257">
      <c r="B257" s="305"/>
    </row>
    <row r="258">
      <c r="B258" s="305"/>
    </row>
    <row r="259">
      <c r="B259" s="305"/>
    </row>
    <row r="260">
      <c r="B260" s="305"/>
    </row>
    <row r="261">
      <c r="B261" s="305"/>
    </row>
    <row r="262">
      <c r="B262" s="305"/>
    </row>
    <row r="263">
      <c r="B263" s="305"/>
    </row>
    <row r="264">
      <c r="B264" s="305"/>
    </row>
    <row r="265">
      <c r="B265" s="305"/>
    </row>
    <row r="266">
      <c r="B266" s="305"/>
    </row>
    <row r="267">
      <c r="B267" s="305"/>
    </row>
    <row r="268">
      <c r="B268" s="305"/>
    </row>
    <row r="269">
      <c r="B269" s="305"/>
    </row>
    <row r="270">
      <c r="B270" s="305"/>
    </row>
    <row r="271">
      <c r="B271" s="305"/>
    </row>
    <row r="272">
      <c r="B272" s="305"/>
    </row>
    <row r="273">
      <c r="B273" s="305"/>
    </row>
    <row r="274">
      <c r="B274" s="305"/>
    </row>
    <row r="275">
      <c r="B275" s="305"/>
    </row>
    <row r="276">
      <c r="B276" s="305"/>
    </row>
    <row r="277">
      <c r="B277" s="305"/>
    </row>
    <row r="278">
      <c r="B278" s="305"/>
    </row>
    <row r="279">
      <c r="B279" s="305"/>
    </row>
    <row r="280">
      <c r="B280" s="305"/>
    </row>
    <row r="281">
      <c r="B281" s="305"/>
    </row>
    <row r="282">
      <c r="B282" s="305"/>
    </row>
    <row r="283">
      <c r="B283" s="305"/>
    </row>
    <row r="284">
      <c r="B284" s="305"/>
    </row>
    <row r="285">
      <c r="B285" s="305"/>
    </row>
    <row r="286">
      <c r="B286" s="305"/>
    </row>
    <row r="287">
      <c r="B287" s="305"/>
    </row>
    <row r="288">
      <c r="B288" s="305"/>
    </row>
    <row r="289">
      <c r="B289" s="305"/>
    </row>
    <row r="290">
      <c r="B290" s="305"/>
    </row>
    <row r="291">
      <c r="B291" s="305"/>
    </row>
    <row r="292">
      <c r="B292" s="305"/>
    </row>
    <row r="293">
      <c r="B293" s="305"/>
    </row>
    <row r="294">
      <c r="B294" s="305"/>
    </row>
    <row r="295">
      <c r="B295" s="305"/>
    </row>
    <row r="296">
      <c r="B296" s="305"/>
    </row>
    <row r="297">
      <c r="B297" s="305"/>
    </row>
    <row r="298">
      <c r="B298" s="305"/>
    </row>
    <row r="299">
      <c r="B299" s="305"/>
    </row>
    <row r="300">
      <c r="B300" s="305"/>
    </row>
    <row r="301">
      <c r="B301" s="305"/>
    </row>
    <row r="302">
      <c r="B302" s="305"/>
    </row>
    <row r="303">
      <c r="B303" s="305"/>
    </row>
    <row r="304">
      <c r="B304" s="305"/>
    </row>
    <row r="305">
      <c r="B305" s="305"/>
    </row>
    <row r="306">
      <c r="B306" s="305"/>
    </row>
    <row r="307">
      <c r="B307" s="305"/>
    </row>
    <row r="308">
      <c r="B308" s="305"/>
    </row>
    <row r="309">
      <c r="B309" s="305"/>
    </row>
    <row r="310">
      <c r="B310" s="305"/>
    </row>
    <row r="311">
      <c r="B311" s="305"/>
    </row>
    <row r="312">
      <c r="B312" s="305"/>
    </row>
    <row r="313">
      <c r="B313" s="305"/>
    </row>
    <row r="314">
      <c r="B314" s="305"/>
    </row>
    <row r="315">
      <c r="B315" s="305"/>
    </row>
    <row r="316">
      <c r="B316" s="305"/>
    </row>
    <row r="317">
      <c r="B317" s="305"/>
    </row>
    <row r="318">
      <c r="B318" s="305"/>
    </row>
    <row r="319">
      <c r="B319" s="305"/>
    </row>
    <row r="320">
      <c r="B320" s="305"/>
    </row>
    <row r="321">
      <c r="B321" s="305"/>
    </row>
    <row r="322">
      <c r="B322" s="305"/>
    </row>
    <row r="323">
      <c r="B323" s="305"/>
    </row>
    <row r="324">
      <c r="B324" s="305"/>
    </row>
    <row r="325">
      <c r="B325" s="305"/>
    </row>
    <row r="326">
      <c r="B326" s="305"/>
    </row>
    <row r="327">
      <c r="B327" s="305"/>
    </row>
    <row r="328">
      <c r="B328" s="305"/>
    </row>
    <row r="329">
      <c r="B329" s="305"/>
    </row>
    <row r="330">
      <c r="B330" s="305"/>
    </row>
    <row r="331">
      <c r="B331" s="305"/>
    </row>
    <row r="332">
      <c r="B332" s="305"/>
    </row>
    <row r="333">
      <c r="B333" s="305"/>
    </row>
    <row r="334">
      <c r="B334" s="305"/>
    </row>
    <row r="335">
      <c r="B335" s="305"/>
    </row>
    <row r="336">
      <c r="B336" s="305"/>
    </row>
    <row r="337">
      <c r="B337" s="305"/>
    </row>
    <row r="338">
      <c r="B338" s="305"/>
    </row>
    <row r="339">
      <c r="B339" s="305"/>
    </row>
    <row r="340">
      <c r="B340" s="305"/>
    </row>
    <row r="341">
      <c r="B341" s="305"/>
    </row>
    <row r="342">
      <c r="B342" s="305"/>
    </row>
    <row r="343">
      <c r="B343" s="305"/>
    </row>
    <row r="344">
      <c r="B344" s="305"/>
    </row>
    <row r="345">
      <c r="B345" s="305"/>
    </row>
    <row r="346">
      <c r="B346" s="305"/>
    </row>
    <row r="347">
      <c r="B347" s="305"/>
    </row>
    <row r="348">
      <c r="B348" s="305"/>
    </row>
    <row r="349">
      <c r="B349" s="305"/>
    </row>
    <row r="350">
      <c r="B350" s="305"/>
    </row>
    <row r="351">
      <c r="B351" s="305"/>
    </row>
    <row r="352">
      <c r="B352" s="305"/>
    </row>
    <row r="353">
      <c r="B353" s="305"/>
    </row>
    <row r="354">
      <c r="B354" s="305"/>
    </row>
    <row r="355">
      <c r="B355" s="305"/>
    </row>
    <row r="356">
      <c r="B356" s="305"/>
    </row>
    <row r="357">
      <c r="B357" s="305"/>
    </row>
    <row r="358">
      <c r="B358" s="305"/>
    </row>
    <row r="359">
      <c r="B359" s="305"/>
    </row>
    <row r="360">
      <c r="B360" s="305"/>
    </row>
    <row r="361">
      <c r="B361" s="305"/>
    </row>
    <row r="362">
      <c r="B362" s="305"/>
    </row>
    <row r="363">
      <c r="B363" s="305"/>
    </row>
    <row r="364">
      <c r="B364" s="305"/>
    </row>
    <row r="365">
      <c r="B365" s="305"/>
    </row>
    <row r="366">
      <c r="B366" s="305"/>
    </row>
    <row r="367">
      <c r="B367" s="305"/>
    </row>
    <row r="368">
      <c r="B368" s="305"/>
    </row>
    <row r="369">
      <c r="B369" s="305"/>
    </row>
    <row r="370">
      <c r="B370" s="305"/>
    </row>
    <row r="371">
      <c r="B371" s="305"/>
    </row>
    <row r="372">
      <c r="B372" s="305"/>
    </row>
    <row r="373">
      <c r="B373" s="305"/>
    </row>
    <row r="374">
      <c r="B374" s="305"/>
    </row>
    <row r="375">
      <c r="B375" s="305"/>
    </row>
    <row r="376">
      <c r="B376" s="305"/>
    </row>
    <row r="377">
      <c r="B377" s="305"/>
    </row>
    <row r="378">
      <c r="B378" s="305"/>
    </row>
    <row r="379">
      <c r="B379" s="305"/>
    </row>
    <row r="380">
      <c r="B380" s="305"/>
    </row>
    <row r="381">
      <c r="B381" s="305"/>
    </row>
    <row r="382">
      <c r="B382" s="305"/>
    </row>
    <row r="383">
      <c r="B383" s="305"/>
    </row>
    <row r="384">
      <c r="B384" s="305"/>
    </row>
    <row r="385">
      <c r="B385" s="305"/>
    </row>
    <row r="386">
      <c r="B386" s="305"/>
    </row>
    <row r="387">
      <c r="B387" s="305"/>
    </row>
    <row r="388">
      <c r="B388" s="305"/>
    </row>
    <row r="389">
      <c r="B389" s="305"/>
    </row>
    <row r="390">
      <c r="B390" s="305"/>
    </row>
    <row r="391">
      <c r="B391" s="305"/>
    </row>
    <row r="392">
      <c r="B392" s="305"/>
    </row>
    <row r="393">
      <c r="B393" s="305"/>
    </row>
    <row r="394">
      <c r="B394" s="305"/>
    </row>
    <row r="395">
      <c r="B395" s="305"/>
    </row>
    <row r="396">
      <c r="B396" s="305"/>
    </row>
    <row r="397">
      <c r="B397" s="305"/>
    </row>
    <row r="398">
      <c r="B398" s="305"/>
    </row>
    <row r="399">
      <c r="B399" s="305"/>
    </row>
    <row r="400">
      <c r="B400" s="305"/>
    </row>
    <row r="401">
      <c r="B401" s="305"/>
    </row>
    <row r="402">
      <c r="B402" s="305"/>
    </row>
    <row r="403">
      <c r="B403" s="305"/>
    </row>
    <row r="404">
      <c r="B404" s="305"/>
    </row>
    <row r="405">
      <c r="B405" s="305"/>
    </row>
    <row r="406">
      <c r="B406" s="305"/>
    </row>
    <row r="407">
      <c r="B407" s="305"/>
    </row>
    <row r="408">
      <c r="B408" s="305"/>
    </row>
    <row r="409">
      <c r="B409" s="305"/>
    </row>
    <row r="410">
      <c r="B410" s="305"/>
    </row>
    <row r="411">
      <c r="B411" s="305"/>
    </row>
    <row r="412">
      <c r="B412" s="305"/>
    </row>
    <row r="413">
      <c r="B413" s="305"/>
    </row>
    <row r="414">
      <c r="B414" s="305"/>
    </row>
    <row r="415">
      <c r="B415" s="305"/>
    </row>
    <row r="416">
      <c r="B416" s="305"/>
    </row>
    <row r="417">
      <c r="B417" s="305"/>
    </row>
    <row r="418">
      <c r="B418" s="305"/>
    </row>
    <row r="419">
      <c r="B419" s="305"/>
    </row>
    <row r="420">
      <c r="B420" s="305"/>
    </row>
    <row r="421">
      <c r="B421" s="305"/>
    </row>
    <row r="422">
      <c r="B422" s="305"/>
    </row>
    <row r="423">
      <c r="B423" s="305"/>
    </row>
    <row r="424">
      <c r="B424" s="305"/>
    </row>
    <row r="425">
      <c r="B425" s="305"/>
    </row>
    <row r="426">
      <c r="B426" s="305"/>
    </row>
    <row r="427">
      <c r="B427" s="305"/>
    </row>
    <row r="428">
      <c r="B428" s="305"/>
    </row>
    <row r="429">
      <c r="B429" s="305"/>
    </row>
    <row r="430">
      <c r="B430" s="305"/>
    </row>
    <row r="431">
      <c r="B431" s="305"/>
    </row>
    <row r="432">
      <c r="B432" s="305"/>
    </row>
    <row r="433">
      <c r="B433" s="305"/>
    </row>
    <row r="434">
      <c r="B434" s="305"/>
    </row>
    <row r="435">
      <c r="B435" s="305"/>
    </row>
    <row r="436">
      <c r="B436" s="305"/>
    </row>
    <row r="437">
      <c r="B437" s="305"/>
    </row>
    <row r="438">
      <c r="B438" s="305"/>
    </row>
    <row r="439">
      <c r="B439" s="305"/>
    </row>
    <row r="440">
      <c r="B440" s="305"/>
    </row>
    <row r="441">
      <c r="B441" s="305"/>
    </row>
    <row r="442">
      <c r="B442" s="305"/>
    </row>
    <row r="443">
      <c r="B443" s="305"/>
    </row>
    <row r="444">
      <c r="B444" s="305"/>
    </row>
    <row r="445">
      <c r="B445" s="305"/>
    </row>
    <row r="446">
      <c r="B446" s="305"/>
    </row>
    <row r="447">
      <c r="B447" s="305"/>
    </row>
    <row r="448">
      <c r="B448" s="305"/>
    </row>
    <row r="449">
      <c r="B449" s="305"/>
    </row>
    <row r="450">
      <c r="B450" s="305"/>
    </row>
    <row r="451">
      <c r="B451" s="305"/>
    </row>
    <row r="452">
      <c r="B452" s="305"/>
    </row>
    <row r="453">
      <c r="B453" s="305"/>
    </row>
    <row r="454">
      <c r="B454" s="305"/>
    </row>
    <row r="455">
      <c r="B455" s="305"/>
    </row>
    <row r="456">
      <c r="B456" s="305"/>
    </row>
    <row r="457">
      <c r="B457" s="305"/>
    </row>
    <row r="458">
      <c r="B458" s="305"/>
    </row>
    <row r="459">
      <c r="B459" s="305"/>
    </row>
    <row r="460">
      <c r="B460" s="305"/>
    </row>
    <row r="461">
      <c r="B461" s="305"/>
    </row>
    <row r="462">
      <c r="B462" s="305"/>
    </row>
    <row r="463">
      <c r="B463" s="305"/>
    </row>
    <row r="464">
      <c r="B464" s="305"/>
    </row>
    <row r="465">
      <c r="B465" s="305"/>
    </row>
    <row r="466">
      <c r="B466" s="305"/>
    </row>
    <row r="467">
      <c r="B467" s="305"/>
    </row>
    <row r="468">
      <c r="B468" s="305"/>
    </row>
    <row r="469">
      <c r="B469" s="305"/>
    </row>
    <row r="470">
      <c r="B470" s="305"/>
    </row>
    <row r="471">
      <c r="B471" s="305"/>
    </row>
    <row r="472">
      <c r="B472" s="305"/>
    </row>
    <row r="473">
      <c r="B473" s="305"/>
    </row>
    <row r="474">
      <c r="B474" s="305"/>
    </row>
    <row r="475">
      <c r="B475" s="305"/>
    </row>
    <row r="476">
      <c r="B476" s="305"/>
    </row>
    <row r="477">
      <c r="B477" s="305"/>
    </row>
    <row r="478">
      <c r="B478" s="305"/>
    </row>
    <row r="479">
      <c r="B479" s="305"/>
    </row>
    <row r="480">
      <c r="B480" s="305"/>
    </row>
    <row r="481">
      <c r="B481" s="305"/>
    </row>
    <row r="482">
      <c r="B482" s="305"/>
    </row>
    <row r="483">
      <c r="B483" s="305"/>
    </row>
    <row r="484">
      <c r="B484" s="305"/>
    </row>
    <row r="485">
      <c r="B485" s="305"/>
    </row>
    <row r="486">
      <c r="B486" s="305"/>
    </row>
    <row r="487">
      <c r="B487" s="305"/>
    </row>
    <row r="488">
      <c r="B488" s="305"/>
    </row>
    <row r="489">
      <c r="B489" s="305"/>
    </row>
    <row r="490">
      <c r="B490" s="305"/>
    </row>
    <row r="491">
      <c r="B491" s="305"/>
    </row>
    <row r="492">
      <c r="B492" s="305"/>
    </row>
    <row r="493">
      <c r="B493" s="305"/>
    </row>
    <row r="494">
      <c r="B494" s="305"/>
    </row>
    <row r="495">
      <c r="B495" s="305"/>
    </row>
    <row r="496">
      <c r="B496" s="305"/>
    </row>
    <row r="497">
      <c r="B497" s="305"/>
    </row>
    <row r="498">
      <c r="B498" s="305"/>
    </row>
    <row r="499">
      <c r="B499" s="305"/>
    </row>
    <row r="500">
      <c r="B500" s="305"/>
    </row>
    <row r="501">
      <c r="B501" s="305"/>
    </row>
    <row r="502">
      <c r="B502" s="305"/>
    </row>
    <row r="503">
      <c r="B503" s="305"/>
    </row>
    <row r="504">
      <c r="B504" s="305"/>
    </row>
    <row r="505">
      <c r="B505" s="305"/>
    </row>
    <row r="506">
      <c r="B506" s="305"/>
    </row>
    <row r="507">
      <c r="B507" s="305"/>
    </row>
    <row r="508">
      <c r="B508" s="305"/>
    </row>
    <row r="509">
      <c r="B509" s="305"/>
    </row>
    <row r="510">
      <c r="B510" s="305"/>
    </row>
    <row r="511">
      <c r="B511" s="305"/>
    </row>
    <row r="512">
      <c r="B512" s="305"/>
    </row>
    <row r="513">
      <c r="B513" s="305"/>
    </row>
    <row r="514">
      <c r="B514" s="305"/>
    </row>
    <row r="515">
      <c r="B515" s="305"/>
    </row>
    <row r="516">
      <c r="B516" s="305"/>
    </row>
    <row r="517">
      <c r="B517" s="305"/>
    </row>
    <row r="518">
      <c r="B518" s="305"/>
    </row>
    <row r="519">
      <c r="B519" s="305"/>
    </row>
    <row r="520">
      <c r="B520" s="305"/>
    </row>
    <row r="521">
      <c r="B521" s="305"/>
    </row>
    <row r="522">
      <c r="B522" s="305"/>
    </row>
    <row r="523">
      <c r="B523" s="305"/>
    </row>
    <row r="524">
      <c r="B524" s="305"/>
    </row>
    <row r="525">
      <c r="B525" s="305"/>
    </row>
    <row r="526">
      <c r="B526" s="305"/>
    </row>
    <row r="527">
      <c r="B527" s="305"/>
    </row>
    <row r="528">
      <c r="B528" s="305"/>
    </row>
    <row r="529">
      <c r="B529" s="305"/>
    </row>
    <row r="530">
      <c r="B530" s="305"/>
    </row>
    <row r="531">
      <c r="B531" s="305"/>
    </row>
    <row r="532">
      <c r="B532" s="305"/>
    </row>
    <row r="533">
      <c r="B533" s="305"/>
    </row>
    <row r="534">
      <c r="B534" s="305"/>
    </row>
    <row r="535">
      <c r="B535" s="305"/>
    </row>
    <row r="536">
      <c r="B536" s="305"/>
    </row>
    <row r="537">
      <c r="B537" s="305"/>
    </row>
    <row r="538">
      <c r="B538" s="305"/>
    </row>
    <row r="539">
      <c r="B539" s="305"/>
    </row>
    <row r="540">
      <c r="B540" s="305"/>
    </row>
    <row r="541">
      <c r="B541" s="305"/>
    </row>
    <row r="542">
      <c r="B542" s="305"/>
    </row>
    <row r="543">
      <c r="B543" s="305"/>
    </row>
    <row r="544">
      <c r="B544" s="305"/>
    </row>
    <row r="545">
      <c r="B545" s="305"/>
    </row>
    <row r="546">
      <c r="B546" s="305"/>
    </row>
    <row r="547">
      <c r="B547" s="305"/>
    </row>
    <row r="548">
      <c r="B548" s="305"/>
    </row>
    <row r="549">
      <c r="B549" s="305"/>
    </row>
    <row r="550">
      <c r="B550" s="305"/>
    </row>
    <row r="551">
      <c r="B551" s="305"/>
    </row>
    <row r="552">
      <c r="B552" s="305"/>
    </row>
    <row r="553">
      <c r="B553" s="305"/>
    </row>
    <row r="554">
      <c r="B554" s="305"/>
    </row>
    <row r="555">
      <c r="B555" s="305"/>
    </row>
    <row r="556">
      <c r="B556" s="305"/>
    </row>
    <row r="557">
      <c r="B557" s="305"/>
    </row>
    <row r="558">
      <c r="B558" s="305"/>
    </row>
    <row r="559">
      <c r="B559" s="305"/>
    </row>
    <row r="560">
      <c r="B560" s="305"/>
    </row>
    <row r="561">
      <c r="B561" s="305"/>
    </row>
    <row r="562">
      <c r="B562" s="305"/>
    </row>
    <row r="563">
      <c r="B563" s="305"/>
    </row>
    <row r="564">
      <c r="B564" s="305"/>
    </row>
    <row r="565">
      <c r="B565" s="305"/>
    </row>
    <row r="566">
      <c r="B566" s="305"/>
    </row>
    <row r="567">
      <c r="B567" s="305"/>
    </row>
    <row r="568">
      <c r="B568" s="305"/>
    </row>
    <row r="569">
      <c r="B569" s="305"/>
    </row>
    <row r="570">
      <c r="B570" s="305"/>
    </row>
    <row r="571">
      <c r="B571" s="305"/>
    </row>
    <row r="572">
      <c r="B572" s="305"/>
    </row>
    <row r="573">
      <c r="B573" s="305"/>
    </row>
    <row r="574">
      <c r="B574" s="305"/>
    </row>
    <row r="575">
      <c r="B575" s="305"/>
    </row>
    <row r="576">
      <c r="B576" s="305"/>
    </row>
    <row r="577">
      <c r="B577" s="305"/>
    </row>
    <row r="578">
      <c r="B578" s="305"/>
    </row>
    <row r="579">
      <c r="B579" s="305"/>
    </row>
    <row r="580">
      <c r="B580" s="305"/>
    </row>
    <row r="581">
      <c r="B581" s="305"/>
    </row>
    <row r="582">
      <c r="B582" s="305"/>
    </row>
    <row r="583">
      <c r="B583" s="305"/>
    </row>
    <row r="584">
      <c r="B584" s="305"/>
    </row>
    <row r="585">
      <c r="B585" s="305"/>
    </row>
    <row r="586">
      <c r="B586" s="305"/>
    </row>
    <row r="587">
      <c r="B587" s="305"/>
    </row>
    <row r="588">
      <c r="B588" s="305"/>
    </row>
    <row r="589">
      <c r="B589" s="305"/>
    </row>
    <row r="590">
      <c r="B590" s="305"/>
    </row>
    <row r="591">
      <c r="B591" s="305"/>
    </row>
    <row r="592">
      <c r="B592" s="305"/>
    </row>
    <row r="593">
      <c r="B593" s="305"/>
    </row>
    <row r="594">
      <c r="B594" s="305"/>
    </row>
    <row r="595">
      <c r="B595" s="305"/>
    </row>
    <row r="596">
      <c r="B596" s="305"/>
    </row>
    <row r="597">
      <c r="B597" s="305"/>
    </row>
    <row r="598">
      <c r="B598" s="305"/>
    </row>
    <row r="599">
      <c r="B599" s="305"/>
    </row>
    <row r="600">
      <c r="B600" s="305"/>
    </row>
    <row r="601">
      <c r="B601" s="305"/>
    </row>
    <row r="602">
      <c r="B602" s="305"/>
    </row>
    <row r="603">
      <c r="B603" s="305"/>
    </row>
    <row r="604">
      <c r="B604" s="305"/>
    </row>
    <row r="605">
      <c r="B605" s="305"/>
    </row>
    <row r="606">
      <c r="B606" s="305"/>
    </row>
    <row r="607">
      <c r="B607" s="305"/>
    </row>
    <row r="608">
      <c r="B608" s="305"/>
    </row>
    <row r="609">
      <c r="B609" s="305"/>
    </row>
    <row r="610">
      <c r="B610" s="305"/>
    </row>
    <row r="611">
      <c r="B611" s="305"/>
    </row>
    <row r="612">
      <c r="B612" s="305"/>
    </row>
    <row r="613">
      <c r="B613" s="305"/>
    </row>
    <row r="614">
      <c r="B614" s="305"/>
    </row>
    <row r="615">
      <c r="B615" s="305"/>
    </row>
    <row r="616">
      <c r="B616" s="305"/>
    </row>
    <row r="617">
      <c r="B617" s="305"/>
    </row>
    <row r="618">
      <c r="B618" s="305"/>
    </row>
    <row r="619">
      <c r="B619" s="305"/>
    </row>
    <row r="620">
      <c r="B620" s="305"/>
    </row>
    <row r="621">
      <c r="B621" s="305"/>
    </row>
    <row r="622">
      <c r="B622" s="305"/>
    </row>
    <row r="623">
      <c r="B623" s="305"/>
    </row>
    <row r="624">
      <c r="B624" s="305"/>
    </row>
    <row r="625">
      <c r="B625" s="305"/>
    </row>
    <row r="626">
      <c r="B626" s="305"/>
    </row>
    <row r="627">
      <c r="B627" s="305"/>
    </row>
    <row r="628">
      <c r="B628" s="305"/>
    </row>
    <row r="629">
      <c r="B629" s="305"/>
    </row>
    <row r="630">
      <c r="B630" s="305"/>
    </row>
    <row r="631">
      <c r="B631" s="305"/>
    </row>
    <row r="632">
      <c r="B632" s="305"/>
    </row>
    <row r="633">
      <c r="B633" s="305"/>
    </row>
    <row r="634">
      <c r="B634" s="305"/>
    </row>
    <row r="635">
      <c r="B635" s="305"/>
    </row>
    <row r="636">
      <c r="B636" s="305"/>
    </row>
    <row r="637">
      <c r="B637" s="305"/>
    </row>
    <row r="638">
      <c r="B638" s="305"/>
    </row>
    <row r="639">
      <c r="B639" s="305"/>
    </row>
    <row r="640">
      <c r="B640" s="305"/>
    </row>
    <row r="641">
      <c r="B641" s="305"/>
    </row>
    <row r="642">
      <c r="B642" s="305"/>
    </row>
    <row r="643">
      <c r="B643" s="305"/>
    </row>
    <row r="644">
      <c r="B644" s="305"/>
    </row>
    <row r="645">
      <c r="B645" s="305"/>
    </row>
    <row r="646">
      <c r="B646" s="305"/>
    </row>
    <row r="647">
      <c r="B647" s="305"/>
    </row>
    <row r="648">
      <c r="B648" s="305"/>
    </row>
    <row r="649">
      <c r="B649" s="305"/>
    </row>
    <row r="650">
      <c r="B650" s="305"/>
    </row>
    <row r="651">
      <c r="B651" s="305"/>
    </row>
    <row r="652">
      <c r="B652" s="305"/>
    </row>
    <row r="653">
      <c r="B653" s="305"/>
    </row>
    <row r="654">
      <c r="B654" s="305"/>
    </row>
    <row r="655">
      <c r="B655" s="305"/>
    </row>
    <row r="656">
      <c r="B656" s="305"/>
    </row>
    <row r="657">
      <c r="B657" s="305"/>
    </row>
    <row r="658">
      <c r="B658" s="305"/>
    </row>
    <row r="659">
      <c r="B659" s="305"/>
    </row>
    <row r="660">
      <c r="B660" s="305"/>
    </row>
    <row r="661">
      <c r="B661" s="305"/>
    </row>
    <row r="662">
      <c r="B662" s="305"/>
    </row>
    <row r="663">
      <c r="B663" s="305"/>
    </row>
    <row r="664">
      <c r="B664" s="305"/>
    </row>
    <row r="665">
      <c r="B665" s="305"/>
    </row>
    <row r="666">
      <c r="B666" s="305"/>
    </row>
    <row r="667">
      <c r="B667" s="305"/>
    </row>
    <row r="668">
      <c r="B668" s="305"/>
    </row>
    <row r="669">
      <c r="B669" s="305"/>
    </row>
    <row r="670">
      <c r="B670" s="305"/>
    </row>
    <row r="671">
      <c r="B671" s="305"/>
    </row>
    <row r="672">
      <c r="B672" s="305"/>
    </row>
    <row r="673">
      <c r="B673" s="305"/>
    </row>
    <row r="674">
      <c r="B674" s="305"/>
    </row>
    <row r="675">
      <c r="B675" s="305"/>
    </row>
    <row r="676">
      <c r="B676" s="305"/>
    </row>
    <row r="677">
      <c r="B677" s="305"/>
    </row>
    <row r="678">
      <c r="B678" s="305"/>
    </row>
    <row r="679">
      <c r="B679" s="305"/>
    </row>
    <row r="680">
      <c r="B680" s="305"/>
    </row>
    <row r="681">
      <c r="B681" s="305"/>
    </row>
    <row r="682">
      <c r="B682" s="305"/>
    </row>
    <row r="683">
      <c r="B683" s="305"/>
    </row>
    <row r="684">
      <c r="B684" s="305"/>
    </row>
    <row r="685">
      <c r="B685" s="305"/>
    </row>
    <row r="686">
      <c r="B686" s="305"/>
    </row>
    <row r="687">
      <c r="B687" s="305"/>
    </row>
    <row r="688">
      <c r="B688" s="305"/>
    </row>
    <row r="689">
      <c r="B689" s="305"/>
    </row>
    <row r="690">
      <c r="B690" s="305"/>
    </row>
    <row r="691">
      <c r="B691" s="305"/>
    </row>
    <row r="692">
      <c r="B692" s="305"/>
    </row>
    <row r="693">
      <c r="B693" s="305"/>
    </row>
    <row r="694">
      <c r="B694" s="305"/>
    </row>
    <row r="695">
      <c r="B695" s="305"/>
    </row>
    <row r="696">
      <c r="B696" s="305"/>
    </row>
    <row r="697">
      <c r="B697" s="305"/>
    </row>
    <row r="698">
      <c r="B698" s="305"/>
    </row>
    <row r="699">
      <c r="B699" s="305"/>
    </row>
    <row r="700">
      <c r="B700" s="305"/>
    </row>
    <row r="701">
      <c r="B701" s="305"/>
    </row>
    <row r="702">
      <c r="B702" s="305"/>
    </row>
    <row r="703">
      <c r="B703" s="305"/>
    </row>
    <row r="704">
      <c r="B704" s="305"/>
    </row>
    <row r="705">
      <c r="B705" s="305"/>
    </row>
    <row r="706">
      <c r="B706" s="305"/>
    </row>
    <row r="707">
      <c r="B707" s="305"/>
    </row>
    <row r="708">
      <c r="B708" s="305"/>
    </row>
    <row r="709">
      <c r="B709" s="305"/>
    </row>
    <row r="710">
      <c r="B710" s="305"/>
    </row>
    <row r="711">
      <c r="B711" s="305"/>
    </row>
    <row r="712">
      <c r="B712" s="305"/>
    </row>
    <row r="713">
      <c r="B713" s="305"/>
    </row>
    <row r="714">
      <c r="B714" s="305"/>
    </row>
    <row r="715">
      <c r="B715" s="305"/>
    </row>
    <row r="716">
      <c r="B716" s="305"/>
    </row>
    <row r="717">
      <c r="B717" s="305"/>
    </row>
    <row r="718">
      <c r="B718" s="305"/>
    </row>
    <row r="719">
      <c r="B719" s="305"/>
    </row>
    <row r="720">
      <c r="B720" s="305"/>
    </row>
    <row r="721">
      <c r="B721" s="305"/>
    </row>
    <row r="722">
      <c r="B722" s="305"/>
    </row>
    <row r="723">
      <c r="B723" s="305"/>
    </row>
    <row r="724">
      <c r="B724" s="305"/>
    </row>
    <row r="725">
      <c r="B725" s="305"/>
    </row>
    <row r="726">
      <c r="B726" s="305"/>
    </row>
    <row r="727">
      <c r="B727" s="305"/>
    </row>
    <row r="728">
      <c r="B728" s="305"/>
    </row>
    <row r="729">
      <c r="B729" s="305"/>
    </row>
    <row r="730">
      <c r="B730" s="305"/>
    </row>
    <row r="731">
      <c r="B731" s="305"/>
    </row>
    <row r="732">
      <c r="B732" s="305"/>
    </row>
    <row r="733">
      <c r="B733" s="305"/>
    </row>
    <row r="734">
      <c r="B734" s="305"/>
    </row>
    <row r="735">
      <c r="B735" s="305"/>
    </row>
    <row r="736">
      <c r="B736" s="305"/>
    </row>
    <row r="737">
      <c r="B737" s="305"/>
    </row>
    <row r="738">
      <c r="B738" s="305"/>
    </row>
    <row r="739">
      <c r="B739" s="305"/>
    </row>
    <row r="740">
      <c r="B740" s="305"/>
    </row>
    <row r="741">
      <c r="B741" s="305"/>
    </row>
    <row r="742">
      <c r="B742" s="305"/>
    </row>
    <row r="743">
      <c r="B743" s="305"/>
    </row>
    <row r="744">
      <c r="B744" s="305"/>
    </row>
    <row r="745">
      <c r="B745" s="305"/>
    </row>
    <row r="746">
      <c r="B746" s="305"/>
    </row>
    <row r="747">
      <c r="B747" s="305"/>
    </row>
    <row r="748">
      <c r="B748" s="305"/>
    </row>
    <row r="749">
      <c r="B749" s="305"/>
    </row>
    <row r="750">
      <c r="B750" s="305"/>
    </row>
    <row r="751">
      <c r="B751" s="305"/>
    </row>
    <row r="752">
      <c r="B752" s="305"/>
    </row>
    <row r="753">
      <c r="B753" s="305"/>
    </row>
    <row r="754">
      <c r="B754" s="305"/>
    </row>
    <row r="755">
      <c r="B755" s="305"/>
    </row>
    <row r="756">
      <c r="B756" s="305"/>
    </row>
    <row r="757">
      <c r="B757" s="305"/>
    </row>
    <row r="758">
      <c r="B758" s="305"/>
    </row>
    <row r="759">
      <c r="B759" s="305"/>
    </row>
    <row r="760">
      <c r="B760" s="305"/>
    </row>
    <row r="761">
      <c r="B761" s="305"/>
    </row>
    <row r="762">
      <c r="B762" s="305"/>
    </row>
    <row r="763">
      <c r="B763" s="305"/>
    </row>
    <row r="764">
      <c r="B764" s="305"/>
    </row>
    <row r="765">
      <c r="B765" s="305"/>
    </row>
    <row r="766">
      <c r="B766" s="305"/>
    </row>
    <row r="767">
      <c r="B767" s="305"/>
    </row>
    <row r="768">
      <c r="B768" s="305"/>
    </row>
    <row r="769">
      <c r="B769" s="305"/>
    </row>
    <row r="770">
      <c r="B770" s="305"/>
    </row>
    <row r="771">
      <c r="B771" s="305"/>
    </row>
    <row r="772">
      <c r="B772" s="305"/>
    </row>
    <row r="773">
      <c r="B773" s="305"/>
    </row>
    <row r="774">
      <c r="B774" s="305"/>
    </row>
    <row r="775">
      <c r="B775" s="305"/>
    </row>
    <row r="776">
      <c r="B776" s="305"/>
    </row>
    <row r="777">
      <c r="B777" s="305"/>
    </row>
    <row r="778">
      <c r="B778" s="305"/>
    </row>
    <row r="779">
      <c r="B779" s="305"/>
    </row>
    <row r="780">
      <c r="B780" s="305"/>
    </row>
    <row r="781">
      <c r="B781" s="305"/>
    </row>
    <row r="782">
      <c r="B782" s="305"/>
    </row>
    <row r="783">
      <c r="B783" s="305"/>
    </row>
    <row r="784">
      <c r="B784" s="305"/>
    </row>
    <row r="785">
      <c r="B785" s="305"/>
    </row>
    <row r="786">
      <c r="B786" s="305"/>
    </row>
    <row r="787">
      <c r="B787" s="305"/>
    </row>
    <row r="788">
      <c r="B788" s="305"/>
    </row>
    <row r="789">
      <c r="B789" s="305"/>
    </row>
    <row r="790">
      <c r="B790" s="305"/>
    </row>
    <row r="791">
      <c r="B791" s="305"/>
    </row>
    <row r="792">
      <c r="B792" s="305"/>
    </row>
    <row r="793">
      <c r="B793" s="305"/>
    </row>
    <row r="794">
      <c r="B794" s="305"/>
    </row>
    <row r="795">
      <c r="B795" s="305"/>
    </row>
    <row r="796">
      <c r="B796" s="305"/>
    </row>
    <row r="797">
      <c r="B797" s="305"/>
    </row>
    <row r="798">
      <c r="B798" s="305"/>
    </row>
    <row r="799">
      <c r="B799" s="305"/>
    </row>
    <row r="800">
      <c r="B800" s="305"/>
    </row>
    <row r="801">
      <c r="B801" s="305"/>
    </row>
    <row r="802">
      <c r="B802" s="305"/>
    </row>
    <row r="803">
      <c r="B803" s="305"/>
    </row>
    <row r="804">
      <c r="B804" s="305"/>
    </row>
    <row r="805">
      <c r="B805" s="305"/>
    </row>
    <row r="806">
      <c r="B806" s="305"/>
    </row>
    <row r="807">
      <c r="B807" s="305"/>
    </row>
    <row r="808">
      <c r="B808" s="305"/>
    </row>
    <row r="809">
      <c r="B809" s="305"/>
    </row>
    <row r="810">
      <c r="B810" s="305"/>
    </row>
    <row r="811">
      <c r="B811" s="305"/>
    </row>
    <row r="812">
      <c r="B812" s="305"/>
    </row>
    <row r="813">
      <c r="B813" s="305"/>
    </row>
    <row r="814">
      <c r="B814" s="305"/>
    </row>
    <row r="815">
      <c r="B815" s="305"/>
    </row>
    <row r="816">
      <c r="B816" s="305"/>
    </row>
    <row r="817">
      <c r="B817" s="305"/>
    </row>
    <row r="818">
      <c r="B818" s="305"/>
    </row>
    <row r="819">
      <c r="B819" s="305"/>
    </row>
    <row r="820">
      <c r="B820" s="305"/>
    </row>
    <row r="821">
      <c r="B821" s="305"/>
    </row>
    <row r="822">
      <c r="B822" s="305"/>
    </row>
    <row r="823">
      <c r="B823" s="305"/>
    </row>
    <row r="824">
      <c r="B824" s="305"/>
    </row>
    <row r="825">
      <c r="B825" s="305"/>
    </row>
    <row r="826">
      <c r="B826" s="305"/>
    </row>
    <row r="827">
      <c r="B827" s="305"/>
    </row>
    <row r="828">
      <c r="B828" s="305"/>
    </row>
    <row r="829">
      <c r="B829" s="305"/>
    </row>
    <row r="830">
      <c r="B830" s="305"/>
    </row>
    <row r="831">
      <c r="B831" s="305"/>
    </row>
    <row r="832">
      <c r="B832" s="305"/>
    </row>
    <row r="833">
      <c r="B833" s="305"/>
    </row>
    <row r="834">
      <c r="B834" s="305"/>
    </row>
    <row r="835">
      <c r="B835" s="305"/>
    </row>
    <row r="836">
      <c r="B836" s="305"/>
    </row>
    <row r="837">
      <c r="B837" s="305"/>
    </row>
    <row r="838">
      <c r="B838" s="305"/>
    </row>
    <row r="839">
      <c r="B839" s="305"/>
    </row>
    <row r="840">
      <c r="B840" s="305"/>
    </row>
    <row r="841">
      <c r="B841" s="305"/>
    </row>
    <row r="842">
      <c r="B842" s="305"/>
    </row>
    <row r="843">
      <c r="B843" s="305"/>
    </row>
    <row r="844">
      <c r="B844" s="305"/>
    </row>
    <row r="845">
      <c r="B845" s="305"/>
    </row>
    <row r="846">
      <c r="B846" s="305"/>
    </row>
    <row r="847">
      <c r="B847" s="305"/>
    </row>
    <row r="848">
      <c r="B848" s="305"/>
    </row>
    <row r="849">
      <c r="B849" s="305"/>
    </row>
    <row r="850">
      <c r="B850" s="305"/>
    </row>
    <row r="851">
      <c r="B851" s="305"/>
    </row>
    <row r="852">
      <c r="B852" s="305"/>
    </row>
    <row r="853">
      <c r="B853" s="305"/>
    </row>
    <row r="854">
      <c r="B854" s="305"/>
    </row>
    <row r="855">
      <c r="B855" s="305"/>
    </row>
    <row r="856">
      <c r="B856" s="305"/>
    </row>
    <row r="857">
      <c r="B857" s="305"/>
    </row>
    <row r="858">
      <c r="B858" s="305"/>
    </row>
    <row r="859">
      <c r="B859" s="305"/>
    </row>
    <row r="860">
      <c r="B860" s="305"/>
    </row>
    <row r="861">
      <c r="B861" s="305"/>
    </row>
    <row r="862">
      <c r="B862" s="305"/>
    </row>
    <row r="863">
      <c r="B863" s="305"/>
    </row>
    <row r="864">
      <c r="B864" s="305"/>
    </row>
    <row r="865">
      <c r="B865" s="305"/>
    </row>
    <row r="866">
      <c r="B866" s="305"/>
    </row>
    <row r="867">
      <c r="B867" s="305"/>
    </row>
    <row r="868">
      <c r="B868" s="305"/>
    </row>
    <row r="869">
      <c r="B869" s="305"/>
    </row>
    <row r="870">
      <c r="B870" s="305"/>
    </row>
    <row r="871">
      <c r="B871" s="305"/>
    </row>
    <row r="872">
      <c r="B872" s="305"/>
    </row>
    <row r="873">
      <c r="B873" s="305"/>
    </row>
    <row r="874">
      <c r="B874" s="305"/>
    </row>
    <row r="875">
      <c r="B875" s="305"/>
    </row>
    <row r="876">
      <c r="B876" s="305"/>
    </row>
    <row r="877">
      <c r="B877" s="305"/>
    </row>
    <row r="878">
      <c r="B878" s="305"/>
    </row>
    <row r="879">
      <c r="B879" s="305"/>
    </row>
    <row r="880">
      <c r="B880" s="305"/>
    </row>
    <row r="881">
      <c r="B881" s="305"/>
    </row>
    <row r="882">
      <c r="B882" s="305"/>
    </row>
    <row r="883">
      <c r="B883" s="305"/>
    </row>
    <row r="884">
      <c r="B884" s="305"/>
    </row>
    <row r="885">
      <c r="B885" s="305"/>
    </row>
    <row r="886">
      <c r="B886" s="305"/>
    </row>
    <row r="887">
      <c r="B887" s="305"/>
    </row>
    <row r="888">
      <c r="B888" s="305"/>
    </row>
    <row r="889">
      <c r="B889" s="305"/>
    </row>
    <row r="890">
      <c r="B890" s="305"/>
    </row>
    <row r="891">
      <c r="B891" s="305"/>
    </row>
    <row r="892">
      <c r="B892" s="305"/>
    </row>
    <row r="893">
      <c r="B893" s="305"/>
    </row>
    <row r="894">
      <c r="B894" s="305"/>
    </row>
    <row r="895">
      <c r="B895" s="305"/>
    </row>
    <row r="896">
      <c r="B896" s="305"/>
    </row>
    <row r="897">
      <c r="B897" s="305"/>
    </row>
    <row r="898">
      <c r="B898" s="305"/>
    </row>
    <row r="899">
      <c r="B899" s="305"/>
    </row>
    <row r="900">
      <c r="B900" s="305"/>
    </row>
    <row r="901">
      <c r="B901" s="305"/>
    </row>
    <row r="902">
      <c r="B902" s="305"/>
    </row>
    <row r="903">
      <c r="B903" s="305"/>
    </row>
    <row r="904">
      <c r="B904" s="305"/>
    </row>
    <row r="905">
      <c r="B905" s="305"/>
    </row>
    <row r="906">
      <c r="B906" s="305"/>
    </row>
    <row r="907">
      <c r="B907" s="305"/>
    </row>
    <row r="908">
      <c r="B908" s="305"/>
    </row>
    <row r="909">
      <c r="B909" s="305"/>
    </row>
    <row r="910">
      <c r="B910" s="305"/>
    </row>
    <row r="911">
      <c r="B911" s="305"/>
    </row>
    <row r="912">
      <c r="B912" s="305"/>
    </row>
    <row r="913">
      <c r="B913" s="305"/>
    </row>
    <row r="914">
      <c r="B914" s="305"/>
    </row>
    <row r="915">
      <c r="B915" s="305"/>
    </row>
    <row r="916">
      <c r="B916" s="305"/>
    </row>
    <row r="917">
      <c r="B917" s="305"/>
    </row>
    <row r="918">
      <c r="B918" s="305"/>
    </row>
    <row r="919">
      <c r="B919" s="305"/>
    </row>
    <row r="920">
      <c r="B920" s="305"/>
    </row>
    <row r="921">
      <c r="B921" s="305"/>
    </row>
    <row r="922">
      <c r="B922" s="305"/>
    </row>
    <row r="923">
      <c r="B923" s="305"/>
    </row>
    <row r="924">
      <c r="B924" s="305"/>
    </row>
    <row r="925">
      <c r="B925" s="305"/>
    </row>
    <row r="926">
      <c r="B926" s="305"/>
    </row>
    <row r="927">
      <c r="B927" s="305"/>
    </row>
    <row r="928">
      <c r="B928" s="305"/>
    </row>
    <row r="929">
      <c r="B929" s="305"/>
    </row>
    <row r="930">
      <c r="B930" s="305"/>
    </row>
    <row r="931">
      <c r="B931" s="305"/>
    </row>
    <row r="932">
      <c r="B932" s="305"/>
    </row>
    <row r="933">
      <c r="B933" s="305"/>
    </row>
    <row r="934">
      <c r="B934" s="305"/>
    </row>
    <row r="935">
      <c r="B935" s="305"/>
    </row>
    <row r="936">
      <c r="B936" s="305"/>
    </row>
    <row r="937">
      <c r="B937" s="305"/>
    </row>
    <row r="938">
      <c r="B938" s="305"/>
    </row>
    <row r="939">
      <c r="B939" s="305"/>
    </row>
    <row r="940">
      <c r="B940" s="305"/>
    </row>
    <row r="941">
      <c r="B941" s="305"/>
    </row>
    <row r="942">
      <c r="B942" s="305"/>
    </row>
    <row r="943">
      <c r="B943" s="305"/>
    </row>
    <row r="944">
      <c r="B944" s="305"/>
    </row>
    <row r="945">
      <c r="B945" s="305"/>
    </row>
    <row r="946">
      <c r="B946" s="305"/>
    </row>
    <row r="947">
      <c r="B947" s="305"/>
    </row>
    <row r="948">
      <c r="B948" s="305"/>
    </row>
    <row r="949">
      <c r="B949" s="305"/>
    </row>
    <row r="950">
      <c r="B950" s="305"/>
    </row>
    <row r="951">
      <c r="B951" s="305"/>
    </row>
    <row r="952">
      <c r="B952" s="305"/>
    </row>
    <row r="953">
      <c r="B953" s="305"/>
    </row>
    <row r="954">
      <c r="B954" s="305"/>
    </row>
    <row r="955">
      <c r="B955" s="305"/>
    </row>
    <row r="956">
      <c r="B956" s="305"/>
    </row>
    <row r="957">
      <c r="B957" s="305"/>
    </row>
    <row r="958">
      <c r="B958" s="305"/>
    </row>
    <row r="959">
      <c r="B959" s="305"/>
    </row>
    <row r="960">
      <c r="B960" s="305"/>
    </row>
    <row r="961">
      <c r="B961" s="305"/>
    </row>
    <row r="962">
      <c r="B962" s="305"/>
    </row>
    <row r="963">
      <c r="B963" s="305"/>
    </row>
    <row r="964">
      <c r="B964" s="305"/>
    </row>
    <row r="965">
      <c r="B965" s="305"/>
    </row>
    <row r="966">
      <c r="B966" s="305"/>
    </row>
    <row r="967">
      <c r="B967" s="305"/>
    </row>
    <row r="968">
      <c r="B968" s="305"/>
    </row>
    <row r="969">
      <c r="B969" s="305"/>
    </row>
    <row r="970">
      <c r="B970" s="305"/>
    </row>
    <row r="971">
      <c r="B971" s="305"/>
    </row>
    <row r="972">
      <c r="B972" s="305"/>
    </row>
    <row r="973">
      <c r="B973" s="305"/>
    </row>
    <row r="974">
      <c r="B974" s="305"/>
    </row>
    <row r="975">
      <c r="B975" s="305"/>
    </row>
    <row r="976">
      <c r="B976" s="305"/>
    </row>
    <row r="977">
      <c r="B977" s="305"/>
    </row>
    <row r="978">
      <c r="B978" s="305"/>
    </row>
    <row r="979">
      <c r="B979" s="305"/>
    </row>
    <row r="980">
      <c r="B980" s="305"/>
    </row>
    <row r="981">
      <c r="B981" s="305"/>
    </row>
    <row r="982">
      <c r="B982" s="305"/>
    </row>
    <row r="983">
      <c r="B983" s="305"/>
    </row>
    <row r="984">
      <c r="B984" s="305"/>
    </row>
    <row r="985">
      <c r="B985" s="305"/>
    </row>
    <row r="986">
      <c r="B986" s="305"/>
    </row>
    <row r="987">
      <c r="B987" s="305"/>
    </row>
    <row r="988">
      <c r="B988" s="305"/>
    </row>
    <row r="989">
      <c r="B989" s="305"/>
    </row>
    <row r="990">
      <c r="B990" s="305"/>
    </row>
    <row r="991">
      <c r="B991" s="305"/>
    </row>
    <row r="992">
      <c r="B992" s="305"/>
    </row>
    <row r="993">
      <c r="B993" s="305"/>
    </row>
    <row r="994">
      <c r="B994" s="305"/>
    </row>
    <row r="995">
      <c r="B995" s="305"/>
    </row>
    <row r="996">
      <c r="B996" s="305"/>
    </row>
    <row r="997">
      <c r="B997" s="305"/>
    </row>
    <row r="998">
      <c r="B998" s="305"/>
    </row>
    <row r="999">
      <c r="B999" s="305"/>
    </row>
    <row r="1000">
      <c r="B1000" s="305"/>
    </row>
    <row r="1001">
      <c r="B1001" s="305"/>
    </row>
    <row r="1002">
      <c r="B1002" s="305"/>
    </row>
    <row r="1003">
      <c r="B1003" s="305"/>
    </row>
    <row r="1004">
      <c r="B1004" s="305"/>
    </row>
    <row r="1005">
      <c r="B1005" s="305"/>
    </row>
    <row r="1006">
      <c r="B1006" s="305"/>
    </row>
    <row r="1007">
      <c r="B1007" s="305"/>
    </row>
  </sheetData>
  <hyperlinks>
    <hyperlink r:id="rId1" ref="C2"/>
    <hyperlink r:id="rId2" ref="D2"/>
    <hyperlink r:id="rId3" ref="E2"/>
    <hyperlink r:id="rId4" ref="G2"/>
    <hyperlink r:id="rId5" ref="C3"/>
    <hyperlink r:id="rId6" ref="E3"/>
    <hyperlink r:id="rId7" ref="G3"/>
    <hyperlink r:id="rId8" ref="C4"/>
    <hyperlink r:id="rId9" ref="D4"/>
    <hyperlink r:id="rId10" ref="E4"/>
    <hyperlink r:id="rId11" ref="G4"/>
    <hyperlink r:id="rId12" ref="C5"/>
    <hyperlink r:id="rId13" ref="E5"/>
    <hyperlink r:id="rId14" ref="G5"/>
    <hyperlink r:id="rId15" ref="C6"/>
    <hyperlink r:id="rId16" ref="D6"/>
    <hyperlink r:id="rId17" ref="E6"/>
    <hyperlink r:id="rId18" ref="G6"/>
    <hyperlink r:id="rId19" ref="C7"/>
    <hyperlink r:id="rId20" ref="G7"/>
    <hyperlink r:id="rId21" ref="C8"/>
    <hyperlink r:id="rId22" ref="G8"/>
    <hyperlink r:id="rId23" ref="C9"/>
    <hyperlink r:id="rId24" ref="D9"/>
    <hyperlink r:id="rId25" ref="E9"/>
    <hyperlink r:id="rId26" ref="C10"/>
    <hyperlink r:id="rId27" location="/" ref="E10"/>
    <hyperlink r:id="rId28" ref="C11"/>
    <hyperlink r:id="rId29" ref="D11"/>
    <hyperlink r:id="rId30" ref="C12"/>
    <hyperlink r:id="rId31" ref="D12"/>
    <hyperlink r:id="rId32" ref="C13"/>
    <hyperlink r:id="rId33" ref="E13"/>
    <hyperlink r:id="rId34" ref="C14"/>
    <hyperlink r:id="rId35" ref="D14"/>
  </hyperlinks>
  <drawing r:id="rId36"/>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1.38"/>
  </cols>
  <sheetData>
    <row r="1">
      <c r="A1" s="52" t="s">
        <v>6</v>
      </c>
      <c r="B1" s="52" t="s">
        <v>176</v>
      </c>
    </row>
    <row r="2">
      <c r="A2" s="301" t="s">
        <v>184</v>
      </c>
      <c r="B2" s="302" t="s">
        <v>1970</v>
      </c>
      <c r="D2" s="191"/>
    </row>
    <row r="3">
      <c r="A3" s="303" t="s">
        <v>184</v>
      </c>
      <c r="B3" s="71" t="s">
        <v>1972</v>
      </c>
    </row>
    <row r="4">
      <c r="A4" s="301" t="s">
        <v>189</v>
      </c>
      <c r="B4" s="302" t="s">
        <v>1975</v>
      </c>
      <c r="D4" s="191"/>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06" t="s">
        <v>2029</v>
      </c>
    </row>
    <row r="2">
      <c r="A2" s="52" t="s">
        <v>2030</v>
      </c>
    </row>
    <row r="3">
      <c r="A3" s="6" t="s">
        <v>2031</v>
      </c>
      <c r="C3" s="52" t="s">
        <v>2032</v>
      </c>
    </row>
    <row r="4">
      <c r="A4" s="6" t="s">
        <v>2033</v>
      </c>
      <c r="C4" s="6" t="s">
        <v>1935</v>
      </c>
    </row>
    <row r="5">
      <c r="A5" s="6" t="s">
        <v>2034</v>
      </c>
      <c r="C5" s="6" t="s">
        <v>2035</v>
      </c>
    </row>
    <row r="6">
      <c r="A6" s="6" t="s">
        <v>2036</v>
      </c>
    </row>
    <row r="7">
      <c r="A7" s="6" t="s">
        <v>2037</v>
      </c>
    </row>
    <row r="8">
      <c r="A8" s="6" t="s">
        <v>2038</v>
      </c>
    </row>
    <row r="9">
      <c r="A9" s="6" t="s">
        <v>2039</v>
      </c>
      <c r="C9" s="52" t="s">
        <v>2040</v>
      </c>
    </row>
    <row r="10">
      <c r="A10" s="6" t="s">
        <v>2041</v>
      </c>
      <c r="C10" s="6" t="s">
        <v>2042</v>
      </c>
    </row>
    <row r="11">
      <c r="C11" s="6" t="s">
        <v>1945</v>
      </c>
    </row>
    <row r="12">
      <c r="C12" s="6" t="s">
        <v>1953</v>
      </c>
    </row>
    <row r="13">
      <c r="C13" s="6" t="s">
        <v>2043</v>
      </c>
    </row>
    <row r="14">
      <c r="C14" s="6" t="s">
        <v>2044</v>
      </c>
    </row>
    <row r="15">
      <c r="C15" s="6" t="s">
        <v>2045</v>
      </c>
    </row>
    <row r="16">
      <c r="C16" s="6" t="s">
        <v>2046</v>
      </c>
    </row>
    <row r="17">
      <c r="C17" s="6" t="s">
        <v>2047</v>
      </c>
    </row>
    <row r="18">
      <c r="C18" s="6" t="s">
        <v>1927</v>
      </c>
    </row>
    <row r="19">
      <c r="C19" s="6" t="s">
        <v>2048</v>
      </c>
    </row>
    <row r="20">
      <c r="C20" s="6" t="s">
        <v>2049</v>
      </c>
    </row>
  </sheetData>
  <drawing r:id="rId1"/>
</worksheet>
</file>